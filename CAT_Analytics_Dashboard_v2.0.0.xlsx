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cuments\CAT Analytics Dashboard\"/>
    </mc:Choice>
  </mc:AlternateContent>
  <xr:revisionPtr revIDLastSave="0" documentId="13_ncr:1_{AE670830-FD7A-4D44-A27F-2BACB5D96A41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Dashboard" sheetId="1" r:id="rId1"/>
    <sheet name="Lists" sheetId="2" state="hidden" r:id="rId2"/>
    <sheet name="Mock Database" sheetId="3" r:id="rId3"/>
    <sheet name="Calculations" sheetId="4" state="hidden" r:id="rId4"/>
    <sheet name="Section Analysis" sheetId="5" r:id="rId5"/>
    <sheet name="Provider Analysis" sheetId="6" r:id="rId6"/>
    <sheet name="Chart_Data" sheetId="7" state="hidden" r:id="rId7"/>
  </sheets>
  <definedNames>
    <definedName name="cd_Cats">OFFSET(Chart_Data!$B$2,0,0,COUNT(Chart_Data!$J$2:$J$401),1)</definedName>
    <definedName name="cd_Dates">OFFSET(Chart_Data!$C$2,0,0,COUNT(Chart_Data!$J$2:$J$401),1)</definedName>
    <definedName name="cd_DILRpc">OFFSET(Chart_Data!$G$2,0,0,COUNT(Chart_Data!$J$2:$J$401),1)</definedName>
    <definedName name="cd_DILRsc">OFFSET(Chart_Data!$F$2,0,0,COUNT(Chart_Data!$J$2:$J$401),1)</definedName>
    <definedName name="cd_Idx">OFFSET(Chart_Data!$A$2,0,0,COUNT(Chart_Data!$J$2:$J$401),1)</definedName>
    <definedName name="cd_Ovrpc">OFFSET(Chart_Data!$K$2,0,0,COUNT(Chart_Data!$J$2:$J$401),1)</definedName>
    <definedName name="cd_Ovrsc">OFFSET(Chart_Data!$J$2,0,0,COUNT(Chart_Data!$J$2:$J$401),1)</definedName>
    <definedName name="cd_QApc">OFFSET(Chart_Data!$I$2,0,0,COUNT(Chart_Data!$J$2:$J$401),1)</definedName>
    <definedName name="cd_QAsc">OFFSET(Chart_Data!$H$2,0,0,COUNT(Chart_Data!$J$2:$J$401),1)</definedName>
    <definedName name="cd_VARCpc">OFFSET(Chart_Data!$E$2,0,0,COUNT(Chart_Data!$J$2:$J$401),1)</definedName>
    <definedName name="cd_VARCsc">OFFSET(Chart_Data!$D$2,0,0,COUNT(Chart_Data!$J$2:$J$401),1)</definedName>
    <definedName name="cn_DILRpc">OFFSET(Chart_Data!$R$2,0,0,COUNT(Chart_Data!$J$2:$J$401),1)</definedName>
    <definedName name="cn_DILRsc">OFFSET(Chart_Data!$Q$2,0,0,COUNT(Chart_Data!$J$2:$J$401),1)</definedName>
    <definedName name="cn_Ovrpc">OFFSET(Chart_Data!$V$2,0,0,COUNT(Chart_Data!$J$2:$J$401),1)</definedName>
    <definedName name="cn_Ovrsc">OFFSET(Chart_Data!$U$2,0,0,COUNT(Chart_Data!$J$2:$J$401),1)</definedName>
    <definedName name="cn_QApc">OFFSET(Chart_Data!$T$2,0,0,COUNT(Chart_Data!$J$2:$J$401),1)</definedName>
    <definedName name="cn_QAsc">OFFSET(Chart_Data!$S$2,0,0,COUNT(Chart_Data!$J$2:$J$401),1)</definedName>
    <definedName name="cn_VARCpc">OFFSET(Chart_Data!$P$2,0,0,COUNT(Chart_Data!$J$2:$J$401),1)</definedName>
    <definedName name="cn_VARCsc">OFFSET(Chart_Data!$O$2,0,0,COUNT(Chart_Data!$J$2:$J$401),1)</definedName>
    <definedName name="lst_Analysis">OFFSET(Lists!$D$2,0,0,COUNTA(Lists!$D$2:$D$100),1)</definedName>
    <definedName name="lst_MockTypes">OFFSET(Lists!$C$2,0,0,COUNTA(Lists!$C$2:$C$100),1)</definedName>
    <definedName name="lst_Providers">OFFSET(Lists!$A$2,0,0,COUNTA(Lists!$A$2:$A$100),1)</definedName>
    <definedName name="lst_Series">OFFSET(Lists!$B$2,0,0,COUNTA(Lists!$B$2:$B$100),1)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1" l="1"/>
  <c r="S10" i="1"/>
  <c r="T10" i="1"/>
  <c r="U10" i="1"/>
  <c r="S11" i="1"/>
  <c r="T11" i="1"/>
  <c r="U11" i="1" s="1"/>
  <c r="S12" i="1"/>
  <c r="T12" i="1"/>
  <c r="U12" i="1"/>
  <c r="S13" i="1"/>
  <c r="S14" i="1"/>
  <c r="S15" i="1"/>
  <c r="T15" i="1"/>
  <c r="U15" i="1" s="1"/>
  <c r="S16" i="1"/>
  <c r="T16" i="1"/>
  <c r="U16" i="1" s="1"/>
  <c r="S17" i="1"/>
  <c r="T17" i="1"/>
  <c r="U17" i="1" s="1"/>
  <c r="V17" i="1"/>
  <c r="S18" i="1"/>
  <c r="T18" i="1"/>
  <c r="U18" i="1"/>
  <c r="V18" i="1"/>
  <c r="R11" i="1"/>
  <c r="R12" i="1" s="1"/>
  <c r="R13" i="1" s="1"/>
  <c r="R14" i="1" s="1"/>
  <c r="R15" i="1" s="1"/>
  <c r="R16" i="1" s="1"/>
  <c r="R17" i="1" s="1"/>
  <c r="R18" i="1" s="1"/>
  <c r="R10" i="1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AE19" i="3"/>
  <c r="A27" i="6"/>
  <c r="A26" i="6"/>
  <c r="A25" i="6"/>
  <c r="A21" i="6"/>
  <c r="A20" i="6"/>
  <c r="A19" i="6"/>
  <c r="A18" i="6"/>
  <c r="A17" i="6"/>
  <c r="A16" i="6"/>
  <c r="A12" i="6"/>
  <c r="J12" i="6" s="1"/>
  <c r="A11" i="6"/>
  <c r="D11" i="6" s="1"/>
  <c r="G10" i="6"/>
  <c r="E10" i="6"/>
  <c r="A10" i="6"/>
  <c r="F10" i="6" s="1"/>
  <c r="A9" i="6"/>
  <c r="H9" i="6" s="1"/>
  <c r="A8" i="6"/>
  <c r="J8" i="6" s="1"/>
  <c r="A7" i="6"/>
  <c r="A6" i="6"/>
  <c r="B29" i="4"/>
  <c r="A3" i="1" s="1"/>
  <c r="B22" i="4"/>
  <c r="AH152" i="3"/>
  <c r="AJ152" i="3" s="1"/>
  <c r="AG152" i="3"/>
  <c r="AE152" i="3"/>
  <c r="AD152" i="3"/>
  <c r="AC152" i="3"/>
  <c r="X152" i="3"/>
  <c r="W152" i="3"/>
  <c r="R152" i="3"/>
  <c r="Q152" i="3"/>
  <c r="AI152" i="3" s="1"/>
  <c r="J152" i="3"/>
  <c r="C152" i="3"/>
  <c r="B152" i="3"/>
  <c r="AH151" i="3"/>
  <c r="AJ151" i="3" s="1"/>
  <c r="AG151" i="3"/>
  <c r="AE151" i="3"/>
  <c r="AD151" i="3"/>
  <c r="AC151" i="3"/>
  <c r="X151" i="3"/>
  <c r="W151" i="3"/>
  <c r="R151" i="3"/>
  <c r="Q151" i="3"/>
  <c r="AI151" i="3" s="1"/>
  <c r="J151" i="3"/>
  <c r="C151" i="3"/>
  <c r="B151" i="3"/>
  <c r="AH150" i="3"/>
  <c r="AJ150" i="3" s="1"/>
  <c r="AG150" i="3"/>
  <c r="AE150" i="3"/>
  <c r="AD150" i="3"/>
  <c r="AC150" i="3"/>
  <c r="X150" i="3"/>
  <c r="W150" i="3"/>
  <c r="R150" i="3"/>
  <c r="Q150" i="3"/>
  <c r="AI150" i="3" s="1"/>
  <c r="J150" i="3"/>
  <c r="C150" i="3"/>
  <c r="B150" i="3"/>
  <c r="AJ149" i="3"/>
  <c r="AH149" i="3"/>
  <c r="AG149" i="3"/>
  <c r="AE149" i="3"/>
  <c r="AD149" i="3"/>
  <c r="AC149" i="3"/>
  <c r="X149" i="3"/>
  <c r="W149" i="3"/>
  <c r="R149" i="3"/>
  <c r="Q149" i="3"/>
  <c r="AI149" i="3" s="1"/>
  <c r="J149" i="3"/>
  <c r="C149" i="3"/>
  <c r="B149" i="3"/>
  <c r="AH148" i="3"/>
  <c r="AJ148" i="3" s="1"/>
  <c r="AG148" i="3"/>
  <c r="AE148" i="3"/>
  <c r="AD148" i="3"/>
  <c r="AC148" i="3"/>
  <c r="X148" i="3"/>
  <c r="W148" i="3"/>
  <c r="R148" i="3"/>
  <c r="Q148" i="3"/>
  <c r="AI148" i="3" s="1"/>
  <c r="J148" i="3"/>
  <c r="C148" i="3"/>
  <c r="B148" i="3"/>
  <c r="AH147" i="3"/>
  <c r="AJ147" i="3" s="1"/>
  <c r="AG147" i="3"/>
  <c r="AE147" i="3"/>
  <c r="AD147" i="3"/>
  <c r="AC147" i="3"/>
  <c r="X147" i="3"/>
  <c r="W147" i="3"/>
  <c r="R147" i="3"/>
  <c r="Q147" i="3"/>
  <c r="AI147" i="3" s="1"/>
  <c r="J147" i="3"/>
  <c r="C147" i="3"/>
  <c r="B147" i="3"/>
  <c r="AH146" i="3"/>
  <c r="AJ146" i="3" s="1"/>
  <c r="AG146" i="3"/>
  <c r="AE146" i="3"/>
  <c r="AD146" i="3"/>
  <c r="AC146" i="3"/>
  <c r="X146" i="3"/>
  <c r="W146" i="3"/>
  <c r="R146" i="3"/>
  <c r="Q146" i="3"/>
  <c r="AI146" i="3" s="1"/>
  <c r="J146" i="3"/>
  <c r="C146" i="3"/>
  <c r="B146" i="3"/>
  <c r="AJ145" i="3"/>
  <c r="AH145" i="3"/>
  <c r="AG145" i="3"/>
  <c r="AE145" i="3"/>
  <c r="AD145" i="3"/>
  <c r="AC145" i="3"/>
  <c r="X145" i="3"/>
  <c r="W145" i="3"/>
  <c r="R145" i="3"/>
  <c r="Q145" i="3"/>
  <c r="AI145" i="3" s="1"/>
  <c r="J145" i="3"/>
  <c r="C145" i="3"/>
  <c r="B145" i="3"/>
  <c r="AH144" i="3"/>
  <c r="AJ144" i="3" s="1"/>
  <c r="AG144" i="3"/>
  <c r="AE144" i="3"/>
  <c r="AD144" i="3"/>
  <c r="AC144" i="3"/>
  <c r="X144" i="3"/>
  <c r="W144" i="3"/>
  <c r="R144" i="3"/>
  <c r="Q144" i="3"/>
  <c r="AI144" i="3" s="1"/>
  <c r="J144" i="3"/>
  <c r="C144" i="3"/>
  <c r="B144" i="3"/>
  <c r="AH143" i="3"/>
  <c r="AJ143" i="3" s="1"/>
  <c r="AG143" i="3"/>
  <c r="AE143" i="3"/>
  <c r="AD143" i="3"/>
  <c r="AC143" i="3"/>
  <c r="X143" i="3"/>
  <c r="W143" i="3"/>
  <c r="R143" i="3"/>
  <c r="Q143" i="3"/>
  <c r="AI143" i="3" s="1"/>
  <c r="J143" i="3"/>
  <c r="C143" i="3"/>
  <c r="B143" i="3"/>
  <c r="AH142" i="3"/>
  <c r="AJ142" i="3" s="1"/>
  <c r="AG142" i="3"/>
  <c r="AE142" i="3"/>
  <c r="AD142" i="3"/>
  <c r="AC142" i="3"/>
  <c r="X142" i="3"/>
  <c r="W142" i="3"/>
  <c r="R142" i="3"/>
  <c r="Q142" i="3"/>
  <c r="AI142" i="3" s="1"/>
  <c r="J142" i="3"/>
  <c r="C142" i="3"/>
  <c r="B142" i="3"/>
  <c r="AJ141" i="3"/>
  <c r="AH141" i="3"/>
  <c r="AG141" i="3"/>
  <c r="AE141" i="3"/>
  <c r="AD141" i="3"/>
  <c r="AC141" i="3"/>
  <c r="X141" i="3"/>
  <c r="W141" i="3"/>
  <c r="R141" i="3"/>
  <c r="Q141" i="3"/>
  <c r="AI141" i="3" s="1"/>
  <c r="J141" i="3"/>
  <c r="C141" i="3"/>
  <c r="B141" i="3"/>
  <c r="AH140" i="3"/>
  <c r="AJ140" i="3" s="1"/>
  <c r="AG140" i="3"/>
  <c r="AE140" i="3"/>
  <c r="AD140" i="3"/>
  <c r="AC140" i="3"/>
  <c r="X140" i="3"/>
  <c r="W140" i="3"/>
  <c r="R140" i="3"/>
  <c r="Q140" i="3"/>
  <c r="AI140" i="3" s="1"/>
  <c r="J140" i="3"/>
  <c r="C140" i="3"/>
  <c r="B140" i="3"/>
  <c r="AH139" i="3"/>
  <c r="AJ139" i="3" s="1"/>
  <c r="AG139" i="3"/>
  <c r="AE139" i="3"/>
  <c r="AD139" i="3"/>
  <c r="AC139" i="3"/>
  <c r="X139" i="3"/>
  <c r="W139" i="3"/>
  <c r="R139" i="3"/>
  <c r="Q139" i="3"/>
  <c r="AI139" i="3" s="1"/>
  <c r="J139" i="3"/>
  <c r="C139" i="3"/>
  <c r="B139" i="3"/>
  <c r="AH138" i="3"/>
  <c r="AJ138" i="3" s="1"/>
  <c r="AG138" i="3"/>
  <c r="AE138" i="3"/>
  <c r="AD138" i="3"/>
  <c r="AC138" i="3"/>
  <c r="X138" i="3"/>
  <c r="W138" i="3"/>
  <c r="R138" i="3"/>
  <c r="Q138" i="3"/>
  <c r="AI138" i="3" s="1"/>
  <c r="J138" i="3"/>
  <c r="C138" i="3"/>
  <c r="B138" i="3"/>
  <c r="AJ137" i="3"/>
  <c r="AH137" i="3"/>
  <c r="AG137" i="3"/>
  <c r="AE137" i="3"/>
  <c r="AD137" i="3"/>
  <c r="AC137" i="3"/>
  <c r="X137" i="3"/>
  <c r="W137" i="3"/>
  <c r="R137" i="3"/>
  <c r="Q137" i="3"/>
  <c r="AI137" i="3" s="1"/>
  <c r="J137" i="3"/>
  <c r="C137" i="3"/>
  <c r="B137" i="3"/>
  <c r="AH136" i="3"/>
  <c r="AJ136" i="3" s="1"/>
  <c r="AG136" i="3"/>
  <c r="AE136" i="3"/>
  <c r="AD136" i="3"/>
  <c r="AC136" i="3"/>
  <c r="X136" i="3"/>
  <c r="W136" i="3"/>
  <c r="R136" i="3"/>
  <c r="Q136" i="3"/>
  <c r="AI136" i="3" s="1"/>
  <c r="J136" i="3"/>
  <c r="C136" i="3"/>
  <c r="B136" i="3"/>
  <c r="AH135" i="3"/>
  <c r="AJ135" i="3" s="1"/>
  <c r="AG135" i="3"/>
  <c r="AE135" i="3"/>
  <c r="AD135" i="3"/>
  <c r="AC135" i="3"/>
  <c r="X135" i="3"/>
  <c r="W135" i="3"/>
  <c r="R135" i="3"/>
  <c r="Q135" i="3"/>
  <c r="AI135" i="3" s="1"/>
  <c r="J135" i="3"/>
  <c r="C135" i="3"/>
  <c r="B135" i="3"/>
  <c r="AH134" i="3"/>
  <c r="AJ134" i="3" s="1"/>
  <c r="AG134" i="3"/>
  <c r="AE134" i="3"/>
  <c r="AD134" i="3"/>
  <c r="AC134" i="3"/>
  <c r="X134" i="3"/>
  <c r="W134" i="3"/>
  <c r="R134" i="3"/>
  <c r="Q134" i="3"/>
  <c r="AI134" i="3" s="1"/>
  <c r="J134" i="3"/>
  <c r="C134" i="3"/>
  <c r="B134" i="3"/>
  <c r="AJ133" i="3"/>
  <c r="AH133" i="3"/>
  <c r="AG133" i="3"/>
  <c r="AE133" i="3"/>
  <c r="AD133" i="3"/>
  <c r="AC133" i="3"/>
  <c r="X133" i="3"/>
  <c r="W133" i="3"/>
  <c r="R133" i="3"/>
  <c r="Q133" i="3"/>
  <c r="AI133" i="3" s="1"/>
  <c r="J133" i="3"/>
  <c r="C133" i="3"/>
  <c r="B133" i="3"/>
  <c r="AH132" i="3"/>
  <c r="AJ132" i="3" s="1"/>
  <c r="AG132" i="3"/>
  <c r="AE132" i="3"/>
  <c r="AD132" i="3"/>
  <c r="AC132" i="3"/>
  <c r="X132" i="3"/>
  <c r="W132" i="3"/>
  <c r="R132" i="3"/>
  <c r="Q132" i="3"/>
  <c r="AI132" i="3" s="1"/>
  <c r="J132" i="3"/>
  <c r="C132" i="3"/>
  <c r="B132" i="3"/>
  <c r="AH131" i="3"/>
  <c r="AJ131" i="3" s="1"/>
  <c r="AG131" i="3"/>
  <c r="AE131" i="3"/>
  <c r="AD131" i="3"/>
  <c r="AC131" i="3"/>
  <c r="X131" i="3"/>
  <c r="W131" i="3"/>
  <c r="R131" i="3"/>
  <c r="Q131" i="3"/>
  <c r="AI131" i="3" s="1"/>
  <c r="J131" i="3"/>
  <c r="C131" i="3"/>
  <c r="B131" i="3"/>
  <c r="AH130" i="3"/>
  <c r="AJ130" i="3" s="1"/>
  <c r="AG130" i="3"/>
  <c r="AE130" i="3"/>
  <c r="AD130" i="3"/>
  <c r="AC130" i="3"/>
  <c r="X130" i="3"/>
  <c r="W130" i="3"/>
  <c r="R130" i="3"/>
  <c r="Q130" i="3"/>
  <c r="AI130" i="3" s="1"/>
  <c r="J130" i="3"/>
  <c r="C130" i="3"/>
  <c r="B130" i="3"/>
  <c r="AJ129" i="3"/>
  <c r="AH129" i="3"/>
  <c r="AG129" i="3"/>
  <c r="AE129" i="3"/>
  <c r="AD129" i="3"/>
  <c r="AC129" i="3"/>
  <c r="X129" i="3"/>
  <c r="W129" i="3"/>
  <c r="R129" i="3"/>
  <c r="Q129" i="3"/>
  <c r="AI129" i="3" s="1"/>
  <c r="J129" i="3"/>
  <c r="C129" i="3"/>
  <c r="B129" i="3"/>
  <c r="AH128" i="3"/>
  <c r="AJ128" i="3" s="1"/>
  <c r="AG128" i="3"/>
  <c r="AE128" i="3"/>
  <c r="AD128" i="3"/>
  <c r="AC128" i="3"/>
  <c r="X128" i="3"/>
  <c r="W128" i="3"/>
  <c r="R128" i="3"/>
  <c r="Q128" i="3"/>
  <c r="AI128" i="3" s="1"/>
  <c r="J128" i="3"/>
  <c r="C128" i="3" s="1"/>
  <c r="B128" i="3"/>
  <c r="AH127" i="3"/>
  <c r="AJ127" i="3" s="1"/>
  <c r="AG127" i="3"/>
  <c r="AE127" i="3"/>
  <c r="AD127" i="3"/>
  <c r="AC127" i="3"/>
  <c r="X127" i="3"/>
  <c r="W127" i="3"/>
  <c r="R127" i="3"/>
  <c r="Q127" i="3"/>
  <c r="AI127" i="3" s="1"/>
  <c r="J127" i="3"/>
  <c r="C127" i="3"/>
  <c r="B127" i="3"/>
  <c r="AJ126" i="3"/>
  <c r="AH126" i="3"/>
  <c r="AG126" i="3"/>
  <c r="AE126" i="3"/>
  <c r="AD126" i="3"/>
  <c r="AC126" i="3"/>
  <c r="X126" i="3"/>
  <c r="W126" i="3"/>
  <c r="R126" i="3"/>
  <c r="Q126" i="3"/>
  <c r="AI126" i="3" s="1"/>
  <c r="J126" i="3"/>
  <c r="C126" i="3"/>
  <c r="B126" i="3"/>
  <c r="AJ125" i="3"/>
  <c r="AH125" i="3"/>
  <c r="AG125" i="3"/>
  <c r="AE125" i="3"/>
  <c r="AD125" i="3"/>
  <c r="AC125" i="3"/>
  <c r="X125" i="3"/>
  <c r="W125" i="3"/>
  <c r="AI125" i="3" s="1"/>
  <c r="R125" i="3"/>
  <c r="Q125" i="3"/>
  <c r="J125" i="3"/>
  <c r="C125" i="3"/>
  <c r="B125" i="3"/>
  <c r="AH124" i="3"/>
  <c r="AJ124" i="3" s="1"/>
  <c r="AG124" i="3"/>
  <c r="AE124" i="3"/>
  <c r="AD124" i="3"/>
  <c r="AC124" i="3"/>
  <c r="X124" i="3"/>
  <c r="W124" i="3"/>
  <c r="R124" i="3"/>
  <c r="Q124" i="3"/>
  <c r="AI124" i="3" s="1"/>
  <c r="J124" i="3"/>
  <c r="C124" i="3" s="1"/>
  <c r="B124" i="3"/>
  <c r="AH123" i="3"/>
  <c r="AJ123" i="3" s="1"/>
  <c r="AG123" i="3"/>
  <c r="AE123" i="3"/>
  <c r="AD123" i="3"/>
  <c r="AC123" i="3"/>
  <c r="X123" i="3"/>
  <c r="W123" i="3"/>
  <c r="R123" i="3"/>
  <c r="Q123" i="3"/>
  <c r="AI123" i="3" s="1"/>
  <c r="J123" i="3"/>
  <c r="C123" i="3"/>
  <c r="B123" i="3"/>
  <c r="AJ122" i="3"/>
  <c r="AH122" i="3"/>
  <c r="AG122" i="3"/>
  <c r="AE122" i="3"/>
  <c r="AD122" i="3"/>
  <c r="AC122" i="3"/>
  <c r="X122" i="3"/>
  <c r="W122" i="3"/>
  <c r="R122" i="3"/>
  <c r="Q122" i="3"/>
  <c r="AI122" i="3" s="1"/>
  <c r="J122" i="3"/>
  <c r="C122" i="3"/>
  <c r="B122" i="3"/>
  <c r="AJ121" i="3"/>
  <c r="AH121" i="3"/>
  <c r="AG121" i="3"/>
  <c r="AE121" i="3"/>
  <c r="AD121" i="3"/>
  <c r="AC121" i="3"/>
  <c r="X121" i="3"/>
  <c r="W121" i="3"/>
  <c r="AI121" i="3" s="1"/>
  <c r="R121" i="3"/>
  <c r="Q121" i="3"/>
  <c r="J121" i="3"/>
  <c r="C121" i="3"/>
  <c r="B121" i="3"/>
  <c r="AH120" i="3"/>
  <c r="AJ120" i="3" s="1"/>
  <c r="AG120" i="3"/>
  <c r="AE120" i="3"/>
  <c r="AD120" i="3"/>
  <c r="AC120" i="3"/>
  <c r="X120" i="3"/>
  <c r="W120" i="3"/>
  <c r="R120" i="3"/>
  <c r="Q120" i="3"/>
  <c r="AI120" i="3" s="1"/>
  <c r="J120" i="3"/>
  <c r="C120" i="3" s="1"/>
  <c r="B120" i="3"/>
  <c r="AH119" i="3"/>
  <c r="AJ119" i="3" s="1"/>
  <c r="AG119" i="3"/>
  <c r="AE119" i="3"/>
  <c r="AD119" i="3"/>
  <c r="AC119" i="3"/>
  <c r="X119" i="3"/>
  <c r="W119" i="3"/>
  <c r="R119" i="3"/>
  <c r="Q119" i="3"/>
  <c r="AI119" i="3" s="1"/>
  <c r="J119" i="3"/>
  <c r="C119" i="3"/>
  <c r="B119" i="3"/>
  <c r="AJ118" i="3"/>
  <c r="AH118" i="3"/>
  <c r="AG118" i="3"/>
  <c r="AE118" i="3"/>
  <c r="AD118" i="3"/>
  <c r="AC118" i="3"/>
  <c r="X118" i="3"/>
  <c r="W118" i="3"/>
  <c r="R118" i="3"/>
  <c r="Q118" i="3"/>
  <c r="AI118" i="3" s="1"/>
  <c r="J118" i="3"/>
  <c r="C118" i="3"/>
  <c r="B118" i="3"/>
  <c r="AJ117" i="3"/>
  <c r="AH117" i="3"/>
  <c r="AG117" i="3"/>
  <c r="AE117" i="3"/>
  <c r="AD117" i="3"/>
  <c r="AC117" i="3"/>
  <c r="X117" i="3"/>
  <c r="W117" i="3"/>
  <c r="AI117" i="3" s="1"/>
  <c r="R117" i="3"/>
  <c r="Q117" i="3"/>
  <c r="J117" i="3"/>
  <c r="C117" i="3"/>
  <c r="B117" i="3"/>
  <c r="AH116" i="3"/>
  <c r="AJ116" i="3" s="1"/>
  <c r="AG116" i="3"/>
  <c r="AE116" i="3"/>
  <c r="AD116" i="3"/>
  <c r="AC116" i="3"/>
  <c r="X116" i="3"/>
  <c r="W116" i="3"/>
  <c r="R116" i="3"/>
  <c r="Q116" i="3"/>
  <c r="AI116" i="3" s="1"/>
  <c r="J116" i="3"/>
  <c r="C116" i="3" s="1"/>
  <c r="B116" i="3"/>
  <c r="AH115" i="3"/>
  <c r="AJ115" i="3" s="1"/>
  <c r="AG115" i="3"/>
  <c r="AE115" i="3"/>
  <c r="AD115" i="3"/>
  <c r="AC115" i="3"/>
  <c r="X115" i="3"/>
  <c r="W115" i="3"/>
  <c r="R115" i="3"/>
  <c r="Q115" i="3"/>
  <c r="AI115" i="3" s="1"/>
  <c r="J115" i="3"/>
  <c r="C115" i="3"/>
  <c r="B115" i="3"/>
  <c r="AJ114" i="3"/>
  <c r="AH114" i="3"/>
  <c r="AG114" i="3"/>
  <c r="AE114" i="3"/>
  <c r="AD114" i="3"/>
  <c r="AC114" i="3"/>
  <c r="X114" i="3"/>
  <c r="W114" i="3"/>
  <c r="R114" i="3"/>
  <c r="Q114" i="3"/>
  <c r="AI114" i="3" s="1"/>
  <c r="J114" i="3"/>
  <c r="C114" i="3"/>
  <c r="B114" i="3"/>
  <c r="AJ113" i="3"/>
  <c r="AH113" i="3"/>
  <c r="AG113" i="3"/>
  <c r="AE113" i="3"/>
  <c r="AD113" i="3"/>
  <c r="AC113" i="3"/>
  <c r="X113" i="3"/>
  <c r="W113" i="3"/>
  <c r="R113" i="3"/>
  <c r="Q113" i="3"/>
  <c r="AI113" i="3" s="1"/>
  <c r="J113" i="3"/>
  <c r="C113" i="3"/>
  <c r="B113" i="3"/>
  <c r="AH112" i="3"/>
  <c r="AJ112" i="3" s="1"/>
  <c r="AG112" i="3"/>
  <c r="AE112" i="3"/>
  <c r="AD112" i="3"/>
  <c r="AC112" i="3"/>
  <c r="X112" i="3"/>
  <c r="W112" i="3"/>
  <c r="R112" i="3"/>
  <c r="Q112" i="3"/>
  <c r="AI112" i="3" s="1"/>
  <c r="J112" i="3"/>
  <c r="C112" i="3"/>
  <c r="B112" i="3"/>
  <c r="AH111" i="3"/>
  <c r="AJ111" i="3" s="1"/>
  <c r="AG111" i="3"/>
  <c r="AE111" i="3"/>
  <c r="AD111" i="3"/>
  <c r="AC111" i="3"/>
  <c r="X111" i="3"/>
  <c r="W111" i="3"/>
  <c r="R111" i="3"/>
  <c r="Q111" i="3"/>
  <c r="AI111" i="3" s="1"/>
  <c r="J111" i="3"/>
  <c r="C111" i="3"/>
  <c r="B111" i="3"/>
  <c r="AJ110" i="3"/>
  <c r="AH110" i="3"/>
  <c r="AG110" i="3"/>
  <c r="AE110" i="3"/>
  <c r="AD110" i="3"/>
  <c r="AC110" i="3"/>
  <c r="X110" i="3"/>
  <c r="W110" i="3"/>
  <c r="R110" i="3"/>
  <c r="Q110" i="3"/>
  <c r="AI110" i="3" s="1"/>
  <c r="J110" i="3"/>
  <c r="C110" i="3"/>
  <c r="B110" i="3"/>
  <c r="AJ109" i="3"/>
  <c r="AH109" i="3"/>
  <c r="AG109" i="3"/>
  <c r="AE109" i="3"/>
  <c r="AD109" i="3"/>
  <c r="AC109" i="3"/>
  <c r="X109" i="3"/>
  <c r="W109" i="3"/>
  <c r="R109" i="3"/>
  <c r="Q109" i="3"/>
  <c r="AI109" i="3" s="1"/>
  <c r="J109" i="3"/>
  <c r="C109" i="3"/>
  <c r="B109" i="3"/>
  <c r="AH108" i="3"/>
  <c r="AJ108" i="3" s="1"/>
  <c r="AG108" i="3"/>
  <c r="AE108" i="3"/>
  <c r="AD108" i="3"/>
  <c r="AC108" i="3"/>
  <c r="X108" i="3"/>
  <c r="W108" i="3"/>
  <c r="R108" i="3"/>
  <c r="Q108" i="3"/>
  <c r="AI108" i="3" s="1"/>
  <c r="J108" i="3"/>
  <c r="C108" i="3"/>
  <c r="B108" i="3"/>
  <c r="AH107" i="3"/>
  <c r="AJ107" i="3" s="1"/>
  <c r="AG107" i="3"/>
  <c r="AE107" i="3"/>
  <c r="AD107" i="3"/>
  <c r="AC107" i="3"/>
  <c r="X107" i="3"/>
  <c r="W107" i="3"/>
  <c r="R107" i="3"/>
  <c r="Q107" i="3"/>
  <c r="AI107" i="3" s="1"/>
  <c r="J107" i="3"/>
  <c r="C107" i="3"/>
  <c r="B107" i="3"/>
  <c r="AJ106" i="3"/>
  <c r="AH106" i="3"/>
  <c r="AG106" i="3"/>
  <c r="AE106" i="3"/>
  <c r="AD106" i="3"/>
  <c r="AC106" i="3"/>
  <c r="X106" i="3"/>
  <c r="W106" i="3"/>
  <c r="R106" i="3"/>
  <c r="Q106" i="3"/>
  <c r="AI106" i="3" s="1"/>
  <c r="J106" i="3"/>
  <c r="C106" i="3"/>
  <c r="B106" i="3"/>
  <c r="AJ105" i="3"/>
  <c r="AH105" i="3"/>
  <c r="AG105" i="3"/>
  <c r="AE105" i="3"/>
  <c r="AD105" i="3"/>
  <c r="AC105" i="3"/>
  <c r="X105" i="3"/>
  <c r="W105" i="3"/>
  <c r="R105" i="3"/>
  <c r="Q105" i="3"/>
  <c r="AI105" i="3" s="1"/>
  <c r="J105" i="3"/>
  <c r="C105" i="3"/>
  <c r="B105" i="3"/>
  <c r="AH104" i="3"/>
  <c r="AJ104" i="3" s="1"/>
  <c r="AG104" i="3"/>
  <c r="AE104" i="3"/>
  <c r="AD104" i="3"/>
  <c r="AC104" i="3"/>
  <c r="X104" i="3"/>
  <c r="W104" i="3"/>
  <c r="R104" i="3"/>
  <c r="Q104" i="3"/>
  <c r="AI104" i="3" s="1"/>
  <c r="J104" i="3"/>
  <c r="C104" i="3"/>
  <c r="B104" i="3"/>
  <c r="AH103" i="3"/>
  <c r="AJ103" i="3" s="1"/>
  <c r="AG103" i="3"/>
  <c r="AE103" i="3"/>
  <c r="AD103" i="3"/>
  <c r="AC103" i="3"/>
  <c r="X103" i="3"/>
  <c r="W103" i="3"/>
  <c r="R103" i="3"/>
  <c r="Q103" i="3"/>
  <c r="AI103" i="3" s="1"/>
  <c r="J103" i="3"/>
  <c r="C103" i="3"/>
  <c r="B103" i="3"/>
  <c r="AJ102" i="3"/>
  <c r="AH102" i="3"/>
  <c r="AG102" i="3"/>
  <c r="AE102" i="3"/>
  <c r="AD102" i="3"/>
  <c r="AC102" i="3"/>
  <c r="X102" i="3"/>
  <c r="W102" i="3"/>
  <c r="R102" i="3"/>
  <c r="Q102" i="3"/>
  <c r="AI102" i="3" s="1"/>
  <c r="J102" i="3"/>
  <c r="C102" i="3"/>
  <c r="B102" i="3"/>
  <c r="AJ101" i="3"/>
  <c r="AH101" i="3"/>
  <c r="AG101" i="3"/>
  <c r="AE101" i="3"/>
  <c r="AD101" i="3"/>
  <c r="AC101" i="3"/>
  <c r="X101" i="3"/>
  <c r="W101" i="3"/>
  <c r="R101" i="3"/>
  <c r="Q101" i="3"/>
  <c r="AI101" i="3" s="1"/>
  <c r="J101" i="3"/>
  <c r="C101" i="3"/>
  <c r="B101" i="3"/>
  <c r="AH100" i="3"/>
  <c r="AJ100" i="3" s="1"/>
  <c r="AG100" i="3"/>
  <c r="AE100" i="3"/>
  <c r="AD100" i="3"/>
  <c r="AC100" i="3"/>
  <c r="X100" i="3"/>
  <c r="W100" i="3"/>
  <c r="R100" i="3"/>
  <c r="Q100" i="3"/>
  <c r="AI100" i="3" s="1"/>
  <c r="J100" i="3"/>
  <c r="C100" i="3"/>
  <c r="B100" i="3"/>
  <c r="AH99" i="3"/>
  <c r="AJ99" i="3" s="1"/>
  <c r="AG99" i="3"/>
  <c r="AE99" i="3"/>
  <c r="AD99" i="3"/>
  <c r="AC99" i="3"/>
  <c r="X99" i="3"/>
  <c r="W99" i="3"/>
  <c r="R99" i="3"/>
  <c r="Q99" i="3"/>
  <c r="AI99" i="3" s="1"/>
  <c r="J99" i="3"/>
  <c r="C99" i="3"/>
  <c r="B99" i="3"/>
  <c r="AJ98" i="3"/>
  <c r="AH98" i="3"/>
  <c r="AG98" i="3"/>
  <c r="AE98" i="3"/>
  <c r="AD98" i="3"/>
  <c r="AC98" i="3"/>
  <c r="X98" i="3"/>
  <c r="W98" i="3"/>
  <c r="R98" i="3"/>
  <c r="Q98" i="3"/>
  <c r="AI98" i="3" s="1"/>
  <c r="J98" i="3"/>
  <c r="C98" i="3"/>
  <c r="B98" i="3"/>
  <c r="AJ97" i="3"/>
  <c r="AH97" i="3"/>
  <c r="AG97" i="3"/>
  <c r="AE97" i="3"/>
  <c r="AD97" i="3"/>
  <c r="AC97" i="3"/>
  <c r="X97" i="3"/>
  <c r="W97" i="3"/>
  <c r="R97" i="3"/>
  <c r="Q97" i="3"/>
  <c r="AI97" i="3" s="1"/>
  <c r="J97" i="3"/>
  <c r="C97" i="3"/>
  <c r="B97" i="3"/>
  <c r="AH96" i="3"/>
  <c r="AJ96" i="3" s="1"/>
  <c r="AG96" i="3"/>
  <c r="AE96" i="3"/>
  <c r="AD96" i="3"/>
  <c r="AC96" i="3"/>
  <c r="X96" i="3"/>
  <c r="W96" i="3"/>
  <c r="R96" i="3"/>
  <c r="Q96" i="3"/>
  <c r="AI96" i="3" s="1"/>
  <c r="J96" i="3"/>
  <c r="C96" i="3"/>
  <c r="B96" i="3"/>
  <c r="AH95" i="3"/>
  <c r="AJ95" i="3" s="1"/>
  <c r="AG95" i="3"/>
  <c r="AE95" i="3"/>
  <c r="AD95" i="3"/>
  <c r="AC95" i="3"/>
  <c r="X95" i="3"/>
  <c r="W95" i="3"/>
  <c r="R95" i="3"/>
  <c r="Q95" i="3"/>
  <c r="AI95" i="3" s="1"/>
  <c r="J95" i="3"/>
  <c r="C95" i="3"/>
  <c r="B95" i="3"/>
  <c r="AJ94" i="3"/>
  <c r="AH94" i="3"/>
  <c r="AG94" i="3"/>
  <c r="AE94" i="3"/>
  <c r="AD94" i="3"/>
  <c r="AC94" i="3"/>
  <c r="X94" i="3"/>
  <c r="W94" i="3"/>
  <c r="R94" i="3"/>
  <c r="Q94" i="3"/>
  <c r="AI94" i="3" s="1"/>
  <c r="J94" i="3"/>
  <c r="C94" i="3"/>
  <c r="B94" i="3"/>
  <c r="AJ93" i="3"/>
  <c r="AH93" i="3"/>
  <c r="AG93" i="3"/>
  <c r="AE93" i="3"/>
  <c r="AD93" i="3"/>
  <c r="AC93" i="3"/>
  <c r="X93" i="3"/>
  <c r="W93" i="3"/>
  <c r="R93" i="3"/>
  <c r="Q93" i="3"/>
  <c r="AI93" i="3" s="1"/>
  <c r="J93" i="3"/>
  <c r="C93" i="3"/>
  <c r="B93" i="3"/>
  <c r="AH92" i="3"/>
  <c r="AJ92" i="3" s="1"/>
  <c r="AG92" i="3"/>
  <c r="AE92" i="3"/>
  <c r="AD92" i="3"/>
  <c r="AC92" i="3"/>
  <c r="X92" i="3"/>
  <c r="W92" i="3"/>
  <c r="R92" i="3"/>
  <c r="Q92" i="3"/>
  <c r="AI92" i="3" s="1"/>
  <c r="J92" i="3"/>
  <c r="C92" i="3"/>
  <c r="B92" i="3"/>
  <c r="AH91" i="3"/>
  <c r="AJ91" i="3" s="1"/>
  <c r="AG91" i="3"/>
  <c r="AE91" i="3"/>
  <c r="AD91" i="3"/>
  <c r="AC91" i="3"/>
  <c r="X91" i="3"/>
  <c r="W91" i="3"/>
  <c r="R91" i="3"/>
  <c r="Q91" i="3"/>
  <c r="AI91" i="3" s="1"/>
  <c r="J91" i="3"/>
  <c r="C91" i="3"/>
  <c r="B91" i="3"/>
  <c r="AJ90" i="3"/>
  <c r="AH90" i="3"/>
  <c r="AG90" i="3"/>
  <c r="AE90" i="3"/>
  <c r="AD90" i="3"/>
  <c r="AC90" i="3"/>
  <c r="X90" i="3"/>
  <c r="W90" i="3"/>
  <c r="R90" i="3"/>
  <c r="Q90" i="3"/>
  <c r="AI90" i="3" s="1"/>
  <c r="J90" i="3"/>
  <c r="C90" i="3"/>
  <c r="B90" i="3"/>
  <c r="AJ89" i="3"/>
  <c r="AH89" i="3"/>
  <c r="AG89" i="3"/>
  <c r="AE89" i="3"/>
  <c r="AD89" i="3"/>
  <c r="AC89" i="3"/>
  <c r="X89" i="3"/>
  <c r="W89" i="3"/>
  <c r="R89" i="3"/>
  <c r="Q89" i="3"/>
  <c r="AI89" i="3" s="1"/>
  <c r="J89" i="3"/>
  <c r="C89" i="3"/>
  <c r="B89" i="3"/>
  <c r="AH88" i="3"/>
  <c r="AJ88" i="3" s="1"/>
  <c r="AG88" i="3"/>
  <c r="AE88" i="3"/>
  <c r="AD88" i="3"/>
  <c r="AC88" i="3"/>
  <c r="X88" i="3"/>
  <c r="W88" i="3"/>
  <c r="R88" i="3"/>
  <c r="Q88" i="3"/>
  <c r="AI88" i="3" s="1"/>
  <c r="J88" i="3"/>
  <c r="C88" i="3"/>
  <c r="B88" i="3"/>
  <c r="AH87" i="3"/>
  <c r="AJ87" i="3" s="1"/>
  <c r="AG87" i="3"/>
  <c r="AE87" i="3"/>
  <c r="AD87" i="3"/>
  <c r="AC87" i="3"/>
  <c r="X87" i="3"/>
  <c r="W87" i="3"/>
  <c r="R87" i="3"/>
  <c r="Q87" i="3"/>
  <c r="AI87" i="3" s="1"/>
  <c r="J87" i="3"/>
  <c r="C87" i="3"/>
  <c r="B87" i="3"/>
  <c r="AJ86" i="3"/>
  <c r="AH86" i="3"/>
  <c r="AG86" i="3"/>
  <c r="AE86" i="3"/>
  <c r="AD86" i="3"/>
  <c r="AC86" i="3"/>
  <c r="X86" i="3"/>
  <c r="W86" i="3"/>
  <c r="R86" i="3"/>
  <c r="Q86" i="3"/>
  <c r="AI86" i="3" s="1"/>
  <c r="J86" i="3"/>
  <c r="C86" i="3"/>
  <c r="B86" i="3"/>
  <c r="AJ85" i="3"/>
  <c r="AH85" i="3"/>
  <c r="AG85" i="3"/>
  <c r="AE85" i="3"/>
  <c r="AD85" i="3"/>
  <c r="AC85" i="3"/>
  <c r="X85" i="3"/>
  <c r="W85" i="3"/>
  <c r="R85" i="3"/>
  <c r="Q85" i="3"/>
  <c r="AI85" i="3" s="1"/>
  <c r="J85" i="3"/>
  <c r="C85" i="3"/>
  <c r="B85" i="3"/>
  <c r="AH84" i="3"/>
  <c r="AJ84" i="3" s="1"/>
  <c r="AG84" i="3"/>
  <c r="AE84" i="3"/>
  <c r="AD84" i="3"/>
  <c r="AC84" i="3"/>
  <c r="X84" i="3"/>
  <c r="W84" i="3"/>
  <c r="R84" i="3"/>
  <c r="Q84" i="3"/>
  <c r="AI84" i="3" s="1"/>
  <c r="J84" i="3"/>
  <c r="C84" i="3"/>
  <c r="B84" i="3"/>
  <c r="AH83" i="3"/>
  <c r="AJ83" i="3" s="1"/>
  <c r="AG83" i="3"/>
  <c r="AE83" i="3"/>
  <c r="AD83" i="3"/>
  <c r="AC83" i="3"/>
  <c r="X83" i="3"/>
  <c r="W83" i="3"/>
  <c r="R83" i="3"/>
  <c r="Q83" i="3"/>
  <c r="AI83" i="3" s="1"/>
  <c r="J83" i="3"/>
  <c r="C83" i="3"/>
  <c r="B83" i="3"/>
  <c r="AJ82" i="3"/>
  <c r="AH82" i="3"/>
  <c r="AG82" i="3"/>
  <c r="AE82" i="3"/>
  <c r="AD82" i="3"/>
  <c r="AC82" i="3"/>
  <c r="X82" i="3"/>
  <c r="W82" i="3"/>
  <c r="R82" i="3"/>
  <c r="Q82" i="3"/>
  <c r="AI82" i="3" s="1"/>
  <c r="J82" i="3"/>
  <c r="C82" i="3"/>
  <c r="B82" i="3"/>
  <c r="AJ81" i="3"/>
  <c r="AH81" i="3"/>
  <c r="AG81" i="3"/>
  <c r="AE81" i="3"/>
  <c r="AD81" i="3"/>
  <c r="AC81" i="3"/>
  <c r="X81" i="3"/>
  <c r="W81" i="3"/>
  <c r="R81" i="3"/>
  <c r="Q81" i="3"/>
  <c r="AI81" i="3" s="1"/>
  <c r="J81" i="3"/>
  <c r="C81" i="3"/>
  <c r="B81" i="3"/>
  <c r="AH80" i="3"/>
  <c r="AJ80" i="3" s="1"/>
  <c r="AG80" i="3"/>
  <c r="AE80" i="3"/>
  <c r="AD80" i="3"/>
  <c r="AC80" i="3"/>
  <c r="X80" i="3"/>
  <c r="W80" i="3"/>
  <c r="R80" i="3"/>
  <c r="Q80" i="3"/>
  <c r="AI80" i="3" s="1"/>
  <c r="J80" i="3"/>
  <c r="C80" i="3"/>
  <c r="B80" i="3"/>
  <c r="AH79" i="3"/>
  <c r="AJ79" i="3" s="1"/>
  <c r="AG79" i="3"/>
  <c r="AE79" i="3"/>
  <c r="AD79" i="3"/>
  <c r="AC79" i="3"/>
  <c r="X79" i="3"/>
  <c r="W79" i="3"/>
  <c r="R79" i="3"/>
  <c r="Q79" i="3"/>
  <c r="AI79" i="3" s="1"/>
  <c r="J79" i="3"/>
  <c r="C79" i="3"/>
  <c r="B79" i="3"/>
  <c r="AJ78" i="3"/>
  <c r="AH78" i="3"/>
  <c r="AG78" i="3"/>
  <c r="AE78" i="3"/>
  <c r="AD78" i="3"/>
  <c r="AC78" i="3"/>
  <c r="X78" i="3"/>
  <c r="W78" i="3"/>
  <c r="R78" i="3"/>
  <c r="Q78" i="3"/>
  <c r="AI78" i="3" s="1"/>
  <c r="J78" i="3"/>
  <c r="C78" i="3"/>
  <c r="B78" i="3"/>
  <c r="AJ77" i="3"/>
  <c r="AH77" i="3"/>
  <c r="AG77" i="3"/>
  <c r="AE77" i="3"/>
  <c r="AD77" i="3"/>
  <c r="AC77" i="3"/>
  <c r="X77" i="3"/>
  <c r="W77" i="3"/>
  <c r="R77" i="3"/>
  <c r="Q77" i="3"/>
  <c r="AI77" i="3" s="1"/>
  <c r="J77" i="3"/>
  <c r="C77" i="3"/>
  <c r="B77" i="3"/>
  <c r="AH76" i="3"/>
  <c r="AJ76" i="3" s="1"/>
  <c r="AG76" i="3"/>
  <c r="AE76" i="3"/>
  <c r="AD76" i="3"/>
  <c r="AC76" i="3"/>
  <c r="X76" i="3"/>
  <c r="W76" i="3"/>
  <c r="R76" i="3"/>
  <c r="Q76" i="3"/>
  <c r="AI76" i="3" s="1"/>
  <c r="J76" i="3"/>
  <c r="C76" i="3"/>
  <c r="B76" i="3"/>
  <c r="AH75" i="3"/>
  <c r="AJ75" i="3" s="1"/>
  <c r="AG75" i="3"/>
  <c r="AE75" i="3"/>
  <c r="AD75" i="3"/>
  <c r="AC75" i="3"/>
  <c r="X75" i="3"/>
  <c r="W75" i="3"/>
  <c r="R75" i="3"/>
  <c r="Q75" i="3"/>
  <c r="AI75" i="3" s="1"/>
  <c r="J75" i="3"/>
  <c r="C75" i="3"/>
  <c r="B75" i="3"/>
  <c r="AJ74" i="3"/>
  <c r="AH74" i="3"/>
  <c r="AG74" i="3"/>
  <c r="AE74" i="3"/>
  <c r="AD74" i="3"/>
  <c r="AC74" i="3"/>
  <c r="X74" i="3"/>
  <c r="W74" i="3"/>
  <c r="R74" i="3"/>
  <c r="Q74" i="3"/>
  <c r="AI74" i="3" s="1"/>
  <c r="J74" i="3"/>
  <c r="C74" i="3"/>
  <c r="B74" i="3"/>
  <c r="AJ73" i="3"/>
  <c r="AH73" i="3"/>
  <c r="AG73" i="3"/>
  <c r="AE73" i="3"/>
  <c r="AD73" i="3"/>
  <c r="AC73" i="3"/>
  <c r="X73" i="3"/>
  <c r="W73" i="3"/>
  <c r="R73" i="3"/>
  <c r="Q73" i="3"/>
  <c r="AI73" i="3" s="1"/>
  <c r="J73" i="3"/>
  <c r="C73" i="3"/>
  <c r="B73" i="3"/>
  <c r="AH72" i="3"/>
  <c r="AJ72" i="3" s="1"/>
  <c r="AG72" i="3"/>
  <c r="AE72" i="3"/>
  <c r="AD72" i="3"/>
  <c r="AC72" i="3"/>
  <c r="X72" i="3"/>
  <c r="W72" i="3"/>
  <c r="R72" i="3"/>
  <c r="Q72" i="3"/>
  <c r="AI72" i="3" s="1"/>
  <c r="J72" i="3"/>
  <c r="C72" i="3"/>
  <c r="B72" i="3"/>
  <c r="AH71" i="3"/>
  <c r="AJ71" i="3" s="1"/>
  <c r="AG71" i="3"/>
  <c r="AE71" i="3"/>
  <c r="AD71" i="3"/>
  <c r="AC71" i="3"/>
  <c r="X71" i="3"/>
  <c r="W71" i="3"/>
  <c r="R71" i="3"/>
  <c r="Q71" i="3"/>
  <c r="AI71" i="3" s="1"/>
  <c r="J71" i="3"/>
  <c r="C71" i="3"/>
  <c r="B71" i="3"/>
  <c r="AJ70" i="3"/>
  <c r="AH70" i="3"/>
  <c r="AG70" i="3"/>
  <c r="AE70" i="3"/>
  <c r="AD70" i="3"/>
  <c r="AC70" i="3"/>
  <c r="X70" i="3"/>
  <c r="W70" i="3"/>
  <c r="R70" i="3"/>
  <c r="Q70" i="3"/>
  <c r="AI70" i="3" s="1"/>
  <c r="J70" i="3"/>
  <c r="C70" i="3"/>
  <c r="B70" i="3"/>
  <c r="AJ69" i="3"/>
  <c r="AH69" i="3"/>
  <c r="AG69" i="3"/>
  <c r="AE69" i="3"/>
  <c r="AD69" i="3"/>
  <c r="AC69" i="3"/>
  <c r="X69" i="3"/>
  <c r="W69" i="3"/>
  <c r="R69" i="3"/>
  <c r="Q69" i="3"/>
  <c r="AI69" i="3" s="1"/>
  <c r="J69" i="3"/>
  <c r="C69" i="3"/>
  <c r="B69" i="3"/>
  <c r="AH68" i="3"/>
  <c r="AJ68" i="3" s="1"/>
  <c r="AG68" i="3"/>
  <c r="AE68" i="3"/>
  <c r="AD68" i="3"/>
  <c r="AC68" i="3"/>
  <c r="X68" i="3"/>
  <c r="W68" i="3"/>
  <c r="R68" i="3"/>
  <c r="Q68" i="3"/>
  <c r="AI68" i="3" s="1"/>
  <c r="J68" i="3"/>
  <c r="C68" i="3"/>
  <c r="B68" i="3"/>
  <c r="AH67" i="3"/>
  <c r="AJ67" i="3" s="1"/>
  <c r="AG67" i="3"/>
  <c r="AE67" i="3"/>
  <c r="AD67" i="3"/>
  <c r="AC67" i="3"/>
  <c r="X67" i="3"/>
  <c r="W67" i="3"/>
  <c r="R67" i="3"/>
  <c r="Q67" i="3"/>
  <c r="AI67" i="3" s="1"/>
  <c r="J67" i="3"/>
  <c r="C67" i="3"/>
  <c r="B67" i="3"/>
  <c r="AJ66" i="3"/>
  <c r="AH66" i="3"/>
  <c r="AG66" i="3"/>
  <c r="AE66" i="3"/>
  <c r="AD66" i="3"/>
  <c r="AC66" i="3"/>
  <c r="X66" i="3"/>
  <c r="W66" i="3"/>
  <c r="R66" i="3"/>
  <c r="Q66" i="3"/>
  <c r="AI66" i="3" s="1"/>
  <c r="J66" i="3"/>
  <c r="C66" i="3" s="1"/>
  <c r="B66" i="3"/>
  <c r="AI65" i="3"/>
  <c r="AH65" i="3"/>
  <c r="AJ65" i="3" s="1"/>
  <c r="AG65" i="3"/>
  <c r="AE65" i="3"/>
  <c r="AD65" i="3"/>
  <c r="AC65" i="3"/>
  <c r="X65" i="3"/>
  <c r="W65" i="3"/>
  <c r="R65" i="3"/>
  <c r="Q65" i="3"/>
  <c r="J65" i="3"/>
  <c r="C65" i="3" s="1"/>
  <c r="B65" i="3"/>
  <c r="AI64" i="3"/>
  <c r="AH64" i="3"/>
  <c r="AJ64" i="3" s="1"/>
  <c r="AG64" i="3"/>
  <c r="AE64" i="3"/>
  <c r="AD64" i="3"/>
  <c r="AC64" i="3"/>
  <c r="X64" i="3"/>
  <c r="W64" i="3"/>
  <c r="R64" i="3"/>
  <c r="Q64" i="3"/>
  <c r="J64" i="3"/>
  <c r="C64" i="3" s="1"/>
  <c r="B64" i="3"/>
  <c r="AJ63" i="3"/>
  <c r="AH63" i="3"/>
  <c r="AG63" i="3"/>
  <c r="AE63" i="3"/>
  <c r="AD63" i="3"/>
  <c r="AC63" i="3"/>
  <c r="X63" i="3"/>
  <c r="W63" i="3"/>
  <c r="R63" i="3"/>
  <c r="Q63" i="3"/>
  <c r="AI63" i="3" s="1"/>
  <c r="J63" i="3"/>
  <c r="C63" i="3" s="1"/>
  <c r="B63" i="3"/>
  <c r="AI62" i="3"/>
  <c r="AH62" i="3"/>
  <c r="AJ62" i="3" s="1"/>
  <c r="AG62" i="3"/>
  <c r="AE62" i="3"/>
  <c r="AD62" i="3"/>
  <c r="AC62" i="3"/>
  <c r="X62" i="3"/>
  <c r="W62" i="3"/>
  <c r="R62" i="3"/>
  <c r="Q62" i="3"/>
  <c r="J62" i="3"/>
  <c r="C62" i="3" s="1"/>
  <c r="B62" i="3"/>
  <c r="AH61" i="3"/>
  <c r="AJ61" i="3" s="1"/>
  <c r="AG61" i="3"/>
  <c r="AE61" i="3"/>
  <c r="AD61" i="3"/>
  <c r="AC61" i="3"/>
  <c r="X61" i="3"/>
  <c r="W61" i="3"/>
  <c r="R61" i="3"/>
  <c r="Q61" i="3"/>
  <c r="AI61" i="3" s="1"/>
  <c r="J61" i="3"/>
  <c r="C61" i="3"/>
  <c r="B61" i="3"/>
  <c r="AJ60" i="3"/>
  <c r="AH60" i="3"/>
  <c r="AG60" i="3"/>
  <c r="AE60" i="3"/>
  <c r="AD60" i="3"/>
  <c r="AC60" i="3"/>
  <c r="X60" i="3"/>
  <c r="W60" i="3"/>
  <c r="R60" i="3"/>
  <c r="Q60" i="3"/>
  <c r="AI60" i="3" s="1"/>
  <c r="J60" i="3"/>
  <c r="C60" i="3" s="1"/>
  <c r="AI59" i="3"/>
  <c r="AH59" i="3"/>
  <c r="AJ59" i="3" s="1"/>
  <c r="AG59" i="3"/>
  <c r="AE59" i="3"/>
  <c r="AD59" i="3"/>
  <c r="AC59" i="3"/>
  <c r="X59" i="3"/>
  <c r="W59" i="3"/>
  <c r="R59" i="3"/>
  <c r="Q59" i="3"/>
  <c r="J59" i="3"/>
  <c r="C59" i="3" s="1"/>
  <c r="AH58" i="3"/>
  <c r="AJ58" i="3" s="1"/>
  <c r="AG58" i="3"/>
  <c r="AE58" i="3"/>
  <c r="AD58" i="3"/>
  <c r="AC58" i="3"/>
  <c r="X58" i="3"/>
  <c r="W58" i="3"/>
  <c r="R58" i="3"/>
  <c r="Q58" i="3"/>
  <c r="AI58" i="3" s="1"/>
  <c r="J58" i="3"/>
  <c r="C58" i="3" s="1"/>
  <c r="AJ57" i="3"/>
  <c r="AI57" i="3"/>
  <c r="AH57" i="3"/>
  <c r="AG57" i="3"/>
  <c r="AE57" i="3"/>
  <c r="AD57" i="3"/>
  <c r="AC57" i="3"/>
  <c r="X57" i="3"/>
  <c r="W57" i="3"/>
  <c r="R57" i="3"/>
  <c r="Q57" i="3"/>
  <c r="J57" i="3"/>
  <c r="C57" i="3" s="1"/>
  <c r="AI56" i="3"/>
  <c r="AH56" i="3"/>
  <c r="AJ56" i="3" s="1"/>
  <c r="AG56" i="3"/>
  <c r="AE56" i="3"/>
  <c r="AD56" i="3"/>
  <c r="AC56" i="3"/>
  <c r="X56" i="3"/>
  <c r="W56" i="3"/>
  <c r="R56" i="3"/>
  <c r="Q56" i="3"/>
  <c r="J56" i="3"/>
  <c r="C56" i="3" s="1"/>
  <c r="AH55" i="3"/>
  <c r="AJ55" i="3" s="1"/>
  <c r="AG55" i="3"/>
  <c r="AE55" i="3"/>
  <c r="AD55" i="3"/>
  <c r="AC55" i="3"/>
  <c r="X55" i="3"/>
  <c r="W55" i="3"/>
  <c r="R55" i="3"/>
  <c r="Q55" i="3"/>
  <c r="AI55" i="3" s="1"/>
  <c r="J55" i="3"/>
  <c r="C55" i="3" s="1"/>
  <c r="AJ54" i="3"/>
  <c r="AI54" i="3"/>
  <c r="AH54" i="3"/>
  <c r="AG54" i="3"/>
  <c r="AE54" i="3"/>
  <c r="AD54" i="3"/>
  <c r="AC54" i="3"/>
  <c r="X54" i="3"/>
  <c r="W54" i="3"/>
  <c r="R54" i="3"/>
  <c r="Q54" i="3"/>
  <c r="J54" i="3"/>
  <c r="C54" i="3" s="1"/>
  <c r="AH53" i="3"/>
  <c r="AJ53" i="3" s="1"/>
  <c r="AG53" i="3"/>
  <c r="AE53" i="3"/>
  <c r="AD53" i="3"/>
  <c r="AC53" i="3"/>
  <c r="X53" i="3"/>
  <c r="W53" i="3"/>
  <c r="R53" i="3"/>
  <c r="Q53" i="3"/>
  <c r="AI53" i="3" s="1"/>
  <c r="J53" i="3"/>
  <c r="C53" i="3"/>
  <c r="AH52" i="3"/>
  <c r="AJ52" i="3" s="1"/>
  <c r="AG52" i="3"/>
  <c r="AE52" i="3"/>
  <c r="AD52" i="3"/>
  <c r="AC52" i="3"/>
  <c r="X52" i="3"/>
  <c r="W52" i="3"/>
  <c r="R52" i="3"/>
  <c r="Q52" i="3"/>
  <c r="AI52" i="3" s="1"/>
  <c r="J52" i="3"/>
  <c r="C52" i="3" s="1"/>
  <c r="AJ51" i="3"/>
  <c r="AI51" i="3"/>
  <c r="AH51" i="3"/>
  <c r="AG51" i="3"/>
  <c r="AE51" i="3"/>
  <c r="AD51" i="3"/>
  <c r="AC51" i="3"/>
  <c r="X51" i="3"/>
  <c r="W51" i="3"/>
  <c r="R51" i="3"/>
  <c r="Q51" i="3"/>
  <c r="J51" i="3"/>
  <c r="C51" i="3" s="1"/>
  <c r="AH50" i="3"/>
  <c r="AJ50" i="3" s="1"/>
  <c r="AG50" i="3"/>
  <c r="AE50" i="3"/>
  <c r="AD50" i="3"/>
  <c r="AC50" i="3"/>
  <c r="X50" i="3"/>
  <c r="W50" i="3"/>
  <c r="R50" i="3"/>
  <c r="Q50" i="3"/>
  <c r="AI50" i="3" s="1"/>
  <c r="J50" i="3"/>
  <c r="C50" i="3" s="1"/>
  <c r="AH49" i="3"/>
  <c r="AJ49" i="3" s="1"/>
  <c r="AG49" i="3"/>
  <c r="AE49" i="3"/>
  <c r="AD49" i="3"/>
  <c r="AC49" i="3"/>
  <c r="X49" i="3"/>
  <c r="W49" i="3"/>
  <c r="R49" i="3"/>
  <c r="Q49" i="3"/>
  <c r="AI49" i="3" s="1"/>
  <c r="J49" i="3"/>
  <c r="C49" i="3" s="1"/>
  <c r="AJ48" i="3"/>
  <c r="AI48" i="3"/>
  <c r="AH48" i="3"/>
  <c r="AG48" i="3"/>
  <c r="AE48" i="3"/>
  <c r="AD48" i="3"/>
  <c r="AC48" i="3"/>
  <c r="X48" i="3"/>
  <c r="W48" i="3"/>
  <c r="R48" i="3"/>
  <c r="Q48" i="3"/>
  <c r="J48" i="3"/>
  <c r="C48" i="3" s="1"/>
  <c r="AH47" i="3"/>
  <c r="AJ47" i="3" s="1"/>
  <c r="AG47" i="3"/>
  <c r="AE47" i="3"/>
  <c r="AD47" i="3"/>
  <c r="AC47" i="3"/>
  <c r="X47" i="3"/>
  <c r="W47" i="3"/>
  <c r="R47" i="3"/>
  <c r="Q47" i="3"/>
  <c r="AI47" i="3" s="1"/>
  <c r="J47" i="3"/>
  <c r="C47" i="3" s="1"/>
  <c r="AH46" i="3"/>
  <c r="AJ46" i="3" s="1"/>
  <c r="AG46" i="3"/>
  <c r="AE46" i="3"/>
  <c r="AD46" i="3"/>
  <c r="AC46" i="3"/>
  <c r="X46" i="3"/>
  <c r="W46" i="3"/>
  <c r="R46" i="3"/>
  <c r="Q46" i="3"/>
  <c r="AI46" i="3" s="1"/>
  <c r="J46" i="3"/>
  <c r="C46" i="3" s="1"/>
  <c r="AJ45" i="3"/>
  <c r="AH45" i="3"/>
  <c r="AG45" i="3"/>
  <c r="AE45" i="3"/>
  <c r="AD45" i="3"/>
  <c r="AC45" i="3"/>
  <c r="X45" i="3"/>
  <c r="W45" i="3"/>
  <c r="R45" i="3"/>
  <c r="Q45" i="3"/>
  <c r="AI45" i="3" s="1"/>
  <c r="J45" i="3"/>
  <c r="C45" i="3" s="1"/>
  <c r="AH44" i="3"/>
  <c r="AJ44" i="3" s="1"/>
  <c r="AG44" i="3"/>
  <c r="AE44" i="3"/>
  <c r="AD44" i="3"/>
  <c r="AC44" i="3"/>
  <c r="X44" i="3"/>
  <c r="W44" i="3"/>
  <c r="R44" i="3"/>
  <c r="Q44" i="3"/>
  <c r="AI44" i="3" s="1"/>
  <c r="J44" i="3"/>
  <c r="C44" i="3" s="1"/>
  <c r="AH43" i="3"/>
  <c r="AJ43" i="3" s="1"/>
  <c r="AG43" i="3"/>
  <c r="AE43" i="3"/>
  <c r="AD43" i="3"/>
  <c r="AC43" i="3"/>
  <c r="X43" i="3"/>
  <c r="W43" i="3"/>
  <c r="R43" i="3"/>
  <c r="Q43" i="3"/>
  <c r="AI43" i="3" s="1"/>
  <c r="J43" i="3"/>
  <c r="C43" i="3" s="1"/>
  <c r="AJ42" i="3"/>
  <c r="AH42" i="3"/>
  <c r="AG42" i="3"/>
  <c r="AE42" i="3"/>
  <c r="AD42" i="3"/>
  <c r="AC42" i="3"/>
  <c r="X42" i="3"/>
  <c r="W42" i="3"/>
  <c r="R42" i="3"/>
  <c r="Q42" i="3"/>
  <c r="AI42" i="3" s="1"/>
  <c r="J42" i="3"/>
  <c r="C42" i="3" s="1"/>
  <c r="AI41" i="3"/>
  <c r="AH41" i="3"/>
  <c r="AG41" i="3"/>
  <c r="AJ41" i="3" s="1"/>
  <c r="AE41" i="3"/>
  <c r="AD41" i="3"/>
  <c r="AC41" i="3"/>
  <c r="X41" i="3"/>
  <c r="W41" i="3"/>
  <c r="R41" i="3"/>
  <c r="Q41" i="3"/>
  <c r="J41" i="3"/>
  <c r="C41" i="3" s="1"/>
  <c r="AH40" i="3"/>
  <c r="AJ40" i="3" s="1"/>
  <c r="AG40" i="3"/>
  <c r="AE40" i="3"/>
  <c r="AD40" i="3"/>
  <c r="AC40" i="3"/>
  <c r="X40" i="3"/>
  <c r="W40" i="3"/>
  <c r="R40" i="3"/>
  <c r="Q40" i="3"/>
  <c r="AI40" i="3" s="1"/>
  <c r="J40" i="3"/>
  <c r="C40" i="3" s="1"/>
  <c r="AJ39" i="3"/>
  <c r="AH39" i="3"/>
  <c r="AG39" i="3"/>
  <c r="AE39" i="3"/>
  <c r="AD39" i="3"/>
  <c r="AC39" i="3"/>
  <c r="X39" i="3"/>
  <c r="W39" i="3"/>
  <c r="R39" i="3"/>
  <c r="Q39" i="3"/>
  <c r="AI39" i="3" s="1"/>
  <c r="J39" i="3"/>
  <c r="C39" i="3" s="1"/>
  <c r="AI38" i="3"/>
  <c r="AH38" i="3"/>
  <c r="AG38" i="3"/>
  <c r="AJ38" i="3" s="1"/>
  <c r="AE38" i="3"/>
  <c r="AD38" i="3"/>
  <c r="AC38" i="3"/>
  <c r="X38" i="3"/>
  <c r="W38" i="3"/>
  <c r="R38" i="3"/>
  <c r="Q38" i="3"/>
  <c r="J38" i="3"/>
  <c r="C38" i="3" s="1"/>
  <c r="AJ37" i="3"/>
  <c r="AH37" i="3"/>
  <c r="AG37" i="3"/>
  <c r="AE37" i="3"/>
  <c r="AD37" i="3"/>
  <c r="AC37" i="3"/>
  <c r="X37" i="3"/>
  <c r="W37" i="3"/>
  <c r="R37" i="3"/>
  <c r="Q37" i="3"/>
  <c r="AI37" i="3" s="1"/>
  <c r="J37" i="3"/>
  <c r="C37" i="3"/>
  <c r="AJ36" i="3"/>
  <c r="AH36" i="3"/>
  <c r="AG36" i="3"/>
  <c r="AE36" i="3"/>
  <c r="AD36" i="3"/>
  <c r="AC36" i="3"/>
  <c r="X36" i="3"/>
  <c r="W36" i="3"/>
  <c r="R36" i="3"/>
  <c r="Q36" i="3"/>
  <c r="AI36" i="3" s="1"/>
  <c r="J36" i="3"/>
  <c r="C36" i="3" s="1"/>
  <c r="AI35" i="3"/>
  <c r="AH35" i="3"/>
  <c r="AJ35" i="3" s="1"/>
  <c r="AG35" i="3"/>
  <c r="AE35" i="3"/>
  <c r="AD35" i="3"/>
  <c r="AC35" i="3"/>
  <c r="X35" i="3"/>
  <c r="W35" i="3"/>
  <c r="R35" i="3"/>
  <c r="Q35" i="3"/>
  <c r="J35" i="3"/>
  <c r="C35" i="3" s="1"/>
  <c r="AJ34" i="3"/>
  <c r="AH34" i="3"/>
  <c r="AG34" i="3"/>
  <c r="AE34" i="3"/>
  <c r="AD34" i="3"/>
  <c r="AC34" i="3"/>
  <c r="X34" i="3"/>
  <c r="W34" i="3"/>
  <c r="R34" i="3"/>
  <c r="Q34" i="3"/>
  <c r="AI34" i="3" s="1"/>
  <c r="J34" i="3"/>
  <c r="C34" i="3" s="1"/>
  <c r="AI33" i="3"/>
  <c r="AH33" i="3"/>
  <c r="AJ33" i="3" s="1"/>
  <c r="AG33" i="3"/>
  <c r="AE33" i="3"/>
  <c r="AD33" i="3"/>
  <c r="AC33" i="3"/>
  <c r="X33" i="3"/>
  <c r="W33" i="3"/>
  <c r="R33" i="3"/>
  <c r="Q33" i="3"/>
  <c r="J33" i="3"/>
  <c r="C33" i="3" s="1"/>
  <c r="AI32" i="3"/>
  <c r="AH32" i="3"/>
  <c r="AJ32" i="3" s="1"/>
  <c r="AG32" i="3"/>
  <c r="AE32" i="3"/>
  <c r="AD32" i="3"/>
  <c r="AC32" i="3"/>
  <c r="X32" i="3"/>
  <c r="W32" i="3"/>
  <c r="R32" i="3"/>
  <c r="Q32" i="3"/>
  <c r="J32" i="3"/>
  <c r="C32" i="3" s="1"/>
  <c r="AJ31" i="3"/>
  <c r="AH31" i="3"/>
  <c r="AG31" i="3"/>
  <c r="AE31" i="3"/>
  <c r="AD31" i="3"/>
  <c r="AC31" i="3"/>
  <c r="X31" i="3"/>
  <c r="W31" i="3"/>
  <c r="R31" i="3"/>
  <c r="Q31" i="3"/>
  <c r="AI31" i="3" s="1"/>
  <c r="J31" i="3"/>
  <c r="C31" i="3" s="1"/>
  <c r="AI30" i="3"/>
  <c r="AH30" i="3"/>
  <c r="AJ30" i="3" s="1"/>
  <c r="AG30" i="3"/>
  <c r="AE30" i="3"/>
  <c r="AD30" i="3"/>
  <c r="AC30" i="3"/>
  <c r="X30" i="3"/>
  <c r="W30" i="3"/>
  <c r="R30" i="3"/>
  <c r="Q30" i="3"/>
  <c r="J30" i="3"/>
  <c r="C30" i="3" s="1"/>
  <c r="AH29" i="3"/>
  <c r="AJ29" i="3" s="1"/>
  <c r="AG29" i="3"/>
  <c r="AE29" i="3"/>
  <c r="AD29" i="3"/>
  <c r="AC29" i="3"/>
  <c r="X29" i="3"/>
  <c r="W29" i="3"/>
  <c r="R29" i="3"/>
  <c r="Q29" i="3"/>
  <c r="AI29" i="3" s="1"/>
  <c r="J29" i="3"/>
  <c r="C29" i="3"/>
  <c r="AJ28" i="3"/>
  <c r="AH28" i="3"/>
  <c r="AG28" i="3"/>
  <c r="AE28" i="3"/>
  <c r="AD28" i="3"/>
  <c r="AC28" i="3"/>
  <c r="X28" i="3"/>
  <c r="W28" i="3"/>
  <c r="R28" i="3"/>
  <c r="Q28" i="3"/>
  <c r="AI28" i="3" s="1"/>
  <c r="J28" i="3"/>
  <c r="C28" i="3" s="1"/>
  <c r="AI27" i="3"/>
  <c r="AH27" i="3"/>
  <c r="AG27" i="3"/>
  <c r="AE27" i="3"/>
  <c r="AD27" i="3"/>
  <c r="AC27" i="3"/>
  <c r="X27" i="3"/>
  <c r="W27" i="3"/>
  <c r="R27" i="3"/>
  <c r="Q27" i="3"/>
  <c r="J27" i="3"/>
  <c r="C27" i="3" s="1"/>
  <c r="AH26" i="3"/>
  <c r="AJ26" i="3" s="1"/>
  <c r="AG26" i="3"/>
  <c r="AE26" i="3"/>
  <c r="AD26" i="3"/>
  <c r="AC26" i="3"/>
  <c r="X26" i="3"/>
  <c r="W26" i="3"/>
  <c r="R26" i="3"/>
  <c r="Q26" i="3"/>
  <c r="AI26" i="3" s="1"/>
  <c r="J26" i="3"/>
  <c r="C26" i="3" s="1"/>
  <c r="AH25" i="3"/>
  <c r="AG25" i="3"/>
  <c r="AE25" i="3"/>
  <c r="AD25" i="3"/>
  <c r="AC25" i="3"/>
  <c r="X25" i="3"/>
  <c r="W25" i="3"/>
  <c r="R25" i="3"/>
  <c r="Q25" i="3"/>
  <c r="J25" i="3"/>
  <c r="C25" i="3" s="1"/>
  <c r="AH24" i="3"/>
  <c r="AJ24" i="3" s="1"/>
  <c r="AG24" i="3"/>
  <c r="AE24" i="3"/>
  <c r="AD24" i="3"/>
  <c r="AC24" i="3"/>
  <c r="X24" i="3"/>
  <c r="W24" i="3"/>
  <c r="R24" i="3"/>
  <c r="Q24" i="3"/>
  <c r="AI24" i="3" s="1"/>
  <c r="J24" i="3"/>
  <c r="AH23" i="3"/>
  <c r="AG23" i="3"/>
  <c r="AE23" i="3"/>
  <c r="AD23" i="3"/>
  <c r="AC23" i="3"/>
  <c r="X23" i="3"/>
  <c r="W23" i="3"/>
  <c r="R23" i="3"/>
  <c r="Q23" i="3"/>
  <c r="J23" i="3"/>
  <c r="T14" i="1" s="1"/>
  <c r="U14" i="1" s="1"/>
  <c r="AH22" i="3"/>
  <c r="AG22" i="3"/>
  <c r="AE22" i="3"/>
  <c r="AD22" i="3"/>
  <c r="AC22" i="3"/>
  <c r="X22" i="3"/>
  <c r="W22" i="3"/>
  <c r="R22" i="3"/>
  <c r="Q22" i="3"/>
  <c r="J22" i="3"/>
  <c r="AH21" i="3"/>
  <c r="AG21" i="3"/>
  <c r="AE21" i="3"/>
  <c r="AD21" i="3"/>
  <c r="AC21" i="3"/>
  <c r="X21" i="3"/>
  <c r="W21" i="3"/>
  <c r="R21" i="3"/>
  <c r="Q21" i="3"/>
  <c r="J21" i="3"/>
  <c r="AH20" i="3"/>
  <c r="AG20" i="3"/>
  <c r="AE20" i="3"/>
  <c r="AD20" i="3"/>
  <c r="AC20" i="3"/>
  <c r="X20" i="3"/>
  <c r="W20" i="3"/>
  <c r="R20" i="3"/>
  <c r="Q20" i="3"/>
  <c r="AI20" i="3" s="1"/>
  <c r="J20" i="3"/>
  <c r="G19" i="6" s="1"/>
  <c r="AH19" i="3"/>
  <c r="AG19" i="3"/>
  <c r="AD19" i="3"/>
  <c r="AC19" i="3"/>
  <c r="X19" i="3"/>
  <c r="W19" i="3"/>
  <c r="R19" i="3"/>
  <c r="Q19" i="3"/>
  <c r="J19" i="3"/>
  <c r="C20" i="6" s="1"/>
  <c r="AH18" i="3"/>
  <c r="AJ18" i="3" s="1"/>
  <c r="AG18" i="3"/>
  <c r="AE18" i="3"/>
  <c r="AD18" i="3"/>
  <c r="AC18" i="3"/>
  <c r="X18" i="3"/>
  <c r="W18" i="3"/>
  <c r="R18" i="3"/>
  <c r="Q18" i="3"/>
  <c r="J18" i="3"/>
  <c r="B18" i="3"/>
  <c r="AH17" i="3"/>
  <c r="AG17" i="3"/>
  <c r="AE17" i="3"/>
  <c r="AD17" i="3"/>
  <c r="AC17" i="3"/>
  <c r="X17" i="3"/>
  <c r="W17" i="3"/>
  <c r="R17" i="3"/>
  <c r="Q17" i="3"/>
  <c r="J17" i="3"/>
  <c r="B17" i="3"/>
  <c r="AH16" i="3"/>
  <c r="AG16" i="3"/>
  <c r="AE16" i="3"/>
  <c r="AD16" i="3"/>
  <c r="AC16" i="3"/>
  <c r="X16" i="3"/>
  <c r="W16" i="3"/>
  <c r="R16" i="3"/>
  <c r="Q16" i="3"/>
  <c r="AI16" i="3" s="1"/>
  <c r="J16" i="3"/>
  <c r="B16" i="3"/>
  <c r="AH15" i="3"/>
  <c r="AG15" i="3"/>
  <c r="AE15" i="3"/>
  <c r="AD15" i="3"/>
  <c r="AC15" i="3"/>
  <c r="X15" i="3"/>
  <c r="W15" i="3"/>
  <c r="R15" i="3"/>
  <c r="Q15" i="3"/>
  <c r="J15" i="3"/>
  <c r="B15" i="3"/>
  <c r="AH14" i="3"/>
  <c r="AG14" i="3"/>
  <c r="AE14" i="3"/>
  <c r="AD14" i="3"/>
  <c r="AC14" i="3"/>
  <c r="X14" i="3"/>
  <c r="W14" i="3"/>
  <c r="R14" i="3"/>
  <c r="Q14" i="3"/>
  <c r="J14" i="3"/>
  <c r="B14" i="3"/>
  <c r="AH13" i="3"/>
  <c r="AJ13" i="3" s="1"/>
  <c r="AG13" i="3"/>
  <c r="AE13" i="3"/>
  <c r="AD13" i="3"/>
  <c r="AC13" i="3"/>
  <c r="X13" i="3"/>
  <c r="W13" i="3"/>
  <c r="R13" i="3"/>
  <c r="Q13" i="3"/>
  <c r="J13" i="3"/>
  <c r="T13" i="1" s="1"/>
  <c r="B13" i="3"/>
  <c r="AH12" i="3"/>
  <c r="AJ12" i="3" s="1"/>
  <c r="AG12" i="3"/>
  <c r="AE12" i="3"/>
  <c r="AD12" i="3"/>
  <c r="AC12" i="3"/>
  <c r="X12" i="3"/>
  <c r="W12" i="3"/>
  <c r="R12" i="3"/>
  <c r="Q12" i="3"/>
  <c r="AI12" i="3" s="1"/>
  <c r="J12" i="3"/>
  <c r="B12" i="3"/>
  <c r="AH11" i="3"/>
  <c r="AJ11" i="3" s="1"/>
  <c r="AG11" i="3"/>
  <c r="AE11" i="3"/>
  <c r="AD11" i="3"/>
  <c r="AC11" i="3"/>
  <c r="AI11" i="3" s="1"/>
  <c r="X11" i="3"/>
  <c r="W11" i="3"/>
  <c r="R11" i="3"/>
  <c r="Q11" i="3"/>
  <c r="J11" i="3"/>
  <c r="B11" i="3"/>
  <c r="AJ10" i="3"/>
  <c r="AH10" i="3"/>
  <c r="AG10" i="3"/>
  <c r="AE10" i="3"/>
  <c r="AD10" i="3"/>
  <c r="AC10" i="3"/>
  <c r="X10" i="3"/>
  <c r="W10" i="3"/>
  <c r="R10" i="3"/>
  <c r="Q10" i="3"/>
  <c r="AI10" i="3" s="1"/>
  <c r="J10" i="3"/>
  <c r="B10" i="3"/>
  <c r="AH9" i="3"/>
  <c r="AG9" i="3"/>
  <c r="AJ9" i="3" s="1"/>
  <c r="AE9" i="3"/>
  <c r="AD9" i="3"/>
  <c r="AC9" i="3"/>
  <c r="X9" i="3"/>
  <c r="W9" i="3"/>
  <c r="R9" i="3"/>
  <c r="Q9" i="3"/>
  <c r="AI9" i="3" s="1"/>
  <c r="J9" i="3"/>
  <c r="B9" i="3"/>
  <c r="AH8" i="3"/>
  <c r="AJ8" i="3" s="1"/>
  <c r="AG8" i="3"/>
  <c r="AE8" i="3"/>
  <c r="AD8" i="3"/>
  <c r="AC8" i="3"/>
  <c r="AI8" i="3" s="1"/>
  <c r="X8" i="3"/>
  <c r="W8" i="3"/>
  <c r="R8" i="3"/>
  <c r="Q8" i="3"/>
  <c r="J8" i="3"/>
  <c r="B8" i="3"/>
  <c r="AJ7" i="3"/>
  <c r="AH7" i="3"/>
  <c r="AG7" i="3"/>
  <c r="AE7" i="3"/>
  <c r="AD7" i="3"/>
  <c r="AC7" i="3"/>
  <c r="X7" i="3"/>
  <c r="W7" i="3"/>
  <c r="R7" i="3"/>
  <c r="Q7" i="3"/>
  <c r="AI7" i="3" s="1"/>
  <c r="J7" i="3"/>
  <c r="B7" i="3"/>
  <c r="AI6" i="3"/>
  <c r="AH6" i="3"/>
  <c r="AG6" i="3"/>
  <c r="AJ6" i="3" s="1"/>
  <c r="AE6" i="3"/>
  <c r="AD6" i="3"/>
  <c r="AC6" i="3"/>
  <c r="X6" i="3"/>
  <c r="W6" i="3"/>
  <c r="R6" i="3"/>
  <c r="Q6" i="3"/>
  <c r="J6" i="3"/>
  <c r="B6" i="3"/>
  <c r="AJ5" i="3"/>
  <c r="AH5" i="3"/>
  <c r="AG5" i="3"/>
  <c r="AE5" i="3"/>
  <c r="AD5" i="3"/>
  <c r="AC5" i="3"/>
  <c r="X5" i="3"/>
  <c r="W5" i="3"/>
  <c r="R5" i="3"/>
  <c r="Q5" i="3"/>
  <c r="AI5" i="3" s="1"/>
  <c r="J5" i="3"/>
  <c r="B5" i="3"/>
  <c r="AJ4" i="3"/>
  <c r="AH4" i="3"/>
  <c r="AG4" i="3"/>
  <c r="AE4" i="3"/>
  <c r="AD4" i="3"/>
  <c r="AC4" i="3"/>
  <c r="X4" i="3"/>
  <c r="W4" i="3"/>
  <c r="R4" i="3"/>
  <c r="Q4" i="3"/>
  <c r="AI4" i="3" s="1"/>
  <c r="J4" i="3"/>
  <c r="B4" i="3"/>
  <c r="AI3" i="3"/>
  <c r="AH3" i="3"/>
  <c r="AJ3" i="3" s="1"/>
  <c r="AG3" i="3"/>
  <c r="AE3" i="3"/>
  <c r="AD3" i="3"/>
  <c r="AC3" i="3"/>
  <c r="X3" i="3"/>
  <c r="W3" i="3"/>
  <c r="R3" i="3"/>
  <c r="Q3" i="3"/>
  <c r="J3" i="3"/>
  <c r="B3" i="3"/>
  <c r="U13" i="1" l="1"/>
  <c r="V13" i="1"/>
  <c r="U19" i="1"/>
  <c r="T19" i="1"/>
  <c r="V19" i="1" s="1"/>
  <c r="V16" i="1"/>
  <c r="V10" i="1"/>
  <c r="V12" i="1"/>
  <c r="V14" i="1"/>
  <c r="V11" i="1"/>
  <c r="AJ17" i="3"/>
  <c r="AI15" i="3"/>
  <c r="AJ15" i="3"/>
  <c r="AI14" i="3"/>
  <c r="AI18" i="3"/>
  <c r="AI13" i="3"/>
  <c r="AJ16" i="3"/>
  <c r="AJ25" i="3"/>
  <c r="AJ14" i="3"/>
  <c r="AJ27" i="3"/>
  <c r="V15" i="1"/>
  <c r="AI25" i="3"/>
  <c r="J21" i="6"/>
  <c r="C24" i="3"/>
  <c r="C21" i="6"/>
  <c r="D21" i="6"/>
  <c r="H10" i="6"/>
  <c r="D12" i="6"/>
  <c r="E21" i="6"/>
  <c r="C12" i="6"/>
  <c r="F21" i="6"/>
  <c r="C8" i="6"/>
  <c r="C11" i="6"/>
  <c r="G21" i="6"/>
  <c r="D8" i="6"/>
  <c r="E11" i="6"/>
  <c r="H21" i="6"/>
  <c r="F11" i="6"/>
  <c r="I21" i="6"/>
  <c r="G11" i="6"/>
  <c r="B21" i="6"/>
  <c r="C23" i="3"/>
  <c r="AI22" i="3"/>
  <c r="AI23" i="3"/>
  <c r="AJ23" i="3"/>
  <c r="D20" i="6"/>
  <c r="E20" i="6"/>
  <c r="D19" i="6"/>
  <c r="D7" i="6"/>
  <c r="E19" i="6"/>
  <c r="E7" i="6"/>
  <c r="F19" i="6"/>
  <c r="F7" i="6"/>
  <c r="G7" i="6"/>
  <c r="J20" i="6"/>
  <c r="C20" i="3"/>
  <c r="C45" i="4"/>
  <c r="C78" i="5" s="1"/>
  <c r="C21" i="3"/>
  <c r="D45" i="4"/>
  <c r="D78" i="5" s="1"/>
  <c r="C47" i="4"/>
  <c r="C80" i="5" s="1"/>
  <c r="B45" i="4"/>
  <c r="B78" i="5" s="1"/>
  <c r="B47" i="4"/>
  <c r="B80" i="5" s="1"/>
  <c r="D47" i="4"/>
  <c r="D80" i="5" s="1"/>
  <c r="E45" i="4"/>
  <c r="E78" i="5" s="1"/>
  <c r="E47" i="4"/>
  <c r="E80" i="5" s="1"/>
  <c r="B46" i="4"/>
  <c r="B79" i="5" s="1"/>
  <c r="B48" i="4"/>
  <c r="B81" i="5" s="1"/>
  <c r="C46" i="4"/>
  <c r="C79" i="5" s="1"/>
  <c r="C48" i="4"/>
  <c r="C81" i="5" s="1"/>
  <c r="D46" i="4"/>
  <c r="D79" i="5" s="1"/>
  <c r="E46" i="4"/>
  <c r="E79" i="5" s="1"/>
  <c r="C19" i="6"/>
  <c r="AI21" i="3"/>
  <c r="C7" i="6"/>
  <c r="AJ21" i="3"/>
  <c r="AJ20" i="3"/>
  <c r="AI17" i="3"/>
  <c r="AI19" i="3"/>
  <c r="AJ19" i="3"/>
  <c r="AJ22" i="3"/>
  <c r="C17" i="3"/>
  <c r="C22" i="3"/>
  <c r="C9" i="3"/>
  <c r="C3" i="3"/>
  <c r="G2" i="7" s="1"/>
  <c r="C5" i="3"/>
  <c r="C8" i="3"/>
  <c r="C11" i="3"/>
  <c r="C14" i="3"/>
  <c r="C13" i="3"/>
  <c r="C16" i="3"/>
  <c r="C19" i="3"/>
  <c r="C4" i="3"/>
  <c r="E3" i="7" s="1"/>
  <c r="P3" i="7" s="1"/>
  <c r="C7" i="3"/>
  <c r="C10" i="3"/>
  <c r="C12" i="3"/>
  <c r="C15" i="3"/>
  <c r="C18" i="3"/>
  <c r="B23" i="4"/>
  <c r="B24" i="4" s="1"/>
  <c r="I22" i="1" s="1"/>
  <c r="H26" i="6"/>
  <c r="G26" i="6"/>
  <c r="J17" i="6"/>
  <c r="F26" i="6"/>
  <c r="E26" i="6"/>
  <c r="B17" i="6"/>
  <c r="B26" i="6"/>
  <c r="J26" i="6"/>
  <c r="C17" i="6"/>
  <c r="J27" i="6"/>
  <c r="G27" i="6"/>
  <c r="F27" i="6"/>
  <c r="E27" i="6"/>
  <c r="D27" i="6"/>
  <c r="C27" i="6"/>
  <c r="B27" i="6"/>
  <c r="H27" i="6"/>
  <c r="H18" i="6"/>
  <c r="B26" i="4"/>
  <c r="J25" i="6"/>
  <c r="B25" i="6"/>
  <c r="I16" i="6"/>
  <c r="H6" i="6"/>
  <c r="H25" i="6"/>
  <c r="G16" i="6"/>
  <c r="F6" i="6"/>
  <c r="G25" i="6"/>
  <c r="F16" i="6"/>
  <c r="E6" i="6"/>
  <c r="F25" i="6"/>
  <c r="E25" i="6"/>
  <c r="D16" i="6"/>
  <c r="C6" i="6"/>
  <c r="D25" i="6"/>
  <c r="C16" i="6"/>
  <c r="J6" i="6"/>
  <c r="B6" i="6"/>
  <c r="C25" i="6"/>
  <c r="J16" i="6"/>
  <c r="B16" i="6"/>
  <c r="I6" i="6"/>
  <c r="H16" i="6"/>
  <c r="G6" i="6"/>
  <c r="E16" i="6"/>
  <c r="D6" i="6"/>
  <c r="I25" i="6"/>
  <c r="C6" i="3"/>
  <c r="B30" i="4"/>
  <c r="M3" i="1" s="1"/>
  <c r="D26" i="6"/>
  <c r="H17" i="6"/>
  <c r="F18" i="6"/>
  <c r="I27" i="6"/>
  <c r="I26" i="6"/>
  <c r="C26" i="6"/>
  <c r="I17" i="6"/>
  <c r="G18" i="6"/>
  <c r="I18" i="6"/>
  <c r="D17" i="6"/>
  <c r="B18" i="6"/>
  <c r="J18" i="6"/>
  <c r="H19" i="6"/>
  <c r="F20" i="6"/>
  <c r="E17" i="6"/>
  <c r="C18" i="6"/>
  <c r="I19" i="6"/>
  <c r="G20" i="6"/>
  <c r="F17" i="6"/>
  <c r="D18" i="6"/>
  <c r="B19" i="6"/>
  <c r="J19" i="6"/>
  <c r="H20" i="6"/>
  <c r="G17" i="6"/>
  <c r="E18" i="6"/>
  <c r="I20" i="6"/>
  <c r="B20" i="6"/>
  <c r="B9" i="6"/>
  <c r="J9" i="6"/>
  <c r="E8" i="6"/>
  <c r="C9" i="6"/>
  <c r="I10" i="6"/>
  <c r="E12" i="6"/>
  <c r="H7" i="6"/>
  <c r="F8" i="6"/>
  <c r="D9" i="6"/>
  <c r="B10" i="6"/>
  <c r="J10" i="6"/>
  <c r="H11" i="6"/>
  <c r="F12" i="6"/>
  <c r="I7" i="6"/>
  <c r="G8" i="6"/>
  <c r="E9" i="6"/>
  <c r="C10" i="6"/>
  <c r="I11" i="6"/>
  <c r="G12" i="6"/>
  <c r="I9" i="6"/>
  <c r="B7" i="6"/>
  <c r="J7" i="6"/>
  <c r="H8" i="6"/>
  <c r="F9" i="6"/>
  <c r="D10" i="6"/>
  <c r="B11" i="6"/>
  <c r="J11" i="6"/>
  <c r="H12" i="6"/>
  <c r="I8" i="6"/>
  <c r="G9" i="6"/>
  <c r="I12" i="6"/>
  <c r="B8" i="6"/>
  <c r="B12" i="6"/>
  <c r="D48" i="4" l="1"/>
  <c r="D81" i="5" s="1"/>
  <c r="E48" i="4"/>
  <c r="E81" i="5" s="1"/>
  <c r="B2" i="7"/>
  <c r="B31" i="4"/>
  <c r="C4" i="7"/>
  <c r="R2" i="7"/>
  <c r="K2" i="7"/>
  <c r="F2" i="7"/>
  <c r="H2" i="7"/>
  <c r="E2" i="7"/>
  <c r="I2" i="7"/>
  <c r="J2" i="7"/>
  <c r="D2" i="7"/>
  <c r="J3" i="7"/>
  <c r="U3" i="7" s="1"/>
  <c r="C2" i="7"/>
  <c r="B4" i="7"/>
  <c r="H3" i="7"/>
  <c r="S3" i="7" s="1"/>
  <c r="F3" i="7"/>
  <c r="Q3" i="7" s="1"/>
  <c r="G4" i="7"/>
  <c r="R4" i="7" s="1"/>
  <c r="E4" i="7"/>
  <c r="P4" i="7" s="1"/>
  <c r="B3" i="7"/>
  <c r="C3" i="7"/>
  <c r="K4" i="7"/>
  <c r="V4" i="7" s="1"/>
  <c r="K3" i="7"/>
  <c r="V3" i="7" s="1"/>
  <c r="D80" i="7"/>
  <c r="O80" i="7" s="1"/>
  <c r="I3" i="7"/>
  <c r="T3" i="7" s="1"/>
  <c r="H4" i="7"/>
  <c r="S4" i="7" s="1"/>
  <c r="D3" i="7"/>
  <c r="O3" i="7" s="1"/>
  <c r="G3" i="7"/>
  <c r="R3" i="7" s="1"/>
  <c r="I4" i="7"/>
  <c r="T4" i="7" s="1"/>
  <c r="J4" i="7"/>
  <c r="U4" i="7" s="1"/>
  <c r="D4" i="7"/>
  <c r="O4" i="7" s="1"/>
  <c r="F4" i="7"/>
  <c r="Q4" i="7" s="1"/>
  <c r="B27" i="4"/>
  <c r="M22" i="1" s="1"/>
  <c r="D3" i="1"/>
  <c r="B25" i="4"/>
  <c r="A22" i="1" s="1"/>
  <c r="J8" i="7"/>
  <c r="U8" i="7" s="1"/>
  <c r="I18" i="7"/>
  <c r="T18" i="7" s="1"/>
  <c r="J37" i="7"/>
  <c r="U37" i="7" s="1"/>
  <c r="E82" i="7"/>
  <c r="P82" i="7" s="1"/>
  <c r="F149" i="7"/>
  <c r="Q149" i="7" s="1"/>
  <c r="F30" i="7"/>
  <c r="Q30" i="7" s="1"/>
  <c r="J150" i="7"/>
  <c r="U150" i="7" s="1"/>
  <c r="B9" i="7"/>
  <c r="I22" i="7"/>
  <c r="T22" i="7" s="1"/>
  <c r="F38" i="7"/>
  <c r="Q38" i="7" s="1"/>
  <c r="G84" i="7"/>
  <c r="R84" i="7" s="1"/>
  <c r="D152" i="7"/>
  <c r="O152" i="7" s="1"/>
  <c r="E6" i="7"/>
  <c r="P6" i="7" s="1"/>
  <c r="F14" i="7"/>
  <c r="Q14" i="7" s="1"/>
  <c r="I30" i="7"/>
  <c r="T30" i="7" s="1"/>
  <c r="B78" i="7"/>
  <c r="B141" i="7"/>
  <c r="E28" i="7"/>
  <c r="P28" i="7" s="1"/>
  <c r="E9" i="7"/>
  <c r="P9" i="7" s="1"/>
  <c r="B18" i="7"/>
  <c r="K32" i="7"/>
  <c r="V32" i="7" s="1"/>
  <c r="I70" i="7"/>
  <c r="T70" i="7" s="1"/>
  <c r="H156" i="7"/>
  <c r="S156" i="7" s="1"/>
  <c r="C32" i="7"/>
  <c r="I137" i="7"/>
  <c r="T137" i="7" s="1"/>
  <c r="G8" i="7"/>
  <c r="R8" i="7" s="1"/>
  <c r="B17" i="7"/>
  <c r="D31" i="7"/>
  <c r="O31" i="7" s="1"/>
  <c r="C64" i="7"/>
  <c r="I144" i="7"/>
  <c r="T144" i="7" s="1"/>
  <c r="I5" i="7"/>
  <c r="I13" i="7"/>
  <c r="T13" i="7" s="1"/>
  <c r="H27" i="7"/>
  <c r="S27" i="7" s="1"/>
  <c r="G44" i="7"/>
  <c r="R44" i="7" s="1"/>
  <c r="F111" i="7"/>
  <c r="Q111" i="7" s="1"/>
  <c r="H11" i="7"/>
  <c r="S11" i="7" s="1"/>
  <c r="B26" i="7"/>
  <c r="H41" i="7"/>
  <c r="S41" i="7" s="1"/>
  <c r="K96" i="7"/>
  <c r="V96" i="7" s="1"/>
  <c r="F12" i="7"/>
  <c r="Q12" i="7" s="1"/>
  <c r="D18" i="7"/>
  <c r="O18" i="7" s="1"/>
  <c r="J24" i="7"/>
  <c r="U24" i="7" s="1"/>
  <c r="E31" i="7"/>
  <c r="P31" i="7" s="1"/>
  <c r="K37" i="7"/>
  <c r="V37" i="7" s="1"/>
  <c r="I49" i="7"/>
  <c r="T49" i="7" s="1"/>
  <c r="I81" i="7"/>
  <c r="T81" i="7" s="1"/>
  <c r="J110" i="7"/>
  <c r="U110" i="7" s="1"/>
  <c r="E141" i="7"/>
  <c r="P141" i="7" s="1"/>
  <c r="I9" i="7"/>
  <c r="T9" i="7" s="1"/>
  <c r="C19" i="7"/>
  <c r="K27" i="7"/>
  <c r="V27" i="7" s="1"/>
  <c r="J38" i="7"/>
  <c r="U38" i="7" s="1"/>
  <c r="B62" i="7"/>
  <c r="H108" i="7"/>
  <c r="S108" i="7" s="1"/>
  <c r="J169" i="7"/>
  <c r="U169" i="7" s="1"/>
  <c r="B25" i="7"/>
  <c r="I36" i="7"/>
  <c r="T36" i="7" s="1"/>
  <c r="C48" i="7"/>
  <c r="G100" i="7"/>
  <c r="R100" i="7" s="1"/>
  <c r="E27" i="7"/>
  <c r="P27" i="7" s="1"/>
  <c r="D401" i="7"/>
  <c r="O401" i="7" s="1"/>
  <c r="F395" i="7"/>
  <c r="Q395" i="7" s="1"/>
  <c r="K388" i="7"/>
  <c r="V388" i="7" s="1"/>
  <c r="E382" i="7"/>
  <c r="P382" i="7" s="1"/>
  <c r="J375" i="7"/>
  <c r="U375" i="7" s="1"/>
  <c r="D369" i="7"/>
  <c r="O369" i="7" s="1"/>
  <c r="F363" i="7"/>
  <c r="Q363" i="7" s="1"/>
  <c r="K356" i="7"/>
  <c r="V356" i="7" s="1"/>
  <c r="E350" i="7"/>
  <c r="P350" i="7" s="1"/>
  <c r="B401" i="7"/>
  <c r="G394" i="7"/>
  <c r="R394" i="7" s="1"/>
  <c r="G399" i="7"/>
  <c r="R399" i="7" s="1"/>
  <c r="I393" i="7"/>
  <c r="T393" i="7" s="1"/>
  <c r="C387" i="7"/>
  <c r="H380" i="7"/>
  <c r="S380" i="7" s="1"/>
  <c r="B374" i="7"/>
  <c r="G367" i="7"/>
  <c r="R367" i="7" s="1"/>
  <c r="I361" i="7"/>
  <c r="T361" i="7" s="1"/>
  <c r="C355" i="7"/>
  <c r="H348" i="7"/>
  <c r="S348" i="7" s="1"/>
  <c r="E399" i="7"/>
  <c r="P399" i="7" s="1"/>
  <c r="J392" i="7"/>
  <c r="U392" i="7" s="1"/>
  <c r="D386" i="7"/>
  <c r="O386" i="7" s="1"/>
  <c r="F380" i="7"/>
  <c r="Q380" i="7" s="1"/>
  <c r="K373" i="7"/>
  <c r="V373" i="7" s="1"/>
  <c r="E367" i="7"/>
  <c r="P367" i="7" s="1"/>
  <c r="J360" i="7"/>
  <c r="U360" i="7" s="1"/>
  <c r="D354" i="7"/>
  <c r="O354" i="7" s="1"/>
  <c r="F348" i="7"/>
  <c r="Q348" i="7" s="1"/>
  <c r="G398" i="7"/>
  <c r="R398" i="7" s="1"/>
  <c r="I392" i="7"/>
  <c r="T392" i="7" s="1"/>
  <c r="C386" i="7"/>
  <c r="H379" i="7"/>
  <c r="S379" i="7" s="1"/>
  <c r="B373" i="7"/>
  <c r="G366" i="7"/>
  <c r="R366" i="7" s="1"/>
  <c r="I360" i="7"/>
  <c r="T360" i="7" s="1"/>
  <c r="C354" i="7"/>
  <c r="H347" i="7"/>
  <c r="S347" i="7" s="1"/>
  <c r="F398" i="7"/>
  <c r="Q398" i="7" s="1"/>
  <c r="K391" i="7"/>
  <c r="V391" i="7" s="1"/>
  <c r="E385" i="7"/>
  <c r="P385" i="7" s="1"/>
  <c r="J378" i="7"/>
  <c r="U378" i="7" s="1"/>
  <c r="D372" i="7"/>
  <c r="O372" i="7" s="1"/>
  <c r="F366" i="7"/>
  <c r="Q366" i="7" s="1"/>
  <c r="K359" i="7"/>
  <c r="V359" i="7" s="1"/>
  <c r="E353" i="7"/>
  <c r="P353" i="7" s="1"/>
  <c r="J346" i="7"/>
  <c r="U346" i="7" s="1"/>
  <c r="D387" i="7"/>
  <c r="O387" i="7" s="1"/>
  <c r="J371" i="7"/>
  <c r="U371" i="7" s="1"/>
  <c r="E352" i="7"/>
  <c r="P352" i="7" s="1"/>
  <c r="B341" i="7"/>
  <c r="G334" i="7"/>
  <c r="R334" i="7" s="1"/>
  <c r="I328" i="7"/>
  <c r="T328" i="7" s="1"/>
  <c r="C322" i="7"/>
  <c r="H315" i="7"/>
  <c r="S315" i="7" s="1"/>
  <c r="B309" i="7"/>
  <c r="D381" i="7"/>
  <c r="O381" i="7" s="1"/>
  <c r="G365" i="7"/>
  <c r="R365" i="7" s="1"/>
  <c r="E346" i="7"/>
  <c r="P346" i="7" s="1"/>
  <c r="J338" i="7"/>
  <c r="U338" i="7" s="1"/>
  <c r="D332" i="7"/>
  <c r="O332" i="7" s="1"/>
  <c r="F326" i="7"/>
  <c r="Q326" i="7" s="1"/>
  <c r="K319" i="7"/>
  <c r="V319" i="7" s="1"/>
  <c r="E313" i="7"/>
  <c r="P313" i="7" s="1"/>
  <c r="J306" i="7"/>
  <c r="U306" i="7" s="1"/>
  <c r="H386" i="7"/>
  <c r="S386" i="7" s="1"/>
  <c r="C369" i="7"/>
  <c r="J353" i="7"/>
  <c r="U353" i="7" s="1"/>
  <c r="K340" i="7"/>
  <c r="V340" i="7" s="1"/>
  <c r="E334" i="7"/>
  <c r="P334" i="7" s="1"/>
  <c r="J327" i="7"/>
  <c r="U327" i="7" s="1"/>
  <c r="D321" i="7"/>
  <c r="O321" i="7" s="1"/>
  <c r="C393" i="7"/>
  <c r="K376" i="7"/>
  <c r="V376" i="7" s="1"/>
  <c r="F359" i="7"/>
  <c r="Q359" i="7" s="1"/>
  <c r="F344" i="7"/>
  <c r="Q344" i="7" s="1"/>
  <c r="K337" i="7"/>
  <c r="V337" i="7" s="1"/>
  <c r="E331" i="7"/>
  <c r="P331" i="7" s="1"/>
  <c r="J324" i="7"/>
  <c r="U324" i="7" s="1"/>
  <c r="D318" i="7"/>
  <c r="O318" i="7" s="1"/>
  <c r="I398" i="7"/>
  <c r="T398" i="7" s="1"/>
  <c r="G380" i="7"/>
  <c r="R380" i="7" s="1"/>
  <c r="J364" i="7"/>
  <c r="U364" i="7" s="1"/>
  <c r="E347" i="7"/>
  <c r="P347" i="7" s="1"/>
  <c r="D339" i="7"/>
  <c r="O339" i="7" s="1"/>
  <c r="F333" i="7"/>
  <c r="Q333" i="7" s="1"/>
  <c r="K326" i="7"/>
  <c r="V326" i="7" s="1"/>
  <c r="E320" i="7"/>
  <c r="P320" i="7" s="1"/>
  <c r="J313" i="7"/>
  <c r="U313" i="7" s="1"/>
  <c r="D307" i="7"/>
  <c r="O307" i="7" s="1"/>
  <c r="K385" i="7"/>
  <c r="V385" i="7" s="1"/>
  <c r="G370" i="7"/>
  <c r="R370" i="7" s="1"/>
  <c r="B355" i="7"/>
  <c r="B342" i="7"/>
  <c r="G335" i="7"/>
  <c r="R335" i="7" s="1"/>
  <c r="I329" i="7"/>
  <c r="T329" i="7" s="1"/>
  <c r="H354" i="7"/>
  <c r="S354" i="7" s="1"/>
  <c r="D322" i="7"/>
  <c r="O322" i="7" s="1"/>
  <c r="B310" i="7"/>
  <c r="I302" i="7"/>
  <c r="T302" i="7" s="1"/>
  <c r="C296" i="7"/>
  <c r="H394" i="7"/>
  <c r="S394" i="7" s="1"/>
  <c r="I339" i="7"/>
  <c r="T339" i="7" s="1"/>
  <c r="F316" i="7"/>
  <c r="Q316" i="7" s="1"/>
  <c r="J304" i="7"/>
  <c r="U304" i="7" s="1"/>
  <c r="D298" i="7"/>
  <c r="O298" i="7" s="1"/>
  <c r="F292" i="7"/>
  <c r="Q292" i="7" s="1"/>
  <c r="K285" i="7"/>
  <c r="V285" i="7" s="1"/>
  <c r="K352" i="7"/>
  <c r="V352" i="7" s="1"/>
  <c r="I323" i="7"/>
  <c r="T323" i="7" s="1"/>
  <c r="K309" i="7"/>
  <c r="V309" i="7" s="1"/>
  <c r="J301" i="7"/>
  <c r="U301" i="7" s="1"/>
  <c r="D295" i="7"/>
  <c r="O295" i="7" s="1"/>
  <c r="F289" i="7"/>
  <c r="Q289" i="7" s="1"/>
  <c r="K282" i="7"/>
  <c r="V282" i="7" s="1"/>
  <c r="E276" i="7"/>
  <c r="P276" i="7" s="1"/>
  <c r="J269" i="7"/>
  <c r="U269" i="7" s="1"/>
  <c r="I391" i="7"/>
  <c r="T391" i="7" s="1"/>
  <c r="B336" i="7"/>
  <c r="E317" i="7"/>
  <c r="P317" i="7" s="1"/>
  <c r="F307" i="7"/>
  <c r="Q307" i="7" s="1"/>
  <c r="D300" i="7"/>
  <c r="O300" i="7" s="1"/>
  <c r="F294" i="7"/>
  <c r="Q294" i="7" s="1"/>
  <c r="K287" i="7"/>
  <c r="V287" i="7" s="1"/>
  <c r="E281" i="7"/>
  <c r="P281" i="7" s="1"/>
  <c r="J274" i="7"/>
  <c r="U274" i="7" s="1"/>
  <c r="K400" i="7"/>
  <c r="V400" i="7" s="1"/>
  <c r="E338" i="7"/>
  <c r="P338" i="7" s="1"/>
  <c r="D317" i="7"/>
  <c r="O317" i="7" s="1"/>
  <c r="E306" i="7"/>
  <c r="P306" i="7" s="1"/>
  <c r="C300" i="7"/>
  <c r="H293" i="7"/>
  <c r="S293" i="7" s="1"/>
  <c r="B287" i="7"/>
  <c r="G280" i="7"/>
  <c r="R280" i="7" s="1"/>
  <c r="I274" i="7"/>
  <c r="T274" i="7" s="1"/>
  <c r="C268" i="7"/>
  <c r="C366" i="7"/>
  <c r="G329" i="7"/>
  <c r="R329" i="7" s="1"/>
  <c r="K312" i="7"/>
  <c r="V312" i="7" s="1"/>
  <c r="F304" i="7"/>
  <c r="Q304" i="7" s="1"/>
  <c r="K297" i="7"/>
  <c r="V297" i="7" s="1"/>
  <c r="E291" i="7"/>
  <c r="P291" i="7" s="1"/>
  <c r="E343" i="7"/>
  <c r="P343" i="7" s="1"/>
  <c r="E322" i="7"/>
  <c r="P322" i="7" s="1"/>
  <c r="D310" i="7"/>
  <c r="O310" i="7" s="1"/>
  <c r="H300" i="7"/>
  <c r="S300" i="7" s="1"/>
  <c r="B294" i="7"/>
  <c r="G287" i="7"/>
  <c r="R287" i="7" s="1"/>
  <c r="I281" i="7"/>
  <c r="T281" i="7" s="1"/>
  <c r="C275" i="7"/>
  <c r="H268" i="7"/>
  <c r="S268" i="7" s="1"/>
  <c r="J284" i="7"/>
  <c r="U284" i="7" s="1"/>
  <c r="H271" i="7"/>
  <c r="S271" i="7" s="1"/>
  <c r="F322" i="7"/>
  <c r="Q322" i="7" s="1"/>
  <c r="B283" i="7"/>
  <c r="F271" i="7"/>
  <c r="Q271" i="7" s="1"/>
  <c r="E262" i="7"/>
  <c r="P262" i="7" s="1"/>
  <c r="J255" i="7"/>
  <c r="U255" i="7" s="1"/>
  <c r="D249" i="7"/>
  <c r="O249" i="7" s="1"/>
  <c r="F243" i="7"/>
  <c r="Q243" i="7" s="1"/>
  <c r="K236" i="7"/>
  <c r="V236" i="7" s="1"/>
  <c r="G400" i="7"/>
  <c r="R400" i="7" s="1"/>
  <c r="I394" i="7"/>
  <c r="T394" i="7" s="1"/>
  <c r="C388" i="7"/>
  <c r="H381" i="7"/>
  <c r="S381" i="7" s="1"/>
  <c r="B375" i="7"/>
  <c r="G368" i="7"/>
  <c r="R368" i="7" s="1"/>
  <c r="I362" i="7"/>
  <c r="T362" i="7" s="1"/>
  <c r="C356" i="7"/>
  <c r="H349" i="7"/>
  <c r="S349" i="7" s="1"/>
  <c r="E400" i="7"/>
  <c r="P400" i="7" s="1"/>
  <c r="J393" i="7"/>
  <c r="U393" i="7" s="1"/>
  <c r="J398" i="7"/>
  <c r="U398" i="7" s="1"/>
  <c r="D392" i="7"/>
  <c r="O392" i="7" s="1"/>
  <c r="F386" i="7"/>
  <c r="Q386" i="7" s="1"/>
  <c r="K379" i="7"/>
  <c r="V379" i="7" s="1"/>
  <c r="E373" i="7"/>
  <c r="P373" i="7" s="1"/>
  <c r="J366" i="7"/>
  <c r="U366" i="7" s="1"/>
  <c r="D360" i="7"/>
  <c r="O360" i="7" s="1"/>
  <c r="F354" i="7"/>
  <c r="Q354" i="7" s="1"/>
  <c r="K347" i="7"/>
  <c r="V347" i="7" s="1"/>
  <c r="H398" i="7"/>
  <c r="S398" i="7" s="1"/>
  <c r="B392" i="7"/>
  <c r="G385" i="7"/>
  <c r="R385" i="7" s="1"/>
  <c r="I379" i="7"/>
  <c r="T379" i="7" s="1"/>
  <c r="C373" i="7"/>
  <c r="H366" i="7"/>
  <c r="S366" i="7" s="1"/>
  <c r="B360" i="7"/>
  <c r="G353" i="7"/>
  <c r="R353" i="7" s="1"/>
  <c r="I347" i="7"/>
  <c r="T347" i="7" s="1"/>
  <c r="J397" i="7"/>
  <c r="U397" i="7" s="1"/>
  <c r="D391" i="7"/>
  <c r="O391" i="7" s="1"/>
  <c r="F385" i="7"/>
  <c r="Q385" i="7" s="1"/>
  <c r="K378" i="7"/>
  <c r="V378" i="7" s="1"/>
  <c r="E372" i="7"/>
  <c r="P372" i="7" s="1"/>
  <c r="J365" i="7"/>
  <c r="U365" i="7" s="1"/>
  <c r="D359" i="7"/>
  <c r="O359" i="7" s="1"/>
  <c r="F353" i="7"/>
  <c r="Q353" i="7" s="1"/>
  <c r="K346" i="7"/>
  <c r="V346" i="7" s="1"/>
  <c r="I397" i="7"/>
  <c r="T397" i="7" s="1"/>
  <c r="C391" i="7"/>
  <c r="H384" i="7"/>
  <c r="S384" i="7" s="1"/>
  <c r="B378" i="7"/>
  <c r="G371" i="7"/>
  <c r="R371" i="7" s="1"/>
  <c r="I365" i="7"/>
  <c r="T365" i="7" s="1"/>
  <c r="C359" i="7"/>
  <c r="H352" i="7"/>
  <c r="S352" i="7" s="1"/>
  <c r="B346" i="7"/>
  <c r="C385" i="7"/>
  <c r="J369" i="7"/>
  <c r="U369" i="7" s="1"/>
  <c r="D350" i="7"/>
  <c r="O350" i="7" s="1"/>
  <c r="E340" i="7"/>
  <c r="P340" i="7" s="1"/>
  <c r="J333" i="7"/>
  <c r="U333" i="7" s="1"/>
  <c r="D327" i="7"/>
  <c r="O327" i="7" s="1"/>
  <c r="F321" i="7"/>
  <c r="Q321" i="7" s="1"/>
  <c r="K314" i="7"/>
  <c r="V314" i="7" s="1"/>
  <c r="E308" i="7"/>
  <c r="P308" i="7" s="1"/>
  <c r="D379" i="7"/>
  <c r="O379" i="7" s="1"/>
  <c r="J363" i="7"/>
  <c r="U363" i="7" s="1"/>
  <c r="H344" i="7"/>
  <c r="S344" i="7" s="1"/>
  <c r="B338" i="7"/>
  <c r="G331" i="7"/>
  <c r="R331" i="7" s="1"/>
  <c r="I325" i="7"/>
  <c r="T325" i="7" s="1"/>
  <c r="C319" i="7"/>
  <c r="H312" i="7"/>
  <c r="S312" i="7" s="1"/>
  <c r="B306" i="7"/>
  <c r="K384" i="7"/>
  <c r="V384" i="7" s="1"/>
  <c r="F367" i="7"/>
  <c r="Q367" i="7" s="1"/>
  <c r="I351" i="7"/>
  <c r="T351" i="7" s="1"/>
  <c r="C340" i="7"/>
  <c r="H333" i="7"/>
  <c r="S333" i="7" s="1"/>
  <c r="B327" i="7"/>
  <c r="G320" i="7"/>
  <c r="R320" i="7" s="1"/>
  <c r="D390" i="7"/>
  <c r="O390" i="7" s="1"/>
  <c r="K374" i="7"/>
  <c r="V374" i="7" s="1"/>
  <c r="F357" i="7"/>
  <c r="Q357" i="7" s="1"/>
  <c r="I343" i="7"/>
  <c r="T343" i="7" s="1"/>
  <c r="C337" i="7"/>
  <c r="H330" i="7"/>
  <c r="S330" i="7" s="1"/>
  <c r="B324" i="7"/>
  <c r="G317" i="7"/>
  <c r="R317" i="7" s="1"/>
  <c r="J395" i="7"/>
  <c r="U395" i="7" s="1"/>
  <c r="G378" i="7"/>
  <c r="R378" i="7" s="1"/>
  <c r="B363" i="7"/>
  <c r="H345" i="7"/>
  <c r="S345" i="7" s="1"/>
  <c r="G338" i="7"/>
  <c r="R338" i="7" s="1"/>
  <c r="I332" i="7"/>
  <c r="T332" i="7" s="1"/>
  <c r="C326" i="7"/>
  <c r="H319" i="7"/>
  <c r="S319" i="7" s="1"/>
  <c r="B313" i="7"/>
  <c r="G306" i="7"/>
  <c r="R306" i="7" s="1"/>
  <c r="C384" i="7"/>
  <c r="F368" i="7"/>
  <c r="Q368" i="7" s="1"/>
  <c r="B353" i="7"/>
  <c r="E341" i="7"/>
  <c r="P341" i="7" s="1"/>
  <c r="J334" i="7"/>
  <c r="U334" i="7" s="1"/>
  <c r="D328" i="7"/>
  <c r="O328" i="7" s="1"/>
  <c r="B347" i="7"/>
  <c r="C320" i="7"/>
  <c r="K308" i="7"/>
  <c r="V308" i="7" s="1"/>
  <c r="D301" i="7"/>
  <c r="O301" i="7" s="1"/>
  <c r="F295" i="7"/>
  <c r="Q295" i="7" s="1"/>
  <c r="H385" i="7"/>
  <c r="S385" i="7" s="1"/>
  <c r="J336" i="7"/>
  <c r="U336" i="7" s="1"/>
  <c r="G313" i="7"/>
  <c r="R313" i="7" s="1"/>
  <c r="B304" i="7"/>
  <c r="G297" i="7"/>
  <c r="R297" i="7" s="1"/>
  <c r="I291" i="7"/>
  <c r="T291" i="7" s="1"/>
  <c r="C285" i="7"/>
  <c r="B345" i="7"/>
  <c r="H321" i="7"/>
  <c r="S321" i="7" s="1"/>
  <c r="H308" i="7"/>
  <c r="S308" i="7" s="1"/>
  <c r="B301" i="7"/>
  <c r="G294" i="7"/>
  <c r="R294" i="7" s="1"/>
  <c r="I288" i="7"/>
  <c r="T288" i="7" s="1"/>
  <c r="C282" i="7"/>
  <c r="H275" i="7"/>
  <c r="S275" i="7" s="1"/>
  <c r="B269" i="7"/>
  <c r="H383" i="7"/>
  <c r="S383" i="7" s="1"/>
  <c r="C333" i="7"/>
  <c r="K315" i="7"/>
  <c r="V315" i="7" s="1"/>
  <c r="F306" i="7"/>
  <c r="Q306" i="7" s="1"/>
  <c r="G299" i="7"/>
  <c r="R299" i="7" s="1"/>
  <c r="I293" i="7"/>
  <c r="T293" i="7" s="1"/>
  <c r="C287" i="7"/>
  <c r="H280" i="7"/>
  <c r="S280" i="7" s="1"/>
  <c r="B274" i="7"/>
  <c r="G389" i="7"/>
  <c r="R389" i="7" s="1"/>
  <c r="F335" i="7"/>
  <c r="Q335" i="7" s="1"/>
  <c r="J315" i="7"/>
  <c r="U315" i="7" s="1"/>
  <c r="F305" i="7"/>
  <c r="Q305" i="7" s="1"/>
  <c r="F299" i="7"/>
  <c r="Q299" i="7" s="1"/>
  <c r="K292" i="7"/>
  <c r="V292" i="7" s="1"/>
  <c r="E286" i="7"/>
  <c r="P286" i="7" s="1"/>
  <c r="J279" i="7"/>
  <c r="U279" i="7" s="1"/>
  <c r="D273" i="7"/>
  <c r="O273" i="7" s="1"/>
  <c r="F267" i="7"/>
  <c r="Q267" i="7" s="1"/>
  <c r="D358" i="7"/>
  <c r="O358" i="7" s="1"/>
  <c r="I326" i="7"/>
  <c r="T326" i="7" s="1"/>
  <c r="I311" i="7"/>
  <c r="T311" i="7" s="1"/>
  <c r="I303" i="7"/>
  <c r="T303" i="7" s="1"/>
  <c r="C297" i="7"/>
  <c r="H290" i="7"/>
  <c r="S290" i="7" s="1"/>
  <c r="F340" i="7"/>
  <c r="Q340" i="7" s="1"/>
  <c r="D320" i="7"/>
  <c r="O320" i="7" s="1"/>
  <c r="C309" i="7"/>
  <c r="K299" i="7"/>
  <c r="V299" i="7" s="1"/>
  <c r="E293" i="7"/>
  <c r="P293" i="7" s="1"/>
  <c r="J286" i="7"/>
  <c r="U286" i="7" s="1"/>
  <c r="D280" i="7"/>
  <c r="O280" i="7" s="1"/>
  <c r="F274" i="7"/>
  <c r="Q274" i="7" s="1"/>
  <c r="J348" i="7"/>
  <c r="U348" i="7" s="1"/>
  <c r="D283" i="7"/>
  <c r="O283" i="7" s="1"/>
  <c r="C270" i="7"/>
  <c r="E310" i="7"/>
  <c r="P310" i="7" s="1"/>
  <c r="H281" i="7"/>
  <c r="S281" i="7" s="1"/>
  <c r="G268" i="7"/>
  <c r="R268" i="7" s="1"/>
  <c r="H261" i="7"/>
  <c r="S261" i="7" s="1"/>
  <c r="B255" i="7"/>
  <c r="G248" i="7"/>
  <c r="R248" i="7" s="1"/>
  <c r="I242" i="7"/>
  <c r="T242" i="7" s="1"/>
  <c r="J399" i="7"/>
  <c r="U399" i="7" s="1"/>
  <c r="D393" i="7"/>
  <c r="O393" i="7" s="1"/>
  <c r="F387" i="7"/>
  <c r="Q387" i="7" s="1"/>
  <c r="K380" i="7"/>
  <c r="V380" i="7" s="1"/>
  <c r="E374" i="7"/>
  <c r="P374" i="7" s="1"/>
  <c r="J367" i="7"/>
  <c r="U367" i="7" s="1"/>
  <c r="D361" i="7"/>
  <c r="O361" i="7" s="1"/>
  <c r="F355" i="7"/>
  <c r="Q355" i="7" s="1"/>
  <c r="K348" i="7"/>
  <c r="V348" i="7" s="1"/>
  <c r="H399" i="7"/>
  <c r="S399" i="7" s="1"/>
  <c r="B393" i="7"/>
  <c r="B398" i="7"/>
  <c r="G391" i="7"/>
  <c r="R391" i="7" s="1"/>
  <c r="I385" i="7"/>
  <c r="T385" i="7" s="1"/>
  <c r="C379" i="7"/>
  <c r="H372" i="7"/>
  <c r="S372" i="7" s="1"/>
  <c r="B366" i="7"/>
  <c r="G359" i="7"/>
  <c r="R359" i="7" s="1"/>
  <c r="I353" i="7"/>
  <c r="T353" i="7" s="1"/>
  <c r="C347" i="7"/>
  <c r="K397" i="7"/>
  <c r="V397" i="7" s="1"/>
  <c r="E391" i="7"/>
  <c r="P391" i="7" s="1"/>
  <c r="J384" i="7"/>
  <c r="U384" i="7" s="1"/>
  <c r="D378" i="7"/>
  <c r="O378" i="7" s="1"/>
  <c r="F372" i="7"/>
  <c r="Q372" i="7" s="1"/>
  <c r="K365" i="7"/>
  <c r="V365" i="7" s="1"/>
  <c r="E359" i="7"/>
  <c r="P359" i="7" s="1"/>
  <c r="J352" i="7"/>
  <c r="U352" i="7" s="1"/>
  <c r="D346" i="7"/>
  <c r="O346" i="7" s="1"/>
  <c r="B397" i="7"/>
  <c r="G390" i="7"/>
  <c r="R390" i="7" s="1"/>
  <c r="I384" i="7"/>
  <c r="T384" i="7" s="1"/>
  <c r="C378" i="7"/>
  <c r="H371" i="7"/>
  <c r="S371" i="7" s="1"/>
  <c r="B365" i="7"/>
  <c r="G358" i="7"/>
  <c r="R358" i="7" s="1"/>
  <c r="I352" i="7"/>
  <c r="T352" i="7" s="1"/>
  <c r="C346" i="7"/>
  <c r="D396" i="7"/>
  <c r="O396" i="7" s="1"/>
  <c r="F390" i="7"/>
  <c r="Q390" i="7" s="1"/>
  <c r="K383" i="7"/>
  <c r="V383" i="7" s="1"/>
  <c r="E377" i="7"/>
  <c r="P377" i="7" s="1"/>
  <c r="J370" i="7"/>
  <c r="U370" i="7" s="1"/>
  <c r="D364" i="7"/>
  <c r="O364" i="7" s="1"/>
  <c r="F358" i="7"/>
  <c r="Q358" i="7" s="1"/>
  <c r="K351" i="7"/>
  <c r="V351" i="7" s="1"/>
  <c r="E345" i="7"/>
  <c r="P345" i="7" s="1"/>
  <c r="F383" i="7"/>
  <c r="Q383" i="7" s="1"/>
  <c r="I367" i="7"/>
  <c r="T367" i="7" s="1"/>
  <c r="G348" i="7"/>
  <c r="R348" i="7" s="1"/>
  <c r="H339" i="7"/>
  <c r="S339" i="7" s="1"/>
  <c r="B333" i="7"/>
  <c r="G326" i="7"/>
  <c r="R326" i="7" s="1"/>
  <c r="I320" i="7"/>
  <c r="T320" i="7" s="1"/>
  <c r="C314" i="7"/>
  <c r="I399" i="7"/>
  <c r="T399" i="7" s="1"/>
  <c r="C377" i="7"/>
  <c r="J361" i="7"/>
  <c r="U361" i="7" s="1"/>
  <c r="K343" i="7"/>
  <c r="V343" i="7" s="1"/>
  <c r="E337" i="7"/>
  <c r="P337" i="7" s="1"/>
  <c r="J330" i="7"/>
  <c r="U330" i="7" s="1"/>
  <c r="D324" i="7"/>
  <c r="O324" i="7" s="1"/>
  <c r="F318" i="7"/>
  <c r="Q318" i="7" s="1"/>
  <c r="K311" i="7"/>
  <c r="V311" i="7" s="1"/>
  <c r="E305" i="7"/>
  <c r="P305" i="7" s="1"/>
  <c r="K382" i="7"/>
  <c r="V382" i="7" s="1"/>
  <c r="F365" i="7"/>
  <c r="Q365" i="7" s="1"/>
  <c r="K345" i="7"/>
  <c r="V345" i="7" s="1"/>
  <c r="F339" i="7"/>
  <c r="Q339" i="7" s="1"/>
  <c r="K332" i="7"/>
  <c r="V332" i="7" s="1"/>
  <c r="E326" i="7"/>
  <c r="P326" i="7" s="1"/>
  <c r="J319" i="7"/>
  <c r="U319" i="7" s="1"/>
  <c r="G388" i="7"/>
  <c r="R388" i="7" s="1"/>
  <c r="J372" i="7"/>
  <c r="U372" i="7" s="1"/>
  <c r="E355" i="7"/>
  <c r="P355" i="7" s="1"/>
  <c r="D342" i="7"/>
  <c r="O342" i="7" s="1"/>
  <c r="F336" i="7"/>
  <c r="Q336" i="7" s="1"/>
  <c r="K329" i="7"/>
  <c r="V329" i="7" s="1"/>
  <c r="E323" i="7"/>
  <c r="P323" i="7" s="1"/>
  <c r="J316" i="7"/>
  <c r="U316" i="7" s="1"/>
  <c r="K392" i="7"/>
  <c r="V392" i="7" s="1"/>
  <c r="F376" i="7"/>
  <c r="Q376" i="7" s="1"/>
  <c r="B361" i="7"/>
  <c r="E344" i="7"/>
  <c r="P344" i="7" s="1"/>
  <c r="J337" i="7"/>
  <c r="U337" i="7" s="1"/>
  <c r="D331" i="7"/>
  <c r="O331" i="7" s="1"/>
  <c r="F325" i="7"/>
  <c r="Q325" i="7" s="1"/>
  <c r="K318" i="7"/>
  <c r="V318" i="7" s="1"/>
  <c r="E312" i="7"/>
  <c r="P312" i="7" s="1"/>
  <c r="J305" i="7"/>
  <c r="U305" i="7" s="1"/>
  <c r="C382" i="7"/>
  <c r="I366" i="7"/>
  <c r="T366" i="7" s="1"/>
  <c r="D349" i="7"/>
  <c r="O349" i="7" s="1"/>
  <c r="H340" i="7"/>
  <c r="S340" i="7" s="1"/>
  <c r="B334" i="7"/>
  <c r="G327" i="7"/>
  <c r="R327" i="7" s="1"/>
  <c r="I342" i="7"/>
  <c r="T342" i="7" s="1"/>
  <c r="B318" i="7"/>
  <c r="J307" i="7"/>
  <c r="U307" i="7" s="1"/>
  <c r="G300" i="7"/>
  <c r="R300" i="7" s="1"/>
  <c r="I294" i="7"/>
  <c r="T294" i="7" s="1"/>
  <c r="J377" i="7"/>
  <c r="U377" i="7" s="1"/>
  <c r="K333" i="7"/>
  <c r="V333" i="7" s="1"/>
  <c r="D312" i="7"/>
  <c r="O312" i="7" s="1"/>
  <c r="E303" i="7"/>
  <c r="P303" i="7" s="1"/>
  <c r="J296" i="7"/>
  <c r="U296" i="7" s="1"/>
  <c r="D290" i="7"/>
  <c r="O290" i="7" s="1"/>
  <c r="F284" i="7"/>
  <c r="Q284" i="7" s="1"/>
  <c r="B339" i="7"/>
  <c r="G319" i="7"/>
  <c r="R319" i="7" s="1"/>
  <c r="H307" i="7"/>
  <c r="S307" i="7" s="1"/>
  <c r="E300" i="7"/>
  <c r="P300" i="7" s="1"/>
  <c r="J293" i="7"/>
  <c r="U293" i="7" s="1"/>
  <c r="D287" i="7"/>
  <c r="O287" i="7" s="1"/>
  <c r="F281" i="7"/>
  <c r="Q281" i="7" s="1"/>
  <c r="K274" i="7"/>
  <c r="V274" i="7" s="1"/>
  <c r="E268" i="7"/>
  <c r="P268" i="7" s="1"/>
  <c r="I375" i="7"/>
  <c r="T375" i="7" s="1"/>
  <c r="D330" i="7"/>
  <c r="O330" i="7" s="1"/>
  <c r="F314" i="7"/>
  <c r="Q314" i="7" s="1"/>
  <c r="G305" i="7"/>
  <c r="R305" i="7" s="1"/>
  <c r="J298" i="7"/>
  <c r="U298" i="7" s="1"/>
  <c r="D292" i="7"/>
  <c r="O292" i="7" s="1"/>
  <c r="F286" i="7"/>
  <c r="Q286" i="7" s="1"/>
  <c r="K279" i="7"/>
  <c r="V279" i="7" s="1"/>
  <c r="E273" i="7"/>
  <c r="P273" i="7" s="1"/>
  <c r="C374" i="7"/>
  <c r="G332" i="7"/>
  <c r="R332" i="7" s="1"/>
  <c r="E314" i="7"/>
  <c r="P314" i="7" s="1"/>
  <c r="G304" i="7"/>
  <c r="R304" i="7" s="1"/>
  <c r="I298" i="7"/>
  <c r="T298" i="7" s="1"/>
  <c r="C292" i="7"/>
  <c r="H285" i="7"/>
  <c r="S285" i="7" s="1"/>
  <c r="B279" i="7"/>
  <c r="G272" i="7"/>
  <c r="R272" i="7" s="1"/>
  <c r="I266" i="7"/>
  <c r="T266" i="7" s="1"/>
  <c r="I350" i="7"/>
  <c r="T350" i="7" s="1"/>
  <c r="H324" i="7"/>
  <c r="S324" i="7" s="1"/>
  <c r="H310" i="7"/>
  <c r="S310" i="7" s="1"/>
  <c r="D302" i="7"/>
  <c r="O302" i="7" s="1"/>
  <c r="F296" i="7"/>
  <c r="Q296" i="7" s="1"/>
  <c r="G397" i="7"/>
  <c r="R397" i="7" s="1"/>
  <c r="G337" i="7"/>
  <c r="R337" i="7" s="1"/>
  <c r="H318" i="7"/>
  <c r="S318" i="7" s="1"/>
  <c r="K307" i="7"/>
  <c r="V307" i="7" s="1"/>
  <c r="C299" i="7"/>
  <c r="H292" i="7"/>
  <c r="S292" i="7" s="1"/>
  <c r="B286" i="7"/>
  <c r="G279" i="7"/>
  <c r="R279" i="7" s="1"/>
  <c r="I273" i="7"/>
  <c r="T273" i="7" s="1"/>
  <c r="G324" i="7"/>
  <c r="R324" i="7" s="1"/>
  <c r="J281" i="7"/>
  <c r="U281" i="7" s="1"/>
  <c r="I268" i="7"/>
  <c r="T268" i="7" s="1"/>
  <c r="K302" i="7"/>
  <c r="V302" i="7" s="1"/>
  <c r="C280" i="7"/>
  <c r="G267" i="7"/>
  <c r="R267" i="7" s="1"/>
  <c r="K260" i="7"/>
  <c r="V260" i="7" s="1"/>
  <c r="E254" i="7"/>
  <c r="P254" i="7" s="1"/>
  <c r="J247" i="7"/>
  <c r="U247" i="7" s="1"/>
  <c r="D241" i="7"/>
  <c r="O241" i="7" s="1"/>
  <c r="F235" i="7"/>
  <c r="Q235" i="7" s="1"/>
  <c r="B399" i="7"/>
  <c r="G392" i="7"/>
  <c r="R392" i="7" s="1"/>
  <c r="I386" i="7"/>
  <c r="T386" i="7" s="1"/>
  <c r="C380" i="7"/>
  <c r="H373" i="7"/>
  <c r="S373" i="7" s="1"/>
  <c r="B367" i="7"/>
  <c r="G360" i="7"/>
  <c r="R360" i="7" s="1"/>
  <c r="I354" i="7"/>
  <c r="T354" i="7" s="1"/>
  <c r="C348" i="7"/>
  <c r="K398" i="7"/>
  <c r="V398" i="7" s="1"/>
  <c r="E392" i="7"/>
  <c r="P392" i="7" s="1"/>
  <c r="E397" i="7"/>
  <c r="P397" i="7" s="1"/>
  <c r="J390" i="7"/>
  <c r="U390" i="7" s="1"/>
  <c r="D384" i="7"/>
  <c r="O384" i="7" s="1"/>
  <c r="F378" i="7"/>
  <c r="Q378" i="7" s="1"/>
  <c r="K371" i="7"/>
  <c r="V371" i="7" s="1"/>
  <c r="E365" i="7"/>
  <c r="P365" i="7" s="1"/>
  <c r="J358" i="7"/>
  <c r="U358" i="7" s="1"/>
  <c r="D352" i="7"/>
  <c r="O352" i="7" s="1"/>
  <c r="F346" i="7"/>
  <c r="Q346" i="7" s="1"/>
  <c r="C397" i="7"/>
  <c r="H390" i="7"/>
  <c r="S390" i="7" s="1"/>
  <c r="B384" i="7"/>
  <c r="G377" i="7"/>
  <c r="R377" i="7" s="1"/>
  <c r="I371" i="7"/>
  <c r="T371" i="7" s="1"/>
  <c r="C365" i="7"/>
  <c r="H358" i="7"/>
  <c r="S358" i="7" s="1"/>
  <c r="B352" i="7"/>
  <c r="G345" i="7"/>
  <c r="R345" i="7" s="1"/>
  <c r="E396" i="7"/>
  <c r="P396" i="7" s="1"/>
  <c r="J389" i="7"/>
  <c r="U389" i="7" s="1"/>
  <c r="D383" i="7"/>
  <c r="O383" i="7" s="1"/>
  <c r="F377" i="7"/>
  <c r="Q377" i="7" s="1"/>
  <c r="K370" i="7"/>
  <c r="V370" i="7" s="1"/>
  <c r="E364" i="7"/>
  <c r="P364" i="7" s="1"/>
  <c r="J357" i="7"/>
  <c r="U357" i="7" s="1"/>
  <c r="D351" i="7"/>
  <c r="O351" i="7" s="1"/>
  <c r="F345" i="7"/>
  <c r="Q345" i="7" s="1"/>
  <c r="G395" i="7"/>
  <c r="R395" i="7" s="1"/>
  <c r="I389" i="7"/>
  <c r="T389" i="7" s="1"/>
  <c r="C383" i="7"/>
  <c r="H376" i="7"/>
  <c r="S376" i="7" s="1"/>
  <c r="B370" i="7"/>
  <c r="G363" i="7"/>
  <c r="R363" i="7" s="1"/>
  <c r="I357" i="7"/>
  <c r="T357" i="7" s="1"/>
  <c r="C351" i="7"/>
  <c r="C400" i="7"/>
  <c r="F381" i="7"/>
  <c r="Q381" i="7" s="1"/>
  <c r="K361" i="7"/>
  <c r="V361" i="7" s="1"/>
  <c r="G346" i="7"/>
  <c r="R346" i="7" s="1"/>
  <c r="K338" i="7"/>
  <c r="V338" i="7" s="1"/>
  <c r="E332" i="7"/>
  <c r="P332" i="7" s="1"/>
  <c r="J325" i="7"/>
  <c r="U325" i="7" s="1"/>
  <c r="D319" i="7"/>
  <c r="O319" i="7" s="1"/>
  <c r="F313" i="7"/>
  <c r="Q313" i="7" s="1"/>
  <c r="J396" i="7"/>
  <c r="U396" i="7" s="1"/>
  <c r="F375" i="7"/>
  <c r="Q375" i="7" s="1"/>
  <c r="I359" i="7"/>
  <c r="T359" i="7" s="1"/>
  <c r="C343" i="7"/>
  <c r="H336" i="7"/>
  <c r="S336" i="7" s="1"/>
  <c r="B330" i="7"/>
  <c r="G323" i="7"/>
  <c r="R323" i="7" s="1"/>
  <c r="I317" i="7"/>
  <c r="T317" i="7" s="1"/>
  <c r="C311" i="7"/>
  <c r="F399" i="7"/>
  <c r="Q399" i="7" s="1"/>
  <c r="J380" i="7"/>
  <c r="U380" i="7" s="1"/>
  <c r="E363" i="7"/>
  <c r="P363" i="7" s="1"/>
  <c r="G344" i="7"/>
  <c r="R344" i="7" s="1"/>
  <c r="I338" i="7"/>
  <c r="T338" i="7" s="1"/>
  <c r="C332" i="7"/>
  <c r="H325" i="7"/>
  <c r="S325" i="7" s="1"/>
  <c r="B319" i="7"/>
  <c r="G386" i="7"/>
  <c r="R386" i="7" s="1"/>
  <c r="B371" i="7"/>
  <c r="H353" i="7"/>
  <c r="S353" i="7" s="1"/>
  <c r="G341" i="7"/>
  <c r="R341" i="7" s="1"/>
  <c r="I335" i="7"/>
  <c r="T335" i="7" s="1"/>
  <c r="C329" i="7"/>
  <c r="H322" i="7"/>
  <c r="S322" i="7" s="1"/>
  <c r="B316" i="7"/>
  <c r="C390" i="7"/>
  <c r="I374" i="7"/>
  <c r="T374" i="7" s="1"/>
  <c r="D357" i="7"/>
  <c r="O357" i="7" s="1"/>
  <c r="H343" i="7"/>
  <c r="S343" i="7" s="1"/>
  <c r="B337" i="7"/>
  <c r="G330" i="7"/>
  <c r="R330" i="7" s="1"/>
  <c r="I324" i="7"/>
  <c r="T324" i="7" s="1"/>
  <c r="C318" i="7"/>
  <c r="H311" i="7"/>
  <c r="S311" i="7" s="1"/>
  <c r="B305" i="7"/>
  <c r="B380" i="7"/>
  <c r="I364" i="7"/>
  <c r="T364" i="7" s="1"/>
  <c r="D347" i="7"/>
  <c r="O347" i="7" s="1"/>
  <c r="K339" i="7"/>
  <c r="V339" i="7" s="1"/>
  <c r="E333" i="7"/>
  <c r="P333" i="7" s="1"/>
  <c r="B395" i="7"/>
  <c r="J339" i="7"/>
  <c r="U339" i="7" s="1"/>
  <c r="G316" i="7"/>
  <c r="R316" i="7" s="1"/>
  <c r="K306" i="7"/>
  <c r="V306" i="7" s="1"/>
  <c r="J299" i="7"/>
  <c r="U299" i="7" s="1"/>
  <c r="D293" i="7"/>
  <c r="O293" i="7" s="1"/>
  <c r="K369" i="7"/>
  <c r="V369" i="7" s="1"/>
  <c r="B328" i="7"/>
  <c r="B311" i="7"/>
  <c r="H302" i="7"/>
  <c r="S302" i="7" s="1"/>
  <c r="B296" i="7"/>
  <c r="G289" i="7"/>
  <c r="R289" i="7" s="1"/>
  <c r="C392" i="7"/>
  <c r="C336" i="7"/>
  <c r="K317" i="7"/>
  <c r="V317" i="7" s="1"/>
  <c r="H306" i="7"/>
  <c r="S306" i="7" s="1"/>
  <c r="H299" i="7"/>
  <c r="S299" i="7" s="1"/>
  <c r="B293" i="7"/>
  <c r="G286" i="7"/>
  <c r="R286" i="7" s="1"/>
  <c r="I280" i="7"/>
  <c r="T280" i="7" s="1"/>
  <c r="C274" i="7"/>
  <c r="H267" i="7"/>
  <c r="S267" i="7" s="1"/>
  <c r="C368" i="7"/>
  <c r="E327" i="7"/>
  <c r="P327" i="7" s="1"/>
  <c r="C313" i="7"/>
  <c r="H304" i="7"/>
  <c r="S304" i="7" s="1"/>
  <c r="B298" i="7"/>
  <c r="G291" i="7"/>
  <c r="R291" i="7" s="1"/>
  <c r="I285" i="7"/>
  <c r="T285" i="7" s="1"/>
  <c r="C279" i="7"/>
  <c r="H272" i="7"/>
  <c r="S272" i="7" s="1"/>
  <c r="D366" i="7"/>
  <c r="O366" i="7" s="1"/>
  <c r="H329" i="7"/>
  <c r="S329" i="7" s="1"/>
  <c r="J311" i="7"/>
  <c r="U311" i="7" s="1"/>
  <c r="J303" i="7"/>
  <c r="U303" i="7" s="1"/>
  <c r="D297" i="7"/>
  <c r="O297" i="7" s="1"/>
  <c r="F291" i="7"/>
  <c r="Q291" i="7" s="1"/>
  <c r="K284" i="7"/>
  <c r="V284" i="7" s="1"/>
  <c r="E278" i="7"/>
  <c r="P278" i="7" s="1"/>
  <c r="J271" i="7"/>
  <c r="U271" i="7" s="1"/>
  <c r="D265" i="7"/>
  <c r="O265" i="7" s="1"/>
  <c r="B344" i="7"/>
  <c r="K320" i="7"/>
  <c r="V320" i="7" s="1"/>
  <c r="E309" i="7"/>
  <c r="P309" i="7" s="1"/>
  <c r="G301" i="7"/>
  <c r="R301" i="7" s="1"/>
  <c r="I295" i="7"/>
  <c r="T295" i="7" s="1"/>
  <c r="E387" i="7"/>
  <c r="P387" i="7" s="1"/>
  <c r="H334" i="7"/>
  <c r="S334" i="7" s="1"/>
  <c r="H316" i="7"/>
  <c r="S316" i="7" s="1"/>
  <c r="D304" i="7"/>
  <c r="O304" i="7" s="1"/>
  <c r="F298" i="7"/>
  <c r="Q298" i="7" s="1"/>
  <c r="K291" i="7"/>
  <c r="V291" i="7" s="1"/>
  <c r="E285" i="7"/>
  <c r="P285" i="7" s="1"/>
  <c r="J278" i="7"/>
  <c r="U278" i="7" s="1"/>
  <c r="D272" i="7"/>
  <c r="O272" i="7" s="1"/>
  <c r="G311" i="7"/>
  <c r="R311" i="7" s="1"/>
  <c r="E280" i="7"/>
  <c r="P280" i="7" s="1"/>
  <c r="I267" i="7"/>
  <c r="T267" i="7" s="1"/>
  <c r="B297" i="7"/>
  <c r="I278" i="7"/>
  <c r="T278" i="7" s="1"/>
  <c r="G266" i="7"/>
  <c r="R266" i="7" s="1"/>
  <c r="C260" i="7"/>
  <c r="H253" i="7"/>
  <c r="S253" i="7" s="1"/>
  <c r="B247" i="7"/>
  <c r="G240" i="7"/>
  <c r="R240" i="7" s="1"/>
  <c r="I234" i="7"/>
  <c r="T234" i="7" s="1"/>
  <c r="E398" i="7"/>
  <c r="P398" i="7" s="1"/>
  <c r="J391" i="7"/>
  <c r="U391" i="7" s="1"/>
  <c r="D385" i="7"/>
  <c r="O385" i="7" s="1"/>
  <c r="F379" i="7"/>
  <c r="Q379" i="7" s="1"/>
  <c r="K372" i="7"/>
  <c r="V372" i="7" s="1"/>
  <c r="E366" i="7"/>
  <c r="P366" i="7" s="1"/>
  <c r="J359" i="7"/>
  <c r="U359" i="7" s="1"/>
  <c r="D353" i="7"/>
  <c r="O353" i="7" s="1"/>
  <c r="F347" i="7"/>
  <c r="Q347" i="7" s="1"/>
  <c r="C398" i="7"/>
  <c r="H391" i="7"/>
  <c r="S391" i="7" s="1"/>
  <c r="H396" i="7"/>
  <c r="S396" i="7" s="1"/>
  <c r="B390" i="7"/>
  <c r="G383" i="7"/>
  <c r="R383" i="7" s="1"/>
  <c r="I377" i="7"/>
  <c r="T377" i="7" s="1"/>
  <c r="C371" i="7"/>
  <c r="H364" i="7"/>
  <c r="S364" i="7" s="1"/>
  <c r="B358" i="7"/>
  <c r="G351" i="7"/>
  <c r="R351" i="7" s="1"/>
  <c r="I345" i="7"/>
  <c r="T345" i="7" s="1"/>
  <c r="F396" i="7"/>
  <c r="Q396" i="7" s="1"/>
  <c r="K389" i="7"/>
  <c r="V389" i="7" s="1"/>
  <c r="E383" i="7"/>
  <c r="P383" i="7" s="1"/>
  <c r="J376" i="7"/>
  <c r="U376" i="7" s="1"/>
  <c r="D370" i="7"/>
  <c r="O370" i="7" s="1"/>
  <c r="F364" i="7"/>
  <c r="Q364" i="7" s="1"/>
  <c r="K357" i="7"/>
  <c r="V357" i="7" s="1"/>
  <c r="E351" i="7"/>
  <c r="P351" i="7" s="1"/>
  <c r="J344" i="7"/>
  <c r="U344" i="7" s="1"/>
  <c r="H395" i="7"/>
  <c r="S395" i="7" s="1"/>
  <c r="B389" i="7"/>
  <c r="G382" i="7"/>
  <c r="R382" i="7" s="1"/>
  <c r="H397" i="7"/>
  <c r="S397" i="7" s="1"/>
  <c r="B391" i="7"/>
  <c r="G384" i="7"/>
  <c r="R384" i="7" s="1"/>
  <c r="I378" i="7"/>
  <c r="T378" i="7" s="1"/>
  <c r="C372" i="7"/>
  <c r="H365" i="7"/>
  <c r="S365" i="7" s="1"/>
  <c r="B359" i="7"/>
  <c r="G352" i="7"/>
  <c r="R352" i="7" s="1"/>
  <c r="I346" i="7"/>
  <c r="T346" i="7" s="1"/>
  <c r="F397" i="7"/>
  <c r="Q397" i="7" s="1"/>
  <c r="K390" i="7"/>
  <c r="V390" i="7" s="1"/>
  <c r="K395" i="7"/>
  <c r="V395" i="7" s="1"/>
  <c r="E389" i="7"/>
  <c r="P389" i="7" s="1"/>
  <c r="J382" i="7"/>
  <c r="U382" i="7" s="1"/>
  <c r="D376" i="7"/>
  <c r="O376" i="7" s="1"/>
  <c r="F370" i="7"/>
  <c r="Q370" i="7" s="1"/>
  <c r="K363" i="7"/>
  <c r="V363" i="7" s="1"/>
  <c r="E357" i="7"/>
  <c r="P357" i="7" s="1"/>
  <c r="J350" i="7"/>
  <c r="U350" i="7" s="1"/>
  <c r="G401" i="7"/>
  <c r="R401" i="7" s="1"/>
  <c r="I395" i="7"/>
  <c r="T395" i="7" s="1"/>
  <c r="C389" i="7"/>
  <c r="H382" i="7"/>
  <c r="S382" i="7" s="1"/>
  <c r="B376" i="7"/>
  <c r="G369" i="7"/>
  <c r="R369" i="7" s="1"/>
  <c r="I363" i="7"/>
  <c r="T363" i="7" s="1"/>
  <c r="C357" i="7"/>
  <c r="H350" i="7"/>
  <c r="S350" i="7" s="1"/>
  <c r="F401" i="7"/>
  <c r="Q401" i="7" s="1"/>
  <c r="K394" i="7"/>
  <c r="V394" i="7" s="1"/>
  <c r="E388" i="7"/>
  <c r="P388" i="7" s="1"/>
  <c r="J381" i="7"/>
  <c r="U381" i="7" s="1"/>
  <c r="D375" i="7"/>
  <c r="O375" i="7" s="1"/>
  <c r="F369" i="7"/>
  <c r="Q369" i="7" s="1"/>
  <c r="K362" i="7"/>
  <c r="V362" i="7" s="1"/>
  <c r="E356" i="7"/>
  <c r="P356" i="7" s="1"/>
  <c r="J349" i="7"/>
  <c r="U349" i="7" s="1"/>
  <c r="H400" i="7"/>
  <c r="S400" i="7" s="1"/>
  <c r="B394" i="7"/>
  <c r="G387" i="7"/>
  <c r="R387" i="7" s="1"/>
  <c r="I381" i="7"/>
  <c r="T381" i="7" s="1"/>
  <c r="C375" i="7"/>
  <c r="H368" i="7"/>
  <c r="S368" i="7" s="1"/>
  <c r="B362" i="7"/>
  <c r="G355" i="7"/>
  <c r="R355" i="7" s="1"/>
  <c r="I349" i="7"/>
  <c r="T349" i="7" s="1"/>
  <c r="E394" i="7"/>
  <c r="P394" i="7" s="1"/>
  <c r="H377" i="7"/>
  <c r="S377" i="7" s="1"/>
  <c r="C358" i="7"/>
  <c r="D343" i="7"/>
  <c r="O343" i="7" s="1"/>
  <c r="F337" i="7"/>
  <c r="Q337" i="7" s="1"/>
  <c r="K330" i="7"/>
  <c r="V330" i="7" s="1"/>
  <c r="E324" i="7"/>
  <c r="P324" i="7" s="1"/>
  <c r="J317" i="7"/>
  <c r="U317" i="7" s="1"/>
  <c r="D311" i="7"/>
  <c r="O311" i="7" s="1"/>
  <c r="J388" i="7"/>
  <c r="U388" i="7" s="1"/>
  <c r="E371" i="7"/>
  <c r="P371" i="7" s="1"/>
  <c r="C352" i="7"/>
  <c r="I341" i="7"/>
  <c r="T341" i="7" s="1"/>
  <c r="C335" i="7"/>
  <c r="H328" i="7"/>
  <c r="S328" i="7" s="1"/>
  <c r="B322" i="7"/>
  <c r="G315" i="7"/>
  <c r="R315" i="7" s="1"/>
  <c r="I309" i="7"/>
  <c r="T309" i="7" s="1"/>
  <c r="H393" i="7"/>
  <c r="S393" i="7" s="1"/>
  <c r="B377" i="7"/>
  <c r="H359" i="7"/>
  <c r="S359" i="7" s="1"/>
  <c r="B343" i="7"/>
  <c r="G336" i="7"/>
  <c r="R336" i="7" s="1"/>
  <c r="I330" i="7"/>
  <c r="T330" i="7" s="1"/>
  <c r="C324" i="7"/>
  <c r="H317" i="7"/>
  <c r="S317" i="7" s="1"/>
  <c r="I382" i="7"/>
  <c r="T382" i="7" s="1"/>
  <c r="D365" i="7"/>
  <c r="O365" i="7" s="1"/>
  <c r="G349" i="7"/>
  <c r="R349" i="7" s="1"/>
  <c r="B340" i="7"/>
  <c r="G333" i="7"/>
  <c r="R333" i="7" s="1"/>
  <c r="I327" i="7"/>
  <c r="T327" i="7" s="1"/>
  <c r="C321" i="7"/>
  <c r="H314" i="7"/>
  <c r="S314" i="7" s="1"/>
  <c r="E386" i="7"/>
  <c r="P386" i="7" s="1"/>
  <c r="H370" i="7"/>
  <c r="S370" i="7" s="1"/>
  <c r="C353" i="7"/>
  <c r="C342" i="7"/>
  <c r="H335" i="7"/>
  <c r="S335" i="7" s="1"/>
  <c r="B329" i="7"/>
  <c r="G322" i="7"/>
  <c r="R322" i="7" s="1"/>
  <c r="I316" i="7"/>
  <c r="T316" i="7" s="1"/>
  <c r="C310" i="7"/>
  <c r="D398" i="7"/>
  <c r="O398" i="7" s="1"/>
  <c r="E376" i="7"/>
  <c r="P376" i="7" s="1"/>
  <c r="K360" i="7"/>
  <c r="V360" i="7" s="1"/>
  <c r="D344" i="7"/>
  <c r="O344" i="7" s="1"/>
  <c r="F338" i="7"/>
  <c r="Q338" i="7" s="1"/>
  <c r="K331" i="7"/>
  <c r="V331" i="7" s="1"/>
  <c r="K377" i="7"/>
  <c r="V377" i="7" s="1"/>
  <c r="B331" i="7"/>
  <c r="H313" i="7"/>
  <c r="S313" i="7" s="1"/>
  <c r="K304" i="7"/>
  <c r="V304" i="7" s="1"/>
  <c r="E298" i="7"/>
  <c r="P298" i="7" s="1"/>
  <c r="J291" i="7"/>
  <c r="U291" i="7" s="1"/>
  <c r="G354" i="7"/>
  <c r="R354" i="7" s="1"/>
  <c r="J323" i="7"/>
  <c r="U323" i="7" s="1"/>
  <c r="I307" i="7"/>
  <c r="T307" i="7" s="1"/>
  <c r="C301" i="7"/>
  <c r="H294" i="7"/>
  <c r="S294" i="7" s="1"/>
  <c r="B288" i="7"/>
  <c r="C376" i="7"/>
  <c r="E330" i="7"/>
  <c r="P330" i="7" s="1"/>
  <c r="I314" i="7"/>
  <c r="T314" i="7" s="1"/>
  <c r="I304" i="7"/>
  <c r="T304" i="7" s="1"/>
  <c r="C298" i="7"/>
  <c r="H291" i="7"/>
  <c r="S291" i="7" s="1"/>
  <c r="B285" i="7"/>
  <c r="G278" i="7"/>
  <c r="R278" i="7" s="1"/>
  <c r="I272" i="7"/>
  <c r="T272" i="7" s="1"/>
  <c r="C266" i="7"/>
  <c r="F352" i="7"/>
  <c r="Q352" i="7" s="1"/>
  <c r="C323" i="7"/>
  <c r="J310" i="7"/>
  <c r="U310" i="7" s="1"/>
  <c r="C303" i="7"/>
  <c r="H296" i="7"/>
  <c r="S296" i="7" s="1"/>
  <c r="B290" i="7"/>
  <c r="G283" i="7"/>
  <c r="R283" i="7" s="1"/>
  <c r="I277" i="7"/>
  <c r="T277" i="7" s="1"/>
  <c r="C271" i="7"/>
  <c r="K350" i="7"/>
  <c r="V350" i="7" s="1"/>
  <c r="C325" i="7"/>
  <c r="G309" i="7"/>
  <c r="R309" i="7" s="1"/>
  <c r="E302" i="7"/>
  <c r="P302" i="7" s="1"/>
  <c r="J295" i="7"/>
  <c r="U295" i="7" s="1"/>
  <c r="D289" i="7"/>
  <c r="O289" i="7" s="1"/>
  <c r="F283" i="7"/>
  <c r="Q283" i="7" s="1"/>
  <c r="K276" i="7"/>
  <c r="V276" i="7" s="1"/>
  <c r="E270" i="7"/>
  <c r="P270" i="7" s="1"/>
  <c r="F400" i="7"/>
  <c r="Q400" i="7" s="1"/>
  <c r="D338" i="7"/>
  <c r="O338" i="7" s="1"/>
  <c r="C317" i="7"/>
  <c r="C307" i="7"/>
  <c r="B300" i="7"/>
  <c r="G293" i="7"/>
  <c r="R293" i="7" s="1"/>
  <c r="B364" i="7"/>
  <c r="J328" i="7"/>
  <c r="U328" i="7" s="1"/>
  <c r="I313" i="7"/>
  <c r="T313" i="7" s="1"/>
  <c r="J302" i="7"/>
  <c r="U302" i="7" s="1"/>
  <c r="D296" i="7"/>
  <c r="O296" i="7" s="1"/>
  <c r="F290" i="7"/>
  <c r="Q290" i="7" s="1"/>
  <c r="K283" i="7"/>
  <c r="V283" i="7" s="1"/>
  <c r="E277" i="7"/>
  <c r="P277" i="7" s="1"/>
  <c r="J270" i="7"/>
  <c r="U270" i="7" s="1"/>
  <c r="J297" i="7"/>
  <c r="U297" i="7" s="1"/>
  <c r="F277" i="7"/>
  <c r="Q277" i="7" s="1"/>
  <c r="I265" i="7"/>
  <c r="T265" i="7" s="1"/>
  <c r="F288" i="7"/>
  <c r="Q288" i="7" s="1"/>
  <c r="J275" i="7"/>
  <c r="U275" i="7" s="1"/>
  <c r="H264" i="7"/>
  <c r="S264" i="7" s="1"/>
  <c r="I258" i="7"/>
  <c r="T258" i="7" s="1"/>
  <c r="C252" i="7"/>
  <c r="H245" i="7"/>
  <c r="S245" i="7" s="1"/>
  <c r="B239" i="7"/>
  <c r="G232" i="7"/>
  <c r="R232" i="7" s="1"/>
  <c r="I226" i="7"/>
  <c r="T226" i="7" s="1"/>
  <c r="C220" i="7"/>
  <c r="D286" i="7"/>
  <c r="O286" i="7" s="1"/>
  <c r="J272" i="7"/>
  <c r="U272" i="7" s="1"/>
  <c r="J387" i="7"/>
  <c r="U387" i="7" s="1"/>
  <c r="C286" i="7"/>
  <c r="K273" i="7"/>
  <c r="V273" i="7" s="1"/>
  <c r="H263" i="7"/>
  <c r="S263" i="7" s="1"/>
  <c r="B257" i="7"/>
  <c r="K396" i="7"/>
  <c r="V396" i="7" s="1"/>
  <c r="E390" i="7"/>
  <c r="P390" i="7" s="1"/>
  <c r="J383" i="7"/>
  <c r="U383" i="7" s="1"/>
  <c r="D377" i="7"/>
  <c r="O377" i="7" s="1"/>
  <c r="F371" i="7"/>
  <c r="Q371" i="7" s="1"/>
  <c r="K364" i="7"/>
  <c r="V364" i="7" s="1"/>
  <c r="E358" i="7"/>
  <c r="P358" i="7" s="1"/>
  <c r="J351" i="7"/>
  <c r="U351" i="7" s="1"/>
  <c r="D345" i="7"/>
  <c r="O345" i="7" s="1"/>
  <c r="I396" i="7"/>
  <c r="T396" i="7" s="1"/>
  <c r="I401" i="7"/>
  <c r="T401" i="7" s="1"/>
  <c r="C395" i="7"/>
  <c r="H388" i="7"/>
  <c r="S388" i="7" s="1"/>
  <c r="B382" i="7"/>
  <c r="G375" i="7"/>
  <c r="R375" i="7" s="1"/>
  <c r="I369" i="7"/>
  <c r="T369" i="7" s="1"/>
  <c r="C363" i="7"/>
  <c r="H356" i="7"/>
  <c r="S356" i="7" s="1"/>
  <c r="B350" i="7"/>
  <c r="J400" i="7"/>
  <c r="U400" i="7" s="1"/>
  <c r="D394" i="7"/>
  <c r="O394" i="7" s="1"/>
  <c r="F388" i="7"/>
  <c r="Q388" i="7" s="1"/>
  <c r="K381" i="7"/>
  <c r="V381" i="7" s="1"/>
  <c r="E375" i="7"/>
  <c r="P375" i="7" s="1"/>
  <c r="J368" i="7"/>
  <c r="U368" i="7" s="1"/>
  <c r="D362" i="7"/>
  <c r="O362" i="7" s="1"/>
  <c r="F356" i="7"/>
  <c r="Q356" i="7" s="1"/>
  <c r="K349" i="7"/>
  <c r="V349" i="7" s="1"/>
  <c r="I400" i="7"/>
  <c r="T400" i="7" s="1"/>
  <c r="C394" i="7"/>
  <c r="H387" i="7"/>
  <c r="S387" i="7" s="1"/>
  <c r="B381" i="7"/>
  <c r="G374" i="7"/>
  <c r="R374" i="7" s="1"/>
  <c r="I368" i="7"/>
  <c r="T368" i="7" s="1"/>
  <c r="C362" i="7"/>
  <c r="H355" i="7"/>
  <c r="S355" i="7" s="1"/>
  <c r="B349" i="7"/>
  <c r="K399" i="7"/>
  <c r="V399" i="7" s="1"/>
  <c r="E393" i="7"/>
  <c r="P393" i="7" s="1"/>
  <c r="J386" i="7"/>
  <c r="U386" i="7" s="1"/>
  <c r="D380" i="7"/>
  <c r="O380" i="7" s="1"/>
  <c r="F374" i="7"/>
  <c r="Q374" i="7" s="1"/>
  <c r="K367" i="7"/>
  <c r="V367" i="7" s="1"/>
  <c r="E361" i="7"/>
  <c r="P361" i="7" s="1"/>
  <c r="J354" i="7"/>
  <c r="U354" i="7" s="1"/>
  <c r="D348" i="7"/>
  <c r="O348" i="7" s="1"/>
  <c r="F391" i="7"/>
  <c r="Q391" i="7" s="1"/>
  <c r="H375" i="7"/>
  <c r="S375" i="7" s="1"/>
  <c r="B356" i="7"/>
  <c r="G342" i="7"/>
  <c r="R342" i="7" s="1"/>
  <c r="I336" i="7"/>
  <c r="T336" i="7" s="1"/>
  <c r="C330" i="7"/>
  <c r="H323" i="7"/>
  <c r="S323" i="7" s="1"/>
  <c r="B317" i="7"/>
  <c r="G310" i="7"/>
  <c r="R310" i="7" s="1"/>
  <c r="B387" i="7"/>
  <c r="H369" i="7"/>
  <c r="S369" i="7" s="1"/>
  <c r="C350" i="7"/>
  <c r="D340" i="7"/>
  <c r="O340" i="7" s="1"/>
  <c r="F334" i="7"/>
  <c r="Q334" i="7" s="1"/>
  <c r="K327" i="7"/>
  <c r="V327" i="7" s="1"/>
  <c r="E321" i="7"/>
  <c r="P321" i="7" s="1"/>
  <c r="J314" i="7"/>
  <c r="U314" i="7" s="1"/>
  <c r="D308" i="7"/>
  <c r="O308" i="7" s="1"/>
  <c r="I390" i="7"/>
  <c r="T390" i="7" s="1"/>
  <c r="D373" i="7"/>
  <c r="O373" i="7" s="1"/>
  <c r="G357" i="7"/>
  <c r="R357" i="7" s="1"/>
  <c r="E342" i="7"/>
  <c r="P342" i="7" s="1"/>
  <c r="J335" i="7"/>
  <c r="U335" i="7" s="1"/>
  <c r="D329" i="7"/>
  <c r="O329" i="7" s="1"/>
  <c r="F323" i="7"/>
  <c r="Q323" i="7" s="1"/>
  <c r="K401" i="7"/>
  <c r="V401" i="7" s="1"/>
  <c r="I380" i="7"/>
  <c r="T380" i="7" s="1"/>
  <c r="D363" i="7"/>
  <c r="O363" i="7" s="1"/>
  <c r="J347" i="7"/>
  <c r="U347" i="7" s="1"/>
  <c r="E339" i="7"/>
  <c r="P339" i="7" s="1"/>
  <c r="J332" i="7"/>
  <c r="U332" i="7" s="1"/>
  <c r="D326" i="7"/>
  <c r="O326" i="7" s="1"/>
  <c r="F320" i="7"/>
  <c r="Q320" i="7" s="1"/>
  <c r="K313" i="7"/>
  <c r="V313" i="7" s="1"/>
  <c r="E384" i="7"/>
  <c r="P384" i="7" s="1"/>
  <c r="K368" i="7"/>
  <c r="V368" i="7" s="1"/>
  <c r="F351" i="7"/>
  <c r="Q351" i="7" s="1"/>
  <c r="F341" i="7"/>
  <c r="Q341" i="7" s="1"/>
  <c r="K334" i="7"/>
  <c r="V334" i="7" s="1"/>
  <c r="E328" i="7"/>
  <c r="P328" i="7" s="1"/>
  <c r="J321" i="7"/>
  <c r="U321" i="7" s="1"/>
  <c r="D315" i="7"/>
  <c r="O315" i="7" s="1"/>
  <c r="F309" i="7"/>
  <c r="Q309" i="7" s="1"/>
  <c r="E395" i="7"/>
  <c r="P395" i="7" s="1"/>
  <c r="D374" i="7"/>
  <c r="O374" i="7" s="1"/>
  <c r="K358" i="7"/>
  <c r="V358" i="7" s="1"/>
  <c r="G343" i="7"/>
  <c r="R343" i="7" s="1"/>
  <c r="I337" i="7"/>
  <c r="T337" i="7" s="1"/>
  <c r="C331" i="7"/>
  <c r="E370" i="7"/>
  <c r="P370" i="7" s="1"/>
  <c r="C328" i="7"/>
  <c r="F312" i="7"/>
  <c r="Q312" i="7" s="1"/>
  <c r="C304" i="7"/>
  <c r="H297" i="7"/>
  <c r="S297" i="7" s="1"/>
  <c r="B291" i="7"/>
  <c r="H346" i="7"/>
  <c r="S346" i="7" s="1"/>
  <c r="I321" i="7"/>
  <c r="T321" i="7" s="1"/>
  <c r="I306" i="7"/>
  <c r="T306" i="7" s="1"/>
  <c r="F300" i="7"/>
  <c r="Q300" i="7" s="1"/>
  <c r="K293" i="7"/>
  <c r="V293" i="7" s="1"/>
  <c r="E287" i="7"/>
  <c r="P287" i="7" s="1"/>
  <c r="E368" i="7"/>
  <c r="P368" i="7" s="1"/>
  <c r="F327" i="7"/>
  <c r="Q327" i="7" s="1"/>
  <c r="D313" i="7"/>
  <c r="O313" i="7" s="1"/>
  <c r="D303" i="7"/>
  <c r="O303" i="7" s="1"/>
  <c r="F297" i="7"/>
  <c r="Q297" i="7" s="1"/>
  <c r="K290" i="7"/>
  <c r="V290" i="7" s="1"/>
  <c r="E284" i="7"/>
  <c r="P284" i="7" s="1"/>
  <c r="J277" i="7"/>
  <c r="U277" i="7" s="1"/>
  <c r="D271" i="7"/>
  <c r="O271" i="7" s="1"/>
  <c r="F265" i="7"/>
  <c r="Q265" i="7" s="1"/>
  <c r="K344" i="7"/>
  <c r="V344" i="7" s="1"/>
  <c r="G321" i="7"/>
  <c r="R321" i="7" s="1"/>
  <c r="H309" i="7"/>
  <c r="S309" i="7" s="1"/>
  <c r="F302" i="7"/>
  <c r="Q302" i="7" s="1"/>
  <c r="K295" i="7"/>
  <c r="V295" i="7" s="1"/>
  <c r="E289" i="7"/>
  <c r="P289" i="7" s="1"/>
  <c r="J282" i="7"/>
  <c r="U282" i="7" s="1"/>
  <c r="D276" i="7"/>
  <c r="O276" i="7" s="1"/>
  <c r="F270" i="7"/>
  <c r="Q270" i="7" s="1"/>
  <c r="C344" i="7"/>
  <c r="B323" i="7"/>
  <c r="F308" i="7"/>
  <c r="Q308" i="7" s="1"/>
  <c r="H301" i="7"/>
  <c r="S301" i="7" s="1"/>
  <c r="B295" i="7"/>
  <c r="G288" i="7"/>
  <c r="R288" i="7" s="1"/>
  <c r="I282" i="7"/>
  <c r="T282" i="7" s="1"/>
  <c r="C276" i="7"/>
  <c r="H269" i="7"/>
  <c r="S269" i="7" s="1"/>
  <c r="F389" i="7"/>
  <c r="Q389" i="7" s="1"/>
  <c r="E335" i="7"/>
  <c r="P335" i="7" s="1"/>
  <c r="I315" i="7"/>
  <c r="T315" i="7" s="1"/>
  <c r="D306" i="7"/>
  <c r="O306" i="7" s="1"/>
  <c r="E299" i="7"/>
  <c r="P299" i="7" s="1"/>
  <c r="J292" i="7"/>
  <c r="U292" i="7" s="1"/>
  <c r="G356" i="7"/>
  <c r="R356" i="7" s="1"/>
  <c r="B326" i="7"/>
  <c r="G312" i="7"/>
  <c r="R312" i="7" s="1"/>
  <c r="B302" i="7"/>
  <c r="G295" i="7"/>
  <c r="R295" i="7" s="1"/>
  <c r="I289" i="7"/>
  <c r="T289" i="7" s="1"/>
  <c r="C283" i="7"/>
  <c r="H276" i="7"/>
  <c r="S276" i="7" s="1"/>
  <c r="B270" i="7"/>
  <c r="K288" i="7"/>
  <c r="V288" i="7" s="1"/>
  <c r="G274" i="7"/>
  <c r="R274" i="7" s="1"/>
  <c r="C396" i="7"/>
  <c r="H389" i="7"/>
  <c r="S389" i="7" s="1"/>
  <c r="B383" i="7"/>
  <c r="G376" i="7"/>
  <c r="R376" i="7" s="1"/>
  <c r="I370" i="7"/>
  <c r="T370" i="7" s="1"/>
  <c r="K387" i="7"/>
  <c r="V387" i="7" s="1"/>
  <c r="G393" i="7"/>
  <c r="R393" i="7" s="1"/>
  <c r="D399" i="7"/>
  <c r="O399" i="7" s="1"/>
  <c r="H363" i="7"/>
  <c r="S363" i="7" s="1"/>
  <c r="J394" i="7"/>
  <c r="U394" i="7" s="1"/>
  <c r="E369" i="7"/>
  <c r="P369" i="7" s="1"/>
  <c r="D397" i="7"/>
  <c r="O397" i="7" s="1"/>
  <c r="C338" i="7"/>
  <c r="I312" i="7"/>
  <c r="T312" i="7" s="1"/>
  <c r="F342" i="7"/>
  <c r="Q342" i="7" s="1"/>
  <c r="D316" i="7"/>
  <c r="O316" i="7" s="1"/>
  <c r="H361" i="7"/>
  <c r="S361" i="7" s="1"/>
  <c r="K324" i="7"/>
  <c r="V324" i="7" s="1"/>
  <c r="H351" i="7"/>
  <c r="S351" i="7" s="1"/>
  <c r="K321" i="7"/>
  <c r="V321" i="7" s="1"/>
  <c r="D355" i="7"/>
  <c r="O355" i="7" s="1"/>
  <c r="D323" i="7"/>
  <c r="O323" i="7" s="1"/>
  <c r="E378" i="7"/>
  <c r="P378" i="7" s="1"/>
  <c r="H332" i="7"/>
  <c r="S332" i="7" s="1"/>
  <c r="K305" i="7"/>
  <c r="V305" i="7" s="1"/>
  <c r="K325" i="7"/>
  <c r="V325" i="7" s="1"/>
  <c r="J288" i="7"/>
  <c r="U288" i="7" s="1"/>
  <c r="H305" i="7"/>
  <c r="S305" i="7" s="1"/>
  <c r="D279" i="7"/>
  <c r="O279" i="7" s="1"/>
  <c r="D325" i="7"/>
  <c r="O325" i="7" s="1"/>
  <c r="J290" i="7"/>
  <c r="U290" i="7" s="1"/>
  <c r="I358" i="7"/>
  <c r="T358" i="7" s="1"/>
  <c r="G296" i="7"/>
  <c r="R296" i="7" s="1"/>
  <c r="B271" i="7"/>
  <c r="C308" i="7"/>
  <c r="I331" i="7"/>
  <c r="T331" i="7" s="1"/>
  <c r="C291" i="7"/>
  <c r="H303" i="7"/>
  <c r="S303" i="7" s="1"/>
  <c r="I286" i="7"/>
  <c r="T286" i="7" s="1"/>
  <c r="F259" i="7"/>
  <c r="Q259" i="7" s="1"/>
  <c r="C244" i="7"/>
  <c r="E230" i="7"/>
  <c r="P230" i="7" s="1"/>
  <c r="B223" i="7"/>
  <c r="E296" i="7"/>
  <c r="P296" i="7" s="1"/>
  <c r="I275" i="7"/>
  <c r="T275" i="7" s="1"/>
  <c r="F264" i="7"/>
  <c r="Q264" i="7" s="1"/>
  <c r="B284" i="7"/>
  <c r="G269" i="7"/>
  <c r="R269" i="7" s="1"/>
  <c r="F261" i="7"/>
  <c r="Q261" i="7" s="1"/>
  <c r="C254" i="7"/>
  <c r="H247" i="7"/>
  <c r="S247" i="7" s="1"/>
  <c r="B241" i="7"/>
  <c r="G234" i="7"/>
  <c r="R234" i="7" s="1"/>
  <c r="I228" i="7"/>
  <c r="T228" i="7" s="1"/>
  <c r="C222" i="7"/>
  <c r="K294" i="7"/>
  <c r="V294" i="7" s="1"/>
  <c r="D275" i="7"/>
  <c r="O275" i="7" s="1"/>
  <c r="B372" i="7"/>
  <c r="J283" i="7"/>
  <c r="U283" i="7" s="1"/>
  <c r="I270" i="7"/>
  <c r="T270" i="7" s="1"/>
  <c r="D261" i="7"/>
  <c r="O261" i="7" s="1"/>
  <c r="F255" i="7"/>
  <c r="Q255" i="7" s="1"/>
  <c r="K248" i="7"/>
  <c r="V248" i="7" s="1"/>
  <c r="E242" i="7"/>
  <c r="P242" i="7" s="1"/>
  <c r="J235" i="7"/>
  <c r="U235" i="7" s="1"/>
  <c r="D229" i="7"/>
  <c r="O229" i="7" s="1"/>
  <c r="F223" i="7"/>
  <c r="Q223" i="7" s="1"/>
  <c r="C265" i="7"/>
  <c r="E255" i="7"/>
  <c r="P255" i="7" s="1"/>
  <c r="B246" i="7"/>
  <c r="H235" i="7"/>
  <c r="S235" i="7" s="1"/>
  <c r="C225" i="7"/>
  <c r="J215" i="7"/>
  <c r="U215" i="7" s="1"/>
  <c r="D209" i="7"/>
  <c r="O209" i="7" s="1"/>
  <c r="F203" i="7"/>
  <c r="Q203" i="7" s="1"/>
  <c r="K196" i="7"/>
  <c r="V196" i="7" s="1"/>
  <c r="E190" i="7"/>
  <c r="P190" i="7" s="1"/>
  <c r="K259" i="7"/>
  <c r="V259" i="7" s="1"/>
  <c r="F285" i="7"/>
  <c r="Q285" i="7" s="1"/>
  <c r="H258" i="7"/>
  <c r="S258" i="7" s="1"/>
  <c r="D285" i="7"/>
  <c r="O285" i="7" s="1"/>
  <c r="F258" i="7"/>
  <c r="Q258" i="7" s="1"/>
  <c r="K263" i="7"/>
  <c r="V263" i="7" s="1"/>
  <c r="G254" i="7"/>
  <c r="R254" i="7" s="1"/>
  <c r="B244" i="7"/>
  <c r="J234" i="7"/>
  <c r="U234" i="7" s="1"/>
  <c r="D224" i="7"/>
  <c r="O224" i="7" s="1"/>
  <c r="I216" i="7"/>
  <c r="T216" i="7" s="1"/>
  <c r="C210" i="7"/>
  <c r="H203" i="7"/>
  <c r="S203" i="7" s="1"/>
  <c r="B197" i="7"/>
  <c r="I251" i="7"/>
  <c r="T251" i="7" s="1"/>
  <c r="J237" i="7"/>
  <c r="U237" i="7" s="1"/>
  <c r="K223" i="7"/>
  <c r="V223" i="7" s="1"/>
  <c r="G213" i="7"/>
  <c r="R213" i="7" s="1"/>
  <c r="K205" i="7"/>
  <c r="V205" i="7" s="1"/>
  <c r="C195" i="7"/>
  <c r="H188" i="7"/>
  <c r="S188" i="7" s="1"/>
  <c r="B182" i="7"/>
  <c r="G175" i="7"/>
  <c r="R175" i="7" s="1"/>
  <c r="D270" i="7"/>
  <c r="O270" i="7" s="1"/>
  <c r="G245" i="7"/>
  <c r="R245" i="7" s="1"/>
  <c r="G231" i="7"/>
  <c r="R231" i="7" s="1"/>
  <c r="E219" i="7"/>
  <c r="P219" i="7" s="1"/>
  <c r="G251" i="7"/>
  <c r="R251" i="7" s="1"/>
  <c r="G237" i="7"/>
  <c r="R237" i="7" s="1"/>
  <c r="G223" i="7"/>
  <c r="R223" i="7" s="1"/>
  <c r="D214" i="7"/>
  <c r="O214" i="7" s="1"/>
  <c r="H206" i="7"/>
  <c r="S206" i="7" s="1"/>
  <c r="J198" i="7"/>
  <c r="U198" i="7" s="1"/>
  <c r="I190" i="7"/>
  <c r="T190" i="7" s="1"/>
  <c r="B184" i="7"/>
  <c r="G177" i="7"/>
  <c r="R177" i="7" s="1"/>
  <c r="I171" i="7"/>
  <c r="T171" i="7" s="1"/>
  <c r="E251" i="7"/>
  <c r="P251" i="7" s="1"/>
  <c r="J238" i="7"/>
  <c r="U238" i="7" s="1"/>
  <c r="F226" i="7"/>
  <c r="Q226" i="7" s="1"/>
  <c r="C216" i="7"/>
  <c r="E208" i="7"/>
  <c r="P208" i="7" s="1"/>
  <c r="H200" i="7"/>
  <c r="S200" i="7" s="1"/>
  <c r="B193" i="7"/>
  <c r="K186" i="7"/>
  <c r="V186" i="7" s="1"/>
  <c r="E180" i="7"/>
  <c r="P180" i="7" s="1"/>
  <c r="G277" i="7"/>
  <c r="R277" i="7" s="1"/>
  <c r="K247" i="7"/>
  <c r="V247" i="7" s="1"/>
  <c r="D232" i="7"/>
  <c r="O232" i="7" s="1"/>
  <c r="J218" i="7"/>
  <c r="U218" i="7" s="1"/>
  <c r="C208" i="7"/>
  <c r="E200" i="7"/>
  <c r="P200" i="7" s="1"/>
  <c r="K192" i="7"/>
  <c r="V192" i="7" s="1"/>
  <c r="I186" i="7"/>
  <c r="T186" i="7" s="1"/>
  <c r="C180" i="7"/>
  <c r="K257" i="7"/>
  <c r="V257" i="7" s="1"/>
  <c r="B216" i="7"/>
  <c r="F200" i="7"/>
  <c r="Q200" i="7" s="1"/>
  <c r="E185" i="7"/>
  <c r="P185" i="7" s="1"/>
  <c r="B173" i="7"/>
  <c r="H166" i="7"/>
  <c r="S166" i="7" s="1"/>
  <c r="B160" i="7"/>
  <c r="G153" i="7"/>
  <c r="R153" i="7" s="1"/>
  <c r="I147" i="7"/>
  <c r="T147" i="7" s="1"/>
  <c r="C141" i="7"/>
  <c r="G246" i="7"/>
  <c r="R246" i="7" s="1"/>
  <c r="I215" i="7"/>
  <c r="T215" i="7" s="1"/>
  <c r="D200" i="7"/>
  <c r="O200" i="7" s="1"/>
  <c r="H186" i="7"/>
  <c r="S186" i="7" s="1"/>
  <c r="K245" i="7"/>
  <c r="V245" i="7" s="1"/>
  <c r="H215" i="7"/>
  <c r="S215" i="7" s="1"/>
  <c r="D196" i="7"/>
  <c r="O196" i="7" s="1"/>
  <c r="I180" i="7"/>
  <c r="T180" i="7" s="1"/>
  <c r="B170" i="7"/>
  <c r="G163" i="7"/>
  <c r="R163" i="7" s="1"/>
  <c r="I157" i="7"/>
  <c r="T157" i="7" s="1"/>
  <c r="C151" i="7"/>
  <c r="H144" i="7"/>
  <c r="S144" i="7" s="1"/>
  <c r="B138" i="7"/>
  <c r="F233" i="7"/>
  <c r="Q233" i="7" s="1"/>
  <c r="H209" i="7"/>
  <c r="S209" i="7" s="1"/>
  <c r="J190" i="7"/>
  <c r="U190" i="7" s="1"/>
  <c r="F293" i="7"/>
  <c r="Q293" i="7" s="1"/>
  <c r="J228" i="7"/>
  <c r="U228" i="7" s="1"/>
  <c r="E205" i="7"/>
  <c r="P205" i="7" s="1"/>
  <c r="G190" i="7"/>
  <c r="R190" i="7" s="1"/>
  <c r="E177" i="7"/>
  <c r="P177" i="7" s="1"/>
  <c r="C169" i="7"/>
  <c r="H162" i="7"/>
  <c r="S162" i="7" s="1"/>
  <c r="B156" i="7"/>
  <c r="G149" i="7"/>
  <c r="R149" i="7" s="1"/>
  <c r="J230" i="7"/>
  <c r="U230" i="7" s="1"/>
  <c r="I206" i="7"/>
  <c r="T206" i="7" s="1"/>
  <c r="G188" i="7"/>
  <c r="R188" i="7" s="1"/>
  <c r="K176" i="7"/>
  <c r="V176" i="7" s="1"/>
  <c r="K168" i="7"/>
  <c r="V168" i="7" s="1"/>
  <c r="E162" i="7"/>
  <c r="P162" i="7" s="1"/>
  <c r="C364" i="7"/>
  <c r="E381" i="7"/>
  <c r="P381" i="7" s="1"/>
  <c r="I387" i="7"/>
  <c r="T387" i="7" s="1"/>
  <c r="F393" i="7"/>
  <c r="Q393" i="7" s="1"/>
  <c r="F361" i="7"/>
  <c r="Q361" i="7" s="1"/>
  <c r="H392" i="7"/>
  <c r="S392" i="7" s="1"/>
  <c r="C367" i="7"/>
  <c r="D389" i="7"/>
  <c r="O389" i="7" s="1"/>
  <c r="D335" i="7"/>
  <c r="O335" i="7" s="1"/>
  <c r="J309" i="7"/>
  <c r="U309" i="7" s="1"/>
  <c r="G339" i="7"/>
  <c r="R339" i="7" s="1"/>
  <c r="B314" i="7"/>
  <c r="J355" i="7"/>
  <c r="U355" i="7" s="1"/>
  <c r="I322" i="7"/>
  <c r="T322" i="7" s="1"/>
  <c r="J345" i="7"/>
  <c r="U345" i="7" s="1"/>
  <c r="I319" i="7"/>
  <c r="T319" i="7" s="1"/>
  <c r="F349" i="7"/>
  <c r="Q349" i="7" s="1"/>
  <c r="B321" i="7"/>
  <c r="G372" i="7"/>
  <c r="R372" i="7" s="1"/>
  <c r="F330" i="7"/>
  <c r="Q330" i="7" s="1"/>
  <c r="F303" i="7"/>
  <c r="Q303" i="7" s="1"/>
  <c r="B320" i="7"/>
  <c r="H286" i="7"/>
  <c r="S286" i="7" s="1"/>
  <c r="G302" i="7"/>
  <c r="R302" i="7" s="1"/>
  <c r="B277" i="7"/>
  <c r="F319" i="7"/>
  <c r="Q319" i="7" s="1"/>
  <c r="H288" i="7"/>
  <c r="S288" i="7" s="1"/>
  <c r="D341" i="7"/>
  <c r="O341" i="7" s="1"/>
  <c r="E294" i="7"/>
  <c r="P294" i="7" s="1"/>
  <c r="K268" i="7"/>
  <c r="V268" i="7" s="1"/>
  <c r="D305" i="7"/>
  <c r="O305" i="7" s="1"/>
  <c r="F324" i="7"/>
  <c r="Q324" i="7" s="1"/>
  <c r="D288" i="7"/>
  <c r="O288" i="7" s="1"/>
  <c r="K286" i="7"/>
  <c r="V286" i="7" s="1"/>
  <c r="I284" i="7"/>
  <c r="T284" i="7" s="1"/>
  <c r="D257" i="7"/>
  <c r="O257" i="7" s="1"/>
  <c r="J239" i="7"/>
  <c r="U239" i="7" s="1"/>
  <c r="H229" i="7"/>
  <c r="S229" i="7" s="1"/>
  <c r="E222" i="7"/>
  <c r="P222" i="7" s="1"/>
  <c r="G290" i="7"/>
  <c r="R290" i="7" s="1"/>
  <c r="D274" i="7"/>
  <c r="O274" i="7" s="1"/>
  <c r="H337" i="7"/>
  <c r="S337" i="7" s="1"/>
  <c r="H282" i="7"/>
  <c r="S282" i="7" s="1"/>
  <c r="D268" i="7"/>
  <c r="O268" i="7" s="1"/>
  <c r="I260" i="7"/>
  <c r="T260" i="7" s="1"/>
  <c r="F253" i="7"/>
  <c r="Q253" i="7" s="1"/>
  <c r="K246" i="7"/>
  <c r="V246" i="7" s="1"/>
  <c r="E240" i="7"/>
  <c r="P240" i="7" s="1"/>
  <c r="J233" i="7"/>
  <c r="U233" i="7" s="1"/>
  <c r="D227" i="7"/>
  <c r="O227" i="7" s="1"/>
  <c r="F221" i="7"/>
  <c r="Q221" i="7" s="1"/>
  <c r="J289" i="7"/>
  <c r="U289" i="7" s="1"/>
  <c r="J273" i="7"/>
  <c r="U273" i="7" s="1"/>
  <c r="J331" i="7"/>
  <c r="U331" i="7" s="1"/>
  <c r="E282" i="7"/>
  <c r="P282" i="7" s="1"/>
  <c r="D269" i="7"/>
  <c r="O269" i="7" s="1"/>
  <c r="G260" i="7"/>
  <c r="R260" i="7" s="1"/>
  <c r="I254" i="7"/>
  <c r="T254" i="7" s="1"/>
  <c r="C248" i="7"/>
  <c r="H241" i="7"/>
  <c r="S241" i="7" s="1"/>
  <c r="B235" i="7"/>
  <c r="G228" i="7"/>
  <c r="R228" i="7" s="1"/>
  <c r="I222" i="7"/>
  <c r="T222" i="7" s="1"/>
  <c r="G263" i="7"/>
  <c r="R263" i="7" s="1"/>
  <c r="D254" i="7"/>
  <c r="O254" i="7" s="1"/>
  <c r="I243" i="7"/>
  <c r="T243" i="7" s="1"/>
  <c r="F234" i="7"/>
  <c r="Q234" i="7" s="1"/>
  <c r="J222" i="7"/>
  <c r="U222" i="7" s="1"/>
  <c r="B215" i="7"/>
  <c r="G208" i="7"/>
  <c r="R208" i="7" s="1"/>
  <c r="I202" i="7"/>
  <c r="T202" i="7" s="1"/>
  <c r="C196" i="7"/>
  <c r="E304" i="7"/>
  <c r="P304" i="7" s="1"/>
  <c r="J258" i="7"/>
  <c r="U258" i="7" s="1"/>
  <c r="E279" i="7"/>
  <c r="P279" i="7" s="1"/>
  <c r="F257" i="7"/>
  <c r="Q257" i="7" s="1"/>
  <c r="C273" i="7"/>
  <c r="E257" i="7"/>
  <c r="P257" i="7" s="1"/>
  <c r="H262" i="7"/>
  <c r="S262" i="7" s="1"/>
  <c r="E253" i="7"/>
  <c r="P253" i="7" s="1"/>
  <c r="K242" i="7"/>
  <c r="V242" i="7" s="1"/>
  <c r="G233" i="7"/>
  <c r="R233" i="7" s="1"/>
  <c r="C223" i="7"/>
  <c r="D215" i="7"/>
  <c r="O215" i="7" s="1"/>
  <c r="F209" i="7"/>
  <c r="Q209" i="7" s="1"/>
  <c r="K202" i="7"/>
  <c r="V202" i="7" s="1"/>
  <c r="E196" i="7"/>
  <c r="P196" i="7" s="1"/>
  <c r="D250" i="7"/>
  <c r="O250" i="7" s="1"/>
  <c r="E236" i="7"/>
  <c r="P236" i="7" s="1"/>
  <c r="F222" i="7"/>
  <c r="Q222" i="7" s="1"/>
  <c r="H212" i="7"/>
  <c r="S212" i="7" s="1"/>
  <c r="J204" i="7"/>
  <c r="U204" i="7" s="1"/>
  <c r="D194" i="7"/>
  <c r="O194" i="7" s="1"/>
  <c r="K187" i="7"/>
  <c r="V187" i="7" s="1"/>
  <c r="E181" i="7"/>
  <c r="P181" i="7" s="1"/>
  <c r="J174" i="7"/>
  <c r="U174" i="7" s="1"/>
  <c r="J262" i="7"/>
  <c r="U262" i="7" s="1"/>
  <c r="K243" i="7"/>
  <c r="V243" i="7" s="1"/>
  <c r="K229" i="7"/>
  <c r="V229" i="7" s="1"/>
  <c r="E218" i="7"/>
  <c r="P218" i="7" s="1"/>
  <c r="B250" i="7"/>
  <c r="B236" i="7"/>
  <c r="B222" i="7"/>
  <c r="E213" i="7"/>
  <c r="P213" i="7" s="1"/>
  <c r="G205" i="7"/>
  <c r="R205" i="7" s="1"/>
  <c r="K197" i="7"/>
  <c r="V197" i="7" s="1"/>
  <c r="K189" i="7"/>
  <c r="V189" i="7" s="1"/>
  <c r="E183" i="7"/>
  <c r="P183" i="7" s="1"/>
  <c r="J176" i="7"/>
  <c r="U176" i="7" s="1"/>
  <c r="D170" i="7"/>
  <c r="O170" i="7" s="1"/>
  <c r="I249" i="7"/>
  <c r="T249" i="7" s="1"/>
  <c r="E237" i="7"/>
  <c r="P237" i="7" s="1"/>
  <c r="J224" i="7"/>
  <c r="U224" i="7" s="1"/>
  <c r="C215" i="7"/>
  <c r="F207" i="7"/>
  <c r="Q207" i="7" s="1"/>
  <c r="H199" i="7"/>
  <c r="S199" i="7" s="1"/>
  <c r="D192" i="7"/>
  <c r="O192" i="7" s="1"/>
  <c r="C186" i="7"/>
  <c r="H179" i="7"/>
  <c r="S179" i="7" s="1"/>
  <c r="B264" i="7"/>
  <c r="D246" i="7"/>
  <c r="O246" i="7" s="1"/>
  <c r="H230" i="7"/>
  <c r="S230" i="7" s="1"/>
  <c r="J217" i="7"/>
  <c r="U217" i="7" s="1"/>
  <c r="C207" i="7"/>
  <c r="F199" i="7"/>
  <c r="Q199" i="7" s="1"/>
  <c r="B192" i="7"/>
  <c r="D185" i="7"/>
  <c r="O185" i="7" s="1"/>
  <c r="F179" i="7"/>
  <c r="Q179" i="7" s="1"/>
  <c r="C251" i="7"/>
  <c r="B214" i="7"/>
  <c r="H198" i="7"/>
  <c r="S198" i="7" s="1"/>
  <c r="K183" i="7"/>
  <c r="V183" i="7" s="1"/>
  <c r="C172" i="7"/>
  <c r="K165" i="7"/>
  <c r="V165" i="7" s="1"/>
  <c r="E159" i="7"/>
  <c r="P159" i="7" s="1"/>
  <c r="J152" i="7"/>
  <c r="U152" i="7" s="1"/>
  <c r="D146" i="7"/>
  <c r="O146" i="7" s="1"/>
  <c r="F140" i="7"/>
  <c r="Q140" i="7" s="1"/>
  <c r="J242" i="7"/>
  <c r="U242" i="7" s="1"/>
  <c r="K213" i="7"/>
  <c r="V213" i="7" s="1"/>
  <c r="D198" i="7"/>
  <c r="O198" i="7" s="1"/>
  <c r="C185" i="7"/>
  <c r="K241" i="7"/>
  <c r="V241" i="7" s="1"/>
  <c r="I213" i="7"/>
  <c r="T213" i="7" s="1"/>
  <c r="E194" i="7"/>
  <c r="P194" i="7" s="1"/>
  <c r="D179" i="7"/>
  <c r="O179" i="7" s="1"/>
  <c r="E169" i="7"/>
  <c r="P169" i="7" s="1"/>
  <c r="J162" i="7"/>
  <c r="U162" i="7" s="1"/>
  <c r="D156" i="7"/>
  <c r="O156" i="7" s="1"/>
  <c r="F150" i="7"/>
  <c r="Q150" i="7" s="1"/>
  <c r="K143" i="7"/>
  <c r="V143" i="7" s="1"/>
  <c r="H326" i="7"/>
  <c r="S326" i="7" s="1"/>
  <c r="B229" i="7"/>
  <c r="H207" i="7"/>
  <c r="S207" i="7" s="1"/>
  <c r="D189" i="7"/>
  <c r="O189" i="7" s="1"/>
  <c r="I261" i="7"/>
  <c r="T261" i="7" s="1"/>
  <c r="F224" i="7"/>
  <c r="Q224" i="7" s="1"/>
  <c r="E203" i="7"/>
  <c r="P203" i="7" s="1"/>
  <c r="G187" i="7"/>
  <c r="R187" i="7" s="1"/>
  <c r="K175" i="7"/>
  <c r="V175" i="7" s="1"/>
  <c r="F168" i="7"/>
  <c r="Q168" i="7" s="1"/>
  <c r="K161" i="7"/>
  <c r="V161" i="7" s="1"/>
  <c r="E155" i="7"/>
  <c r="P155" i="7" s="1"/>
  <c r="H357" i="7"/>
  <c r="S357" i="7" s="1"/>
  <c r="J374" i="7"/>
  <c r="U374" i="7" s="1"/>
  <c r="C381" i="7"/>
  <c r="K386" i="7"/>
  <c r="V386" i="7" s="1"/>
  <c r="B357" i="7"/>
  <c r="D388" i="7"/>
  <c r="O388" i="7" s="1"/>
  <c r="J362" i="7"/>
  <c r="U362" i="7" s="1"/>
  <c r="E379" i="7"/>
  <c r="P379" i="7" s="1"/>
  <c r="H331" i="7"/>
  <c r="S331" i="7" s="1"/>
  <c r="K393" i="7"/>
  <c r="V393" i="7" s="1"/>
  <c r="K335" i="7"/>
  <c r="V335" i="7" s="1"/>
  <c r="F310" i="7"/>
  <c r="Q310" i="7" s="1"/>
  <c r="J343" i="7"/>
  <c r="U343" i="7" s="1"/>
  <c r="E318" i="7"/>
  <c r="P318" i="7" s="1"/>
  <c r="J340" i="7"/>
  <c r="U340" i="7" s="1"/>
  <c r="E315" i="7"/>
  <c r="P315" i="7" s="1"/>
  <c r="K342" i="7"/>
  <c r="V342" i="7" s="1"/>
  <c r="F317" i="7"/>
  <c r="Q317" i="7" s="1"/>
  <c r="H362" i="7"/>
  <c r="S362" i="7" s="1"/>
  <c r="J385" i="7"/>
  <c r="U385" i="7" s="1"/>
  <c r="B299" i="7"/>
  <c r="J308" i="7"/>
  <c r="U308" i="7" s="1"/>
  <c r="I383" i="7"/>
  <c r="T383" i="7" s="1"/>
  <c r="K298" i="7"/>
  <c r="V298" i="7" s="1"/>
  <c r="F273" i="7"/>
  <c r="Q273" i="7" s="1"/>
  <c r="B312" i="7"/>
  <c r="D284" i="7"/>
  <c r="O284" i="7" s="1"/>
  <c r="J326" i="7"/>
  <c r="U326" i="7" s="1"/>
  <c r="I290" i="7"/>
  <c r="T290" i="7" s="1"/>
  <c r="G264" i="7"/>
  <c r="R264" i="7" s="1"/>
  <c r="J300" i="7"/>
  <c r="U300" i="7" s="1"/>
  <c r="C315" i="7"/>
  <c r="H284" i="7"/>
  <c r="S284" i="7" s="1"/>
  <c r="K278" i="7"/>
  <c r="V278" i="7" s="1"/>
  <c r="D277" i="7"/>
  <c r="O277" i="7" s="1"/>
  <c r="G256" i="7"/>
  <c r="R256" i="7" s="1"/>
  <c r="E238" i="7"/>
  <c r="P238" i="7" s="1"/>
  <c r="K228" i="7"/>
  <c r="V228" i="7" s="1"/>
  <c r="H221" i="7"/>
  <c r="S221" i="7" s="1"/>
  <c r="E288" i="7"/>
  <c r="P288" i="7" s="1"/>
  <c r="E271" i="7"/>
  <c r="P271" i="7" s="1"/>
  <c r="I318" i="7"/>
  <c r="T318" i="7" s="1"/>
  <c r="C281" i="7"/>
  <c r="D267" i="7"/>
  <c r="O267" i="7" s="1"/>
  <c r="D259" i="7"/>
  <c r="O259" i="7" s="1"/>
  <c r="I252" i="7"/>
  <c r="T252" i="7" s="1"/>
  <c r="C246" i="7"/>
  <c r="H239" i="7"/>
  <c r="S239" i="7" s="1"/>
  <c r="B233" i="7"/>
  <c r="G226" i="7"/>
  <c r="R226" i="7" s="1"/>
  <c r="I220" i="7"/>
  <c r="T220" i="7" s="1"/>
  <c r="I287" i="7"/>
  <c r="T287" i="7" s="1"/>
  <c r="E272" i="7"/>
  <c r="P272" i="7" s="1"/>
  <c r="F315" i="7"/>
  <c r="Q315" i="7" s="1"/>
  <c r="K280" i="7"/>
  <c r="V280" i="7" s="1"/>
  <c r="B267" i="7"/>
  <c r="J259" i="7"/>
  <c r="U259" i="7" s="1"/>
  <c r="D253" i="7"/>
  <c r="O253" i="7" s="1"/>
  <c r="F247" i="7"/>
  <c r="Q247" i="7" s="1"/>
  <c r="K240" i="7"/>
  <c r="V240" i="7" s="1"/>
  <c r="E234" i="7"/>
  <c r="P234" i="7" s="1"/>
  <c r="J227" i="7"/>
  <c r="U227" i="7" s="1"/>
  <c r="D221" i="7"/>
  <c r="O221" i="7" s="1"/>
  <c r="F262" i="7"/>
  <c r="Q262" i="7" s="1"/>
  <c r="B253" i="7"/>
  <c r="H242" i="7"/>
  <c r="S242" i="7" s="1"/>
  <c r="E233" i="7"/>
  <c r="P233" i="7" s="1"/>
  <c r="I221" i="7"/>
  <c r="T221" i="7" s="1"/>
  <c r="E214" i="7"/>
  <c r="P214" i="7" s="1"/>
  <c r="J207" i="7"/>
  <c r="U207" i="7" s="1"/>
  <c r="D201" i="7"/>
  <c r="O201" i="7" s="1"/>
  <c r="F195" i="7"/>
  <c r="Q195" i="7" s="1"/>
  <c r="F280" i="7"/>
  <c r="Q280" i="7" s="1"/>
  <c r="G257" i="7"/>
  <c r="R257" i="7" s="1"/>
  <c r="G273" i="7"/>
  <c r="R273" i="7" s="1"/>
  <c r="D256" i="7"/>
  <c r="O256" i="7" s="1"/>
  <c r="J267" i="7"/>
  <c r="U267" i="7" s="1"/>
  <c r="B256" i="7"/>
  <c r="G261" i="7"/>
  <c r="R261" i="7" s="1"/>
  <c r="D252" i="7"/>
  <c r="O252" i="7" s="1"/>
  <c r="I241" i="7"/>
  <c r="T241" i="7" s="1"/>
  <c r="F232" i="7"/>
  <c r="Q232" i="7" s="1"/>
  <c r="K221" i="7"/>
  <c r="V221" i="7" s="1"/>
  <c r="G214" i="7"/>
  <c r="R214" i="7" s="1"/>
  <c r="I208" i="7"/>
  <c r="T208" i="7" s="1"/>
  <c r="C202" i="7"/>
  <c r="H195" i="7"/>
  <c r="S195" i="7" s="1"/>
  <c r="J248" i="7"/>
  <c r="U248" i="7" s="1"/>
  <c r="K234" i="7"/>
  <c r="V234" i="7" s="1"/>
  <c r="F219" i="7"/>
  <c r="Q219" i="7" s="1"/>
  <c r="I211" i="7"/>
  <c r="T211" i="7" s="1"/>
  <c r="K203" i="7"/>
  <c r="V203" i="7" s="1"/>
  <c r="F193" i="7"/>
  <c r="Q193" i="7" s="1"/>
  <c r="C187" i="7"/>
  <c r="H180" i="7"/>
  <c r="S180" i="7" s="1"/>
  <c r="B174" i="7"/>
  <c r="G259" i="7"/>
  <c r="R259" i="7" s="1"/>
  <c r="D242" i="7"/>
  <c r="O242" i="7" s="1"/>
  <c r="E228" i="7"/>
  <c r="P228" i="7" s="1"/>
  <c r="E217" i="7"/>
  <c r="P217" i="7" s="1"/>
  <c r="D248" i="7"/>
  <c r="O248" i="7" s="1"/>
  <c r="D234" i="7"/>
  <c r="O234" i="7" s="1"/>
  <c r="E220" i="7"/>
  <c r="P220" i="7" s="1"/>
  <c r="F212" i="7"/>
  <c r="Q212" i="7" s="1"/>
  <c r="H204" i="7"/>
  <c r="S204" i="7" s="1"/>
  <c r="J196" i="7"/>
  <c r="U196" i="7" s="1"/>
  <c r="C189" i="7"/>
  <c r="H182" i="7"/>
  <c r="S182" i="7" s="1"/>
  <c r="B176" i="7"/>
  <c r="K328" i="7"/>
  <c r="V328" i="7" s="1"/>
  <c r="B248" i="7"/>
  <c r="I235" i="7"/>
  <c r="T235" i="7" s="1"/>
  <c r="E223" i="7"/>
  <c r="P223" i="7" s="1"/>
  <c r="C214" i="7"/>
  <c r="F206" i="7"/>
  <c r="Q206" i="7" s="1"/>
  <c r="I198" i="7"/>
  <c r="T198" i="7" s="1"/>
  <c r="F191" i="7"/>
  <c r="Q191" i="7" s="1"/>
  <c r="F185" i="7"/>
  <c r="Q185" i="7" s="1"/>
  <c r="K178" i="7"/>
  <c r="V178" i="7" s="1"/>
  <c r="E261" i="7"/>
  <c r="P261" i="7" s="1"/>
  <c r="H244" i="7"/>
  <c r="S244" i="7" s="1"/>
  <c r="C229" i="7"/>
  <c r="K216" i="7"/>
  <c r="V216" i="7" s="1"/>
  <c r="C206" i="7"/>
  <c r="F198" i="7"/>
  <c r="Q198" i="7" s="1"/>
  <c r="D191" i="7"/>
  <c r="O191" i="7" s="1"/>
  <c r="G184" i="7"/>
  <c r="R184" i="7" s="1"/>
  <c r="I178" i="7"/>
  <c r="T178" i="7" s="1"/>
  <c r="E247" i="7"/>
  <c r="P247" i="7" s="1"/>
  <c r="B212" i="7"/>
  <c r="H196" i="7"/>
  <c r="S196" i="7" s="1"/>
  <c r="F182" i="7"/>
  <c r="Q182" i="7" s="1"/>
  <c r="D171" i="7"/>
  <c r="O171" i="7" s="1"/>
  <c r="C165" i="7"/>
  <c r="H158" i="7"/>
  <c r="S158" i="7" s="1"/>
  <c r="B152" i="7"/>
  <c r="G145" i="7"/>
  <c r="R145" i="7" s="1"/>
  <c r="I139" i="7"/>
  <c r="T139" i="7" s="1"/>
  <c r="F238" i="7"/>
  <c r="Q238" i="7" s="1"/>
  <c r="K211" i="7"/>
  <c r="V211" i="7" s="1"/>
  <c r="F196" i="7"/>
  <c r="Q196" i="7" s="1"/>
  <c r="I183" i="7"/>
  <c r="T183" i="7" s="1"/>
  <c r="B238" i="7"/>
  <c r="J211" i="7"/>
  <c r="U211" i="7" s="1"/>
  <c r="I192" i="7"/>
  <c r="T192" i="7" s="1"/>
  <c r="J177" i="7"/>
  <c r="U177" i="7" s="1"/>
  <c r="H168" i="7"/>
  <c r="S168" i="7" s="1"/>
  <c r="B162" i="7"/>
  <c r="G155" i="7"/>
  <c r="R155" i="7" s="1"/>
  <c r="I149" i="7"/>
  <c r="T149" i="7" s="1"/>
  <c r="C143" i="7"/>
  <c r="I263" i="7"/>
  <c r="T263" i="7" s="1"/>
  <c r="I224" i="7"/>
  <c r="T224" i="7" s="1"/>
  <c r="I205" i="7"/>
  <c r="T205" i="7" s="1"/>
  <c r="J187" i="7"/>
  <c r="U187" i="7" s="1"/>
  <c r="F254" i="7"/>
  <c r="Q254" i="7" s="1"/>
  <c r="B220" i="7"/>
  <c r="G201" i="7"/>
  <c r="R201" i="7" s="1"/>
  <c r="B186" i="7"/>
  <c r="G174" i="7"/>
  <c r="R174" i="7" s="1"/>
  <c r="I167" i="7"/>
  <c r="T167" i="7" s="1"/>
  <c r="C161" i="7"/>
  <c r="H154" i="7"/>
  <c r="S154" i="7" s="1"/>
  <c r="D258" i="7"/>
  <c r="O258" i="7" s="1"/>
  <c r="H222" i="7"/>
  <c r="S222" i="7" s="1"/>
  <c r="J202" i="7"/>
  <c r="U202" i="7" s="1"/>
  <c r="H185" i="7"/>
  <c r="S185" i="7" s="1"/>
  <c r="D174" i="7"/>
  <c r="O174" i="7" s="1"/>
  <c r="F167" i="7"/>
  <c r="Q167" i="7" s="1"/>
  <c r="K160" i="7"/>
  <c r="V160" i="7" s="1"/>
  <c r="B351" i="7"/>
  <c r="D368" i="7"/>
  <c r="O368" i="7" s="1"/>
  <c r="H374" i="7"/>
  <c r="S374" i="7" s="1"/>
  <c r="E380" i="7"/>
  <c r="P380" i="7" s="1"/>
  <c r="K354" i="7"/>
  <c r="V354" i="7" s="1"/>
  <c r="B386" i="7"/>
  <c r="H360" i="7"/>
  <c r="S360" i="7" s="1"/>
  <c r="G373" i="7"/>
  <c r="R373" i="7" s="1"/>
  <c r="F329" i="7"/>
  <c r="Q329" i="7" s="1"/>
  <c r="B385" i="7"/>
  <c r="I333" i="7"/>
  <c r="T333" i="7" s="1"/>
  <c r="G307" i="7"/>
  <c r="R307" i="7" s="1"/>
  <c r="H341" i="7"/>
  <c r="S341" i="7" s="1"/>
  <c r="B396" i="7"/>
  <c r="H338" i="7"/>
  <c r="S338" i="7" s="1"/>
  <c r="H401" i="7"/>
  <c r="S401" i="7" s="1"/>
  <c r="I340" i="7"/>
  <c r="T340" i="7" s="1"/>
  <c r="G314" i="7"/>
  <c r="R314" i="7" s="1"/>
  <c r="J356" i="7"/>
  <c r="U356" i="7" s="1"/>
  <c r="G362" i="7"/>
  <c r="R362" i="7" s="1"/>
  <c r="K296" i="7"/>
  <c r="V296" i="7" s="1"/>
  <c r="I305" i="7"/>
  <c r="T305" i="7" s="1"/>
  <c r="F360" i="7"/>
  <c r="Q360" i="7" s="1"/>
  <c r="I296" i="7"/>
  <c r="T296" i="7" s="1"/>
  <c r="G270" i="7"/>
  <c r="R270" i="7" s="1"/>
  <c r="G308" i="7"/>
  <c r="R308" i="7" s="1"/>
  <c r="B282" i="7"/>
  <c r="E319" i="7"/>
  <c r="P319" i="7" s="1"/>
  <c r="J287" i="7"/>
  <c r="U287" i="7" s="1"/>
  <c r="G381" i="7"/>
  <c r="R381" i="7" s="1"/>
  <c r="H298" i="7"/>
  <c r="S298" i="7" s="1"/>
  <c r="F311" i="7"/>
  <c r="Q311" i="7" s="1"/>
  <c r="F282" i="7"/>
  <c r="Q282" i="7" s="1"/>
  <c r="B273" i="7"/>
  <c r="E274" i="7"/>
  <c r="P274" i="7" s="1"/>
  <c r="K252" i="7"/>
  <c r="V252" i="7" s="1"/>
  <c r="H237" i="7"/>
  <c r="S237" i="7" s="1"/>
  <c r="C228" i="7"/>
  <c r="K220" i="7"/>
  <c r="V220" i="7" s="1"/>
  <c r="G284" i="7"/>
  <c r="R284" i="7" s="1"/>
  <c r="K269" i="7"/>
  <c r="V269" i="7" s="1"/>
  <c r="B308" i="7"/>
  <c r="I279" i="7"/>
  <c r="T279" i="7" s="1"/>
  <c r="E266" i="7"/>
  <c r="P266" i="7" s="1"/>
  <c r="G258" i="7"/>
  <c r="R258" i="7" s="1"/>
  <c r="D251" i="7"/>
  <c r="O251" i="7" s="1"/>
  <c r="F245" i="7"/>
  <c r="Q245" i="7" s="1"/>
  <c r="K238" i="7"/>
  <c r="V238" i="7" s="1"/>
  <c r="E232" i="7"/>
  <c r="P232" i="7" s="1"/>
  <c r="J225" i="7"/>
  <c r="U225" i="7" s="1"/>
  <c r="D219" i="7"/>
  <c r="O219" i="7" s="1"/>
  <c r="G282" i="7"/>
  <c r="R282" i="7" s="1"/>
  <c r="K270" i="7"/>
  <c r="V270" i="7" s="1"/>
  <c r="C306" i="7"/>
  <c r="F279" i="7"/>
  <c r="Q279" i="7" s="1"/>
  <c r="B266" i="7"/>
  <c r="B259" i="7"/>
  <c r="G252" i="7"/>
  <c r="R252" i="7" s="1"/>
  <c r="I246" i="7"/>
  <c r="T246" i="7" s="1"/>
  <c r="C240" i="7"/>
  <c r="H233" i="7"/>
  <c r="S233" i="7" s="1"/>
  <c r="B227" i="7"/>
  <c r="G220" i="7"/>
  <c r="R220" i="7" s="1"/>
  <c r="C261" i="7"/>
  <c r="K251" i="7"/>
  <c r="V251" i="7" s="1"/>
  <c r="F241" i="7"/>
  <c r="Q241" i="7" s="1"/>
  <c r="B232" i="7"/>
  <c r="F220" i="7"/>
  <c r="Q220" i="7" s="1"/>
  <c r="H213" i="7"/>
  <c r="S213" i="7" s="1"/>
  <c r="B207" i="7"/>
  <c r="G200" i="7"/>
  <c r="R200" i="7" s="1"/>
  <c r="I194" i="7"/>
  <c r="T194" i="7" s="1"/>
  <c r="H274" i="7"/>
  <c r="S274" i="7" s="1"/>
  <c r="F256" i="7"/>
  <c r="Q256" i="7" s="1"/>
  <c r="K267" i="7"/>
  <c r="V267" i="7" s="1"/>
  <c r="C255" i="7"/>
  <c r="D264" i="7"/>
  <c r="O264" i="7" s="1"/>
  <c r="C289" i="7"/>
  <c r="E260" i="7"/>
  <c r="P260" i="7" s="1"/>
  <c r="K249" i="7"/>
  <c r="V249" i="7" s="1"/>
  <c r="H240" i="7"/>
  <c r="S240" i="7" s="1"/>
  <c r="D231" i="7"/>
  <c r="O231" i="7" s="1"/>
  <c r="J220" i="7"/>
  <c r="U220" i="7" s="1"/>
  <c r="J213" i="7"/>
  <c r="U213" i="7" s="1"/>
  <c r="D207" i="7"/>
  <c r="O207" i="7" s="1"/>
  <c r="F201" i="7"/>
  <c r="Q201" i="7" s="1"/>
  <c r="K194" i="7"/>
  <c r="V194" i="7" s="1"/>
  <c r="C247" i="7"/>
  <c r="C233" i="7"/>
  <c r="F218" i="7"/>
  <c r="Q218" i="7" s="1"/>
  <c r="H210" i="7"/>
  <c r="S210" i="7" s="1"/>
  <c r="K201" i="7"/>
  <c r="V201" i="7" s="1"/>
  <c r="H192" i="7"/>
  <c r="S192" i="7" s="1"/>
  <c r="F186" i="7"/>
  <c r="Q186" i="7" s="1"/>
  <c r="K179" i="7"/>
  <c r="V179" i="7" s="1"/>
  <c r="E173" i="7"/>
  <c r="P173" i="7" s="1"/>
  <c r="I256" i="7"/>
  <c r="T256" i="7" s="1"/>
  <c r="J240" i="7"/>
  <c r="U240" i="7" s="1"/>
  <c r="K226" i="7"/>
  <c r="V226" i="7" s="1"/>
  <c r="E216" i="7"/>
  <c r="P216" i="7" s="1"/>
  <c r="J246" i="7"/>
  <c r="U246" i="7" s="1"/>
  <c r="J232" i="7"/>
  <c r="U232" i="7" s="1"/>
  <c r="C219" i="7"/>
  <c r="E211" i="7"/>
  <c r="P211" i="7" s="1"/>
  <c r="I203" i="7"/>
  <c r="T203" i="7" s="1"/>
  <c r="K195" i="7"/>
  <c r="V195" i="7" s="1"/>
  <c r="F188" i="7"/>
  <c r="Q188" i="7" s="1"/>
  <c r="K181" i="7"/>
  <c r="V181" i="7" s="1"/>
  <c r="E175" i="7"/>
  <c r="P175" i="7" s="1"/>
  <c r="K281" i="7"/>
  <c r="V281" i="7" s="1"/>
  <c r="H246" i="7"/>
  <c r="S246" i="7" s="1"/>
  <c r="C234" i="7"/>
  <c r="J221" i="7"/>
  <c r="U221" i="7" s="1"/>
  <c r="D213" i="7"/>
  <c r="O213" i="7" s="1"/>
  <c r="F205" i="7"/>
  <c r="Q205" i="7" s="1"/>
  <c r="I197" i="7"/>
  <c r="T197" i="7" s="1"/>
  <c r="H190" i="7"/>
  <c r="S190" i="7" s="1"/>
  <c r="I184" i="7"/>
  <c r="T184" i="7" s="1"/>
  <c r="C178" i="7"/>
  <c r="C258" i="7"/>
  <c r="C243" i="7"/>
  <c r="H227" i="7"/>
  <c r="S227" i="7" s="1"/>
  <c r="K215" i="7"/>
  <c r="V215" i="7" s="1"/>
  <c r="D205" i="7"/>
  <c r="O205" i="7" s="1"/>
  <c r="F197" i="7"/>
  <c r="Q197" i="7" s="1"/>
  <c r="F190" i="7"/>
  <c r="Q190" i="7" s="1"/>
  <c r="J183" i="7"/>
  <c r="U183" i="7" s="1"/>
  <c r="D177" i="7"/>
  <c r="O177" i="7" s="1"/>
  <c r="H238" i="7"/>
  <c r="S238" i="7" s="1"/>
  <c r="D210" i="7"/>
  <c r="O210" i="7" s="1"/>
  <c r="H194" i="7"/>
  <c r="S194" i="7" s="1"/>
  <c r="G179" i="7"/>
  <c r="R179" i="7" s="1"/>
  <c r="E170" i="7"/>
  <c r="P170" i="7" s="1"/>
  <c r="F164" i="7"/>
  <c r="Q164" i="7" s="1"/>
  <c r="K157" i="7"/>
  <c r="V157" i="7" s="1"/>
  <c r="E151" i="7"/>
  <c r="P151" i="7" s="1"/>
  <c r="J144" i="7"/>
  <c r="U144" i="7" s="1"/>
  <c r="D138" i="7"/>
  <c r="O138" i="7" s="1"/>
  <c r="B234" i="7"/>
  <c r="K209" i="7"/>
  <c r="V209" i="7" s="1"/>
  <c r="F194" i="7"/>
  <c r="Q194" i="7" s="1"/>
  <c r="D182" i="7"/>
  <c r="O182" i="7" s="1"/>
  <c r="I233" i="7"/>
  <c r="T233" i="7" s="1"/>
  <c r="J209" i="7"/>
  <c r="U209" i="7" s="1"/>
  <c r="F189" i="7"/>
  <c r="Q189" i="7" s="1"/>
  <c r="E176" i="7"/>
  <c r="P176" i="7" s="1"/>
  <c r="K167" i="7"/>
  <c r="V167" i="7" s="1"/>
  <c r="E161" i="7"/>
  <c r="P161" i="7" s="1"/>
  <c r="J154" i="7"/>
  <c r="U154" i="7" s="1"/>
  <c r="D148" i="7"/>
  <c r="O148" i="7" s="1"/>
  <c r="F142" i="7"/>
  <c r="Q142" i="7" s="1"/>
  <c r="H254" i="7"/>
  <c r="S254" i="7" s="1"/>
  <c r="B221" i="7"/>
  <c r="J203" i="7"/>
  <c r="U203" i="7" s="1"/>
  <c r="E186" i="7"/>
  <c r="P186" i="7" s="1"/>
  <c r="C249" i="7"/>
  <c r="J401" i="7"/>
  <c r="U401" i="7" s="1"/>
  <c r="F362" i="7"/>
  <c r="Q362" i="7" s="1"/>
  <c r="B368" i="7"/>
  <c r="I376" i="7"/>
  <c r="T376" i="7" s="1"/>
  <c r="G350" i="7"/>
  <c r="R350" i="7" s="1"/>
  <c r="F382" i="7"/>
  <c r="Q382" i="7" s="1"/>
  <c r="D356" i="7"/>
  <c r="O356" i="7" s="1"/>
  <c r="C360" i="7"/>
  <c r="B325" i="7"/>
  <c r="F373" i="7"/>
  <c r="Q373" i="7" s="1"/>
  <c r="E329" i="7"/>
  <c r="P329" i="7" s="1"/>
  <c r="G396" i="7"/>
  <c r="R396" i="7" s="1"/>
  <c r="D337" i="7"/>
  <c r="O337" i="7" s="1"/>
  <c r="F384" i="7"/>
  <c r="Q384" i="7" s="1"/>
  <c r="D334" i="7"/>
  <c r="O334" i="7" s="1"/>
  <c r="B388" i="7"/>
  <c r="E336" i="7"/>
  <c r="P336" i="7" s="1"/>
  <c r="K310" i="7"/>
  <c r="V310" i="7" s="1"/>
  <c r="C345" i="7"/>
  <c r="K336" i="7"/>
  <c r="V336" i="7" s="1"/>
  <c r="G292" i="7"/>
  <c r="R292" i="7" s="1"/>
  <c r="K301" i="7"/>
  <c r="V301" i="7" s="1"/>
  <c r="D333" i="7"/>
  <c r="O333" i="7" s="1"/>
  <c r="E292" i="7"/>
  <c r="P292" i="7" s="1"/>
  <c r="K266" i="7"/>
  <c r="V266" i="7" s="1"/>
  <c r="K303" i="7"/>
  <c r="V303" i="7" s="1"/>
  <c r="F278" i="7"/>
  <c r="Q278" i="7" s="1"/>
  <c r="I310" i="7"/>
  <c r="T310" i="7" s="1"/>
  <c r="C284" i="7"/>
  <c r="C341" i="7"/>
  <c r="D294" i="7"/>
  <c r="O294" i="7" s="1"/>
  <c r="G303" i="7"/>
  <c r="R303" i="7" s="1"/>
  <c r="B278" i="7"/>
  <c r="H266" i="7"/>
  <c r="S266" i="7" s="1"/>
  <c r="K272" i="7"/>
  <c r="V272" i="7" s="1"/>
  <c r="F251" i="7"/>
  <c r="Q251" i="7" s="1"/>
  <c r="C236" i="7"/>
  <c r="F227" i="7"/>
  <c r="Q227" i="7" s="1"/>
  <c r="G340" i="7"/>
  <c r="R340" i="7" s="1"/>
  <c r="G281" i="7"/>
  <c r="R281" i="7" s="1"/>
  <c r="F268" i="7"/>
  <c r="Q268" i="7" s="1"/>
  <c r="F301" i="7"/>
  <c r="Q301" i="7" s="1"/>
  <c r="D278" i="7"/>
  <c r="O278" i="7" s="1"/>
  <c r="E265" i="7"/>
  <c r="P265" i="7" s="1"/>
  <c r="J257" i="7"/>
  <c r="U257" i="7" s="1"/>
  <c r="G250" i="7"/>
  <c r="R250" i="7" s="1"/>
  <c r="I244" i="7"/>
  <c r="T244" i="7" s="1"/>
  <c r="C238" i="7"/>
  <c r="H231" i="7"/>
  <c r="S231" i="7" s="1"/>
  <c r="B225" i="7"/>
  <c r="I334" i="7"/>
  <c r="T334" i="7" s="1"/>
  <c r="B281" i="7"/>
  <c r="F269" i="7"/>
  <c r="Q269" i="7" s="1"/>
  <c r="C294" i="7"/>
  <c r="G276" i="7"/>
  <c r="R276" i="7" s="1"/>
  <c r="B265" i="7"/>
  <c r="E258" i="7"/>
  <c r="P258" i="7" s="1"/>
  <c r="J251" i="7"/>
  <c r="U251" i="7" s="1"/>
  <c r="D245" i="7"/>
  <c r="O245" i="7" s="1"/>
  <c r="F239" i="7"/>
  <c r="Q239" i="7" s="1"/>
  <c r="K232" i="7"/>
  <c r="V232" i="7" s="1"/>
  <c r="E226" i="7"/>
  <c r="P226" i="7" s="1"/>
  <c r="C305" i="7"/>
  <c r="B260" i="7"/>
  <c r="J250" i="7"/>
  <c r="U250" i="7" s="1"/>
  <c r="D240" i="7"/>
  <c r="O240" i="7" s="1"/>
  <c r="J229" i="7"/>
  <c r="U229" i="7" s="1"/>
  <c r="G219" i="7"/>
  <c r="R219" i="7" s="1"/>
  <c r="K212" i="7"/>
  <c r="V212" i="7" s="1"/>
  <c r="E206" i="7"/>
  <c r="P206" i="7" s="1"/>
  <c r="J199" i="7"/>
  <c r="U199" i="7" s="1"/>
  <c r="D193" i="7"/>
  <c r="O193" i="7" s="1"/>
  <c r="J268" i="7"/>
  <c r="U268" i="7" s="1"/>
  <c r="D255" i="7"/>
  <c r="O255" i="7" s="1"/>
  <c r="K264" i="7"/>
  <c r="V264" i="7" s="1"/>
  <c r="K253" i="7"/>
  <c r="V253" i="7" s="1"/>
  <c r="C263" i="7"/>
  <c r="D282" i="7"/>
  <c r="O282" i="7" s="1"/>
  <c r="C259" i="7"/>
  <c r="I248" i="7"/>
  <c r="T248" i="7" s="1"/>
  <c r="E239" i="7"/>
  <c r="P239" i="7" s="1"/>
  <c r="B230" i="7"/>
  <c r="I219" i="7"/>
  <c r="T219" i="7" s="1"/>
  <c r="B213" i="7"/>
  <c r="G206" i="7"/>
  <c r="R206" i="7" s="1"/>
  <c r="I200" i="7"/>
  <c r="T200" i="7" s="1"/>
  <c r="B289" i="7"/>
  <c r="I245" i="7"/>
  <c r="T245" i="7" s="1"/>
  <c r="I231" i="7"/>
  <c r="T231" i="7" s="1"/>
  <c r="G217" i="7"/>
  <c r="R217" i="7" s="1"/>
  <c r="I209" i="7"/>
  <c r="T209" i="7" s="1"/>
  <c r="B200" i="7"/>
  <c r="I191" i="7"/>
  <c r="T191" i="7" s="1"/>
  <c r="I185" i="7"/>
  <c r="T185" i="7" s="1"/>
  <c r="C179" i="7"/>
  <c r="H172" i="7"/>
  <c r="S172" i="7" s="1"/>
  <c r="I253" i="7"/>
  <c r="T253" i="7" s="1"/>
  <c r="D239" i="7"/>
  <c r="O239" i="7" s="1"/>
  <c r="E225" i="7"/>
  <c r="P225" i="7" s="1"/>
  <c r="E283" i="7"/>
  <c r="P283" i="7" s="1"/>
  <c r="E245" i="7"/>
  <c r="P245" i="7" s="1"/>
  <c r="E231" i="7"/>
  <c r="P231" i="7" s="1"/>
  <c r="D218" i="7"/>
  <c r="O218" i="7" s="1"/>
  <c r="F210" i="7"/>
  <c r="Q210" i="7" s="1"/>
  <c r="H202" i="7"/>
  <c r="S202" i="7" s="1"/>
  <c r="B194" i="7"/>
  <c r="I187" i="7"/>
  <c r="T187" i="7" s="1"/>
  <c r="C181" i="7"/>
  <c r="H174" i="7"/>
  <c r="S174" i="7" s="1"/>
  <c r="J266" i="7"/>
  <c r="U266" i="7" s="1"/>
  <c r="B245" i="7"/>
  <c r="I232" i="7"/>
  <c r="T232" i="7" s="1"/>
  <c r="D220" i="7"/>
  <c r="O220" i="7" s="1"/>
  <c r="D212" i="7"/>
  <c r="O212" i="7" s="1"/>
  <c r="G204" i="7"/>
  <c r="R204" i="7" s="1"/>
  <c r="I196" i="7"/>
  <c r="T196" i="7" s="1"/>
  <c r="J189" i="7"/>
  <c r="U189" i="7" s="1"/>
  <c r="D183" i="7"/>
  <c r="O183" i="7" s="1"/>
  <c r="F177" i="7"/>
  <c r="Q177" i="7" s="1"/>
  <c r="J254" i="7"/>
  <c r="U254" i="7" s="1"/>
  <c r="G241" i="7"/>
  <c r="R241" i="7" s="1"/>
  <c r="B226" i="7"/>
  <c r="K214" i="7"/>
  <c r="V214" i="7" s="1"/>
  <c r="D204" i="7"/>
  <c r="O204" i="7" s="1"/>
  <c r="G196" i="7"/>
  <c r="R196" i="7" s="1"/>
  <c r="H189" i="7"/>
  <c r="S189" i="7" s="1"/>
  <c r="B183" i="7"/>
  <c r="G176" i="7"/>
  <c r="R176" i="7" s="1"/>
  <c r="G230" i="7"/>
  <c r="R230" i="7" s="1"/>
  <c r="D208" i="7"/>
  <c r="O208" i="7" s="1"/>
  <c r="E191" i="7"/>
  <c r="P191" i="7" s="1"/>
  <c r="B178" i="7"/>
  <c r="G169" i="7"/>
  <c r="R169" i="7" s="1"/>
  <c r="I163" i="7"/>
  <c r="T163" i="7" s="1"/>
  <c r="C157" i="7"/>
  <c r="H150" i="7"/>
  <c r="S150" i="7" s="1"/>
  <c r="B144" i="7"/>
  <c r="G137" i="7"/>
  <c r="R137" i="7" s="1"/>
  <c r="F230" i="7"/>
  <c r="Q230" i="7" s="1"/>
  <c r="B208" i="7"/>
  <c r="J192" i="7"/>
  <c r="U192" i="7" s="1"/>
  <c r="J180" i="7"/>
  <c r="U180" i="7" s="1"/>
  <c r="E229" i="7"/>
  <c r="P229" i="7" s="1"/>
  <c r="K207" i="7"/>
  <c r="V207" i="7" s="1"/>
  <c r="G186" i="7"/>
  <c r="R186" i="7" s="1"/>
  <c r="K174" i="7"/>
  <c r="V174" i="7" s="1"/>
  <c r="C167" i="7"/>
  <c r="H160" i="7"/>
  <c r="S160" i="7" s="1"/>
  <c r="B154" i="7"/>
  <c r="G147" i="7"/>
  <c r="R147" i="7" s="1"/>
  <c r="I141" i="7"/>
  <c r="T141" i="7" s="1"/>
  <c r="F249" i="7"/>
  <c r="Q249" i="7" s="1"/>
  <c r="I217" i="7"/>
  <c r="T217" i="7" s="1"/>
  <c r="J201" i="7"/>
  <c r="U201" i="7" s="1"/>
  <c r="K184" i="7"/>
  <c r="V184" i="7" s="1"/>
  <c r="J244" i="7"/>
  <c r="U244" i="7" s="1"/>
  <c r="C213" i="7"/>
  <c r="G197" i="7"/>
  <c r="R197" i="7" s="1"/>
  <c r="D395" i="7"/>
  <c r="O395" i="7" s="1"/>
  <c r="K355" i="7"/>
  <c r="V355" i="7" s="1"/>
  <c r="G361" i="7"/>
  <c r="R361" i="7" s="1"/>
  <c r="J373" i="7"/>
  <c r="U373" i="7" s="1"/>
  <c r="E348" i="7"/>
  <c r="P348" i="7" s="1"/>
  <c r="G379" i="7"/>
  <c r="R379" i="7" s="1"/>
  <c r="B354" i="7"/>
  <c r="E354" i="7"/>
  <c r="P354" i="7" s="1"/>
  <c r="K322" i="7"/>
  <c r="V322" i="7" s="1"/>
  <c r="H367" i="7"/>
  <c r="S367" i="7" s="1"/>
  <c r="C327" i="7"/>
  <c r="I388" i="7"/>
  <c r="T388" i="7" s="1"/>
  <c r="B335" i="7"/>
  <c r="H378" i="7"/>
  <c r="S378" i="7" s="1"/>
  <c r="B332" i="7"/>
  <c r="D382" i="7"/>
  <c r="O382" i="7" s="1"/>
  <c r="C334" i="7"/>
  <c r="I308" i="7"/>
  <c r="T308" i="7" s="1"/>
  <c r="J342" i="7"/>
  <c r="U342" i="7" s="1"/>
  <c r="K323" i="7"/>
  <c r="V323" i="7" s="1"/>
  <c r="E290" i="7"/>
  <c r="P290" i="7" s="1"/>
  <c r="I299" i="7"/>
  <c r="T299" i="7" s="1"/>
  <c r="E325" i="7"/>
  <c r="P325" i="7" s="1"/>
  <c r="C290" i="7"/>
  <c r="I264" i="7"/>
  <c r="T264" i="7" s="1"/>
  <c r="I301" i="7"/>
  <c r="T301" i="7" s="1"/>
  <c r="G275" i="7"/>
  <c r="R275" i="7" s="1"/>
  <c r="E307" i="7"/>
  <c r="P307" i="7" s="1"/>
  <c r="D281" i="7"/>
  <c r="O281" i="7" s="1"/>
  <c r="F332" i="7"/>
  <c r="Q332" i="7" s="1"/>
  <c r="B292" i="7"/>
  <c r="E301" i="7"/>
  <c r="P301" i="7" s="1"/>
  <c r="K275" i="7"/>
  <c r="V275" i="7" s="1"/>
  <c r="J264" i="7"/>
  <c r="U264" i="7" s="1"/>
  <c r="H265" i="7"/>
  <c r="S265" i="7" s="1"/>
  <c r="I250" i="7"/>
  <c r="T250" i="7" s="1"/>
  <c r="D233" i="7"/>
  <c r="O233" i="7" s="1"/>
  <c r="D225" i="7"/>
  <c r="O225" i="7" s="1"/>
  <c r="J320" i="7"/>
  <c r="U320" i="7" s="1"/>
  <c r="B280" i="7"/>
  <c r="E267" i="7"/>
  <c r="P267" i="7" s="1"/>
  <c r="H295" i="7"/>
  <c r="S295" i="7" s="1"/>
  <c r="J276" i="7"/>
  <c r="U276" i="7" s="1"/>
  <c r="E264" i="7"/>
  <c r="P264" i="7" s="1"/>
  <c r="E256" i="7"/>
  <c r="P256" i="7" s="1"/>
  <c r="J249" i="7"/>
  <c r="U249" i="7" s="1"/>
  <c r="D243" i="7"/>
  <c r="O243" i="7" s="1"/>
  <c r="F237" i="7"/>
  <c r="Q237" i="7" s="1"/>
  <c r="K230" i="7"/>
  <c r="V230" i="7" s="1"/>
  <c r="E224" i="7"/>
  <c r="P224" i="7" s="1"/>
  <c r="K316" i="7"/>
  <c r="V316" i="7" s="1"/>
  <c r="H279" i="7"/>
  <c r="S279" i="7" s="1"/>
  <c r="B268" i="7"/>
  <c r="H289" i="7"/>
  <c r="S289" i="7" s="1"/>
  <c r="B275" i="7"/>
  <c r="C264" i="7"/>
  <c r="H257" i="7"/>
  <c r="S257" i="7" s="1"/>
  <c r="B251" i="7"/>
  <c r="G244" i="7"/>
  <c r="R244" i="7" s="1"/>
  <c r="I238" i="7"/>
  <c r="T238" i="7" s="1"/>
  <c r="C232" i="7"/>
  <c r="H225" i="7"/>
  <c r="S225" i="7" s="1"/>
  <c r="F287" i="7"/>
  <c r="Q287" i="7" s="1"/>
  <c r="K258" i="7"/>
  <c r="V258" i="7" s="1"/>
  <c r="G249" i="7"/>
  <c r="R249" i="7" s="1"/>
  <c r="C239" i="7"/>
  <c r="H228" i="7"/>
  <c r="S228" i="7" s="1"/>
  <c r="I218" i="7"/>
  <c r="T218" i="7" s="1"/>
  <c r="C212" i="7"/>
  <c r="H205" i="7"/>
  <c r="S205" i="7" s="1"/>
  <c r="B199" i="7"/>
  <c r="G192" i="7"/>
  <c r="R192" i="7" s="1"/>
  <c r="E263" i="7"/>
  <c r="P263" i="7" s="1"/>
  <c r="B254" i="7"/>
  <c r="D263" i="7"/>
  <c r="O263" i="7" s="1"/>
  <c r="J252" i="7"/>
  <c r="U252" i="7" s="1"/>
  <c r="K261" i="7"/>
  <c r="V261" i="7" s="1"/>
  <c r="F276" i="7"/>
  <c r="Q276" i="7" s="1"/>
  <c r="B258" i="7"/>
  <c r="G247" i="7"/>
  <c r="R247" i="7" s="1"/>
  <c r="D238" i="7"/>
  <c r="O238" i="7" s="1"/>
  <c r="I227" i="7"/>
  <c r="T227" i="7" s="1"/>
  <c r="K218" i="7"/>
  <c r="V218" i="7" s="1"/>
  <c r="E212" i="7"/>
  <c r="P212" i="7" s="1"/>
  <c r="J205" i="7"/>
  <c r="U205" i="7" s="1"/>
  <c r="D199" i="7"/>
  <c r="O199" i="7" s="1"/>
  <c r="I271" i="7"/>
  <c r="T271" i="7" s="1"/>
  <c r="D244" i="7"/>
  <c r="O244" i="7" s="1"/>
  <c r="D230" i="7"/>
  <c r="O230" i="7" s="1"/>
  <c r="F216" i="7"/>
  <c r="Q216" i="7" s="1"/>
  <c r="J208" i="7"/>
  <c r="U208" i="7" s="1"/>
  <c r="B198" i="7"/>
  <c r="K190" i="7"/>
  <c r="V190" i="7" s="1"/>
  <c r="D184" i="7"/>
  <c r="O184" i="7" s="1"/>
  <c r="F178" i="7"/>
  <c r="Q178" i="7" s="1"/>
  <c r="K171" i="7"/>
  <c r="V171" i="7" s="1"/>
  <c r="H251" i="7"/>
  <c r="S251" i="7" s="1"/>
  <c r="I237" i="7"/>
  <c r="T237" i="7" s="1"/>
  <c r="I223" i="7"/>
  <c r="T223" i="7" s="1"/>
  <c r="G262" i="7"/>
  <c r="R262" i="7" s="1"/>
  <c r="H243" i="7"/>
  <c r="S243" i="7" s="1"/>
  <c r="I229" i="7"/>
  <c r="T229" i="7" s="1"/>
  <c r="C217" i="7"/>
  <c r="G209" i="7"/>
  <c r="R209" i="7" s="1"/>
  <c r="I201" i="7"/>
  <c r="T201" i="7" s="1"/>
  <c r="C193" i="7"/>
  <c r="D186" i="7"/>
  <c r="O186" i="7" s="1"/>
  <c r="F180" i="7"/>
  <c r="Q180" i="7" s="1"/>
  <c r="K173" i="7"/>
  <c r="V173" i="7" s="1"/>
  <c r="J261" i="7"/>
  <c r="U261" i="7" s="1"/>
  <c r="G243" i="7"/>
  <c r="R243" i="7" s="1"/>
  <c r="C231" i="7"/>
  <c r="B219" i="7"/>
  <c r="D211" i="7"/>
  <c r="O211" i="7" s="1"/>
  <c r="G203" i="7"/>
  <c r="R203" i="7" s="1"/>
  <c r="J195" i="7"/>
  <c r="U195" i="7" s="1"/>
  <c r="B189" i="7"/>
  <c r="G182" i="7"/>
  <c r="R182" i="7" s="1"/>
  <c r="I176" i="7"/>
  <c r="T176" i="7" s="1"/>
  <c r="F252" i="7"/>
  <c r="Q252" i="7" s="1"/>
  <c r="G238" i="7"/>
  <c r="R238" i="7" s="1"/>
  <c r="H224" i="7"/>
  <c r="S224" i="7" s="1"/>
  <c r="B211" i="7"/>
  <c r="D203" i="7"/>
  <c r="O203" i="7" s="1"/>
  <c r="G195" i="7"/>
  <c r="R195" i="7" s="1"/>
  <c r="K188" i="7"/>
  <c r="V188" i="7" s="1"/>
  <c r="E182" i="7"/>
  <c r="P182" i="7" s="1"/>
  <c r="J175" i="7"/>
  <c r="U175" i="7" s="1"/>
  <c r="C226" i="7"/>
  <c r="D206" i="7"/>
  <c r="O206" i="7" s="1"/>
  <c r="I189" i="7"/>
  <c r="T189" i="7" s="1"/>
  <c r="H176" i="7"/>
  <c r="S176" i="7" s="1"/>
  <c r="J168" i="7"/>
  <c r="U168" i="7" s="1"/>
  <c r="D162" i="7"/>
  <c r="O162" i="7" s="1"/>
  <c r="F156" i="7"/>
  <c r="Q156" i="7" s="1"/>
  <c r="K149" i="7"/>
  <c r="V149" i="7" s="1"/>
  <c r="E143" i="7"/>
  <c r="P143" i="7" s="1"/>
  <c r="J265" i="7"/>
  <c r="U265" i="7" s="1"/>
  <c r="K225" i="7"/>
  <c r="V225" i="7" s="1"/>
  <c r="B206" i="7"/>
  <c r="C191" i="7"/>
  <c r="E179" i="7"/>
  <c r="P179" i="7" s="1"/>
  <c r="I225" i="7"/>
  <c r="T225" i="7" s="1"/>
  <c r="B202" i="7"/>
  <c r="B185" i="7"/>
  <c r="J173" i="7"/>
  <c r="U173" i="7" s="1"/>
  <c r="F166" i="7"/>
  <c r="Q166" i="7" s="1"/>
  <c r="K159" i="7"/>
  <c r="V159" i="7" s="1"/>
  <c r="E153" i="7"/>
  <c r="P153" i="7" s="1"/>
  <c r="J146" i="7"/>
  <c r="U146" i="7" s="1"/>
  <c r="D140" i="7"/>
  <c r="O140" i="7" s="1"/>
  <c r="J245" i="7"/>
  <c r="U245" i="7" s="1"/>
  <c r="F215" i="7"/>
  <c r="Q215" i="7" s="1"/>
  <c r="K199" i="7"/>
  <c r="V199" i="7" s="1"/>
  <c r="F183" i="7"/>
  <c r="Q183" i="7" s="1"/>
  <c r="C241" i="7"/>
  <c r="D400" i="7"/>
  <c r="O400" i="7" s="1"/>
  <c r="E349" i="7"/>
  <c r="P349" i="7" s="1"/>
  <c r="I355" i="7"/>
  <c r="T355" i="7" s="1"/>
  <c r="C370" i="7"/>
  <c r="E401" i="7"/>
  <c r="P401" i="7" s="1"/>
  <c r="K375" i="7"/>
  <c r="V375" i="7" s="1"/>
  <c r="F350" i="7"/>
  <c r="Q350" i="7" s="1"/>
  <c r="I344" i="7"/>
  <c r="T344" i="7" s="1"/>
  <c r="G318" i="7"/>
  <c r="R318" i="7" s="1"/>
  <c r="K353" i="7"/>
  <c r="V353" i="7" s="1"/>
  <c r="J322" i="7"/>
  <c r="U322" i="7" s="1"/>
  <c r="B379" i="7"/>
  <c r="F331" i="7"/>
  <c r="Q331" i="7" s="1"/>
  <c r="B369" i="7"/>
  <c r="F328" i="7"/>
  <c r="Q328" i="7" s="1"/>
  <c r="I372" i="7"/>
  <c r="T372" i="7" s="1"/>
  <c r="J329" i="7"/>
  <c r="U329" i="7" s="1"/>
  <c r="C401" i="7"/>
  <c r="C339" i="7"/>
  <c r="B315" i="7"/>
  <c r="E362" i="7"/>
  <c r="P362" i="7" s="1"/>
  <c r="E295" i="7"/>
  <c r="P295" i="7" s="1"/>
  <c r="C316" i="7"/>
  <c r="J285" i="7"/>
  <c r="U285" i="7" s="1"/>
  <c r="E360" i="7"/>
  <c r="P360" i="7" s="1"/>
  <c r="E297" i="7"/>
  <c r="P297" i="7" s="1"/>
  <c r="K271" i="7"/>
  <c r="V271" i="7" s="1"/>
  <c r="B303" i="7"/>
  <c r="H277" i="7"/>
  <c r="S277" i="7" s="1"/>
  <c r="J318" i="7"/>
  <c r="U318" i="7" s="1"/>
  <c r="J379" i="7"/>
  <c r="U379" i="7" s="1"/>
  <c r="I297" i="7"/>
  <c r="T297" i="7" s="1"/>
  <c r="G271" i="7"/>
  <c r="R271" i="7" s="1"/>
  <c r="F343" i="7"/>
  <c r="Q343" i="7" s="1"/>
  <c r="J263" i="7"/>
  <c r="U263" i="7" s="1"/>
  <c r="E246" i="7"/>
  <c r="P246" i="7" s="1"/>
  <c r="J231" i="7"/>
  <c r="U231" i="7" s="1"/>
  <c r="G224" i="7"/>
  <c r="R224" i="7" s="1"/>
  <c r="D309" i="7"/>
  <c r="O309" i="7" s="1"/>
  <c r="H278" i="7"/>
  <c r="S278" i="7" s="1"/>
  <c r="F266" i="7"/>
  <c r="Q266" i="7" s="1"/>
  <c r="K289" i="7"/>
  <c r="V289" i="7" s="1"/>
  <c r="E275" i="7"/>
  <c r="P275" i="7" s="1"/>
  <c r="K262" i="7"/>
  <c r="V262" i="7" s="1"/>
  <c r="H255" i="7"/>
  <c r="S255" i="7" s="1"/>
  <c r="B249" i="7"/>
  <c r="G242" i="7"/>
  <c r="R242" i="7" s="1"/>
  <c r="I236" i="7"/>
  <c r="T236" i="7" s="1"/>
  <c r="C230" i="7"/>
  <c r="H223" i="7"/>
  <c r="S223" i="7" s="1"/>
  <c r="B307" i="7"/>
  <c r="C278" i="7"/>
  <c r="C267" i="7"/>
  <c r="H287" i="7"/>
  <c r="S287" i="7" s="1"/>
  <c r="H273" i="7"/>
  <c r="S273" i="7" s="1"/>
  <c r="F263" i="7"/>
  <c r="Q263" i="7" s="1"/>
  <c r="K256" i="7"/>
  <c r="V256" i="7" s="1"/>
  <c r="E250" i="7"/>
  <c r="P250" i="7" s="1"/>
  <c r="J243" i="7"/>
  <c r="U243" i="7" s="1"/>
  <c r="D237" i="7"/>
  <c r="O237" i="7" s="1"/>
  <c r="F231" i="7"/>
  <c r="Q231" i="7" s="1"/>
  <c r="K224" i="7"/>
  <c r="V224" i="7" s="1"/>
  <c r="J280" i="7"/>
  <c r="U280" i="7" s="1"/>
  <c r="I257" i="7"/>
  <c r="T257" i="7" s="1"/>
  <c r="F248" i="7"/>
  <c r="Q248" i="7" s="1"/>
  <c r="K237" i="7"/>
  <c r="V237" i="7" s="1"/>
  <c r="G227" i="7"/>
  <c r="R227" i="7" s="1"/>
  <c r="D217" i="7"/>
  <c r="O217" i="7" s="1"/>
  <c r="F211" i="7"/>
  <c r="Q211" i="7" s="1"/>
  <c r="K204" i="7"/>
  <c r="V204" i="7" s="1"/>
  <c r="E198" i="7"/>
  <c r="P198" i="7" s="1"/>
  <c r="J191" i="7"/>
  <c r="U191" i="7" s="1"/>
  <c r="D262" i="7"/>
  <c r="O262" i="7" s="1"/>
  <c r="G364" i="7"/>
  <c r="R364" i="7" s="1"/>
  <c r="B262" i="7"/>
  <c r="I356" i="7"/>
  <c r="T356" i="7" s="1"/>
  <c r="J260" i="7"/>
  <c r="U260" i="7" s="1"/>
  <c r="H270" i="7"/>
  <c r="S270" i="7" s="1"/>
  <c r="J256" i="7"/>
  <c r="U256" i="7" s="1"/>
  <c r="F246" i="7"/>
  <c r="Q246" i="7" s="1"/>
  <c r="B237" i="7"/>
  <c r="H226" i="7"/>
  <c r="S226" i="7" s="1"/>
  <c r="C218" i="7"/>
  <c r="H211" i="7"/>
  <c r="S211" i="7" s="1"/>
  <c r="B205" i="7"/>
  <c r="G198" i="7"/>
  <c r="R198" i="7" s="1"/>
  <c r="D260" i="7"/>
  <c r="O260" i="7" s="1"/>
  <c r="F242" i="7"/>
  <c r="Q242" i="7" s="1"/>
  <c r="F228" i="7"/>
  <c r="Q228" i="7" s="1"/>
  <c r="G215" i="7"/>
  <c r="R215" i="7" s="1"/>
  <c r="I207" i="7"/>
  <c r="T207" i="7" s="1"/>
  <c r="C197" i="7"/>
  <c r="B190" i="7"/>
  <c r="G183" i="7"/>
  <c r="R183" i="7" s="1"/>
  <c r="I177" i="7"/>
  <c r="T177" i="7" s="1"/>
  <c r="C171" i="7"/>
  <c r="C250" i="7"/>
  <c r="D236" i="7"/>
  <c r="O236" i="7" s="1"/>
  <c r="D222" i="7"/>
  <c r="O222" i="7" s="1"/>
  <c r="E259" i="7"/>
  <c r="P259" i="7" s="1"/>
  <c r="C242" i="7"/>
  <c r="D228" i="7"/>
  <c r="O228" i="7" s="1"/>
  <c r="D216" i="7"/>
  <c r="O216" i="7" s="1"/>
  <c r="F208" i="7"/>
  <c r="Q208" i="7" s="1"/>
  <c r="J200" i="7"/>
  <c r="U200" i="7" s="1"/>
  <c r="E192" i="7"/>
  <c r="P192" i="7" s="1"/>
  <c r="G185" i="7"/>
  <c r="R185" i="7" s="1"/>
  <c r="I179" i="7"/>
  <c r="T179" i="7" s="1"/>
  <c r="C173" i="7"/>
  <c r="K255" i="7"/>
  <c r="V255" i="7" s="1"/>
  <c r="B242" i="7"/>
  <c r="G229" i="7"/>
  <c r="R229" i="7" s="1"/>
  <c r="B218" i="7"/>
  <c r="E210" i="7"/>
  <c r="P210" i="7" s="1"/>
  <c r="G202" i="7"/>
  <c r="R202" i="7" s="1"/>
  <c r="J194" i="7"/>
  <c r="U194" i="7" s="1"/>
  <c r="E188" i="7"/>
  <c r="P188" i="7" s="1"/>
  <c r="J181" i="7"/>
  <c r="U181" i="7" s="1"/>
  <c r="D175" i="7"/>
  <c r="O175" i="7" s="1"/>
  <c r="K250" i="7"/>
  <c r="V250" i="7" s="1"/>
  <c r="E235" i="7"/>
  <c r="P235" i="7" s="1"/>
  <c r="E221" i="7"/>
  <c r="P221" i="7" s="1"/>
  <c r="B210" i="7"/>
  <c r="E202" i="7"/>
  <c r="P202" i="7" s="1"/>
  <c r="G194" i="7"/>
  <c r="R194" i="7" s="1"/>
  <c r="C188" i="7"/>
  <c r="H181" i="7"/>
  <c r="S181" i="7" s="1"/>
  <c r="B175" i="7"/>
  <c r="G222" i="7"/>
  <c r="R222" i="7" s="1"/>
  <c r="F204" i="7"/>
  <c r="Q204" i="7" s="1"/>
  <c r="D188" i="7"/>
  <c r="O188" i="7" s="1"/>
  <c r="C175" i="7"/>
  <c r="B168" i="7"/>
  <c r="G161" i="7"/>
  <c r="R161" i="7" s="1"/>
  <c r="I155" i="7"/>
  <c r="T155" i="7" s="1"/>
  <c r="C149" i="7"/>
  <c r="H142" i="7"/>
  <c r="S142" i="7" s="1"/>
  <c r="C257" i="7"/>
  <c r="G221" i="7"/>
  <c r="R221" i="7" s="1"/>
  <c r="B204" i="7"/>
  <c r="G189" i="7"/>
  <c r="R189" i="7" s="1"/>
  <c r="G255" i="7"/>
  <c r="R255" i="7" s="1"/>
  <c r="C221" i="7"/>
  <c r="C200" i="7"/>
  <c r="H183" i="7"/>
  <c r="S183" i="7" s="1"/>
  <c r="K172" i="7"/>
  <c r="V172" i="7" s="1"/>
  <c r="I165" i="7"/>
  <c r="T165" i="7" s="1"/>
  <c r="C159" i="7"/>
  <c r="H152" i="7"/>
  <c r="S152" i="7" s="1"/>
  <c r="B146" i="7"/>
  <c r="G139" i="7"/>
  <c r="R139" i="7" s="1"/>
  <c r="E241" i="7"/>
  <c r="P241" i="7" s="1"/>
  <c r="F213" i="7"/>
  <c r="Q213" i="7" s="1"/>
  <c r="C194" i="7"/>
  <c r="G180" i="7"/>
  <c r="R180" i="7" s="1"/>
  <c r="H236" i="7"/>
  <c r="S236" i="7" s="1"/>
  <c r="F394" i="7"/>
  <c r="Q394" i="7" s="1"/>
  <c r="B400" i="7"/>
  <c r="C349" i="7"/>
  <c r="D367" i="7"/>
  <c r="O367" i="7" s="1"/>
  <c r="C399" i="7"/>
  <c r="I373" i="7"/>
  <c r="T373" i="7" s="1"/>
  <c r="G347" i="7"/>
  <c r="R347" i="7" s="1"/>
  <c r="J341" i="7"/>
  <c r="U341" i="7" s="1"/>
  <c r="E316" i="7"/>
  <c r="P316" i="7" s="1"/>
  <c r="B348" i="7"/>
  <c r="H320" i="7"/>
  <c r="S320" i="7" s="1"/>
  <c r="D371" i="7"/>
  <c r="O371" i="7" s="1"/>
  <c r="G328" i="7"/>
  <c r="R328" i="7" s="1"/>
  <c r="C361" i="7"/>
  <c r="G325" i="7"/>
  <c r="R325" i="7" s="1"/>
  <c r="K366" i="7"/>
  <c r="V366" i="7" s="1"/>
  <c r="H327" i="7"/>
  <c r="S327" i="7" s="1"/>
  <c r="F392" i="7"/>
  <c r="Q392" i="7" s="1"/>
  <c r="D336" i="7"/>
  <c r="O336" i="7" s="1"/>
  <c r="E311" i="7"/>
  <c r="P311" i="7" s="1"/>
  <c r="H342" i="7"/>
  <c r="S342" i="7" s="1"/>
  <c r="C293" i="7"/>
  <c r="C312" i="7"/>
  <c r="H283" i="7"/>
  <c r="S283" i="7" s="1"/>
  <c r="K341" i="7"/>
  <c r="V341" i="7" s="1"/>
  <c r="C295" i="7"/>
  <c r="I269" i="7"/>
  <c r="T269" i="7" s="1"/>
  <c r="K300" i="7"/>
  <c r="V300" i="7" s="1"/>
  <c r="F275" i="7"/>
  <c r="Q275" i="7" s="1"/>
  <c r="D314" i="7"/>
  <c r="O314" i="7" s="1"/>
  <c r="I348" i="7"/>
  <c r="T348" i="7" s="1"/>
  <c r="J294" i="7"/>
  <c r="U294" i="7" s="1"/>
  <c r="E269" i="7"/>
  <c r="P269" i="7" s="1"/>
  <c r="D291" i="7"/>
  <c r="O291" i="7" s="1"/>
  <c r="B263" i="7"/>
  <c r="K244" i="7"/>
  <c r="V244" i="7" s="1"/>
  <c r="B231" i="7"/>
  <c r="J223" i="7"/>
  <c r="U223" i="7" s="1"/>
  <c r="C302" i="7"/>
  <c r="C277" i="7"/>
  <c r="G265" i="7"/>
  <c r="R265" i="7" s="1"/>
  <c r="C288" i="7"/>
  <c r="F272" i="7"/>
  <c r="Q272" i="7" s="1"/>
  <c r="C262" i="7"/>
  <c r="K254" i="7"/>
  <c r="V254" i="7" s="1"/>
  <c r="E248" i="7"/>
  <c r="P248" i="7" s="1"/>
  <c r="J241" i="7"/>
  <c r="U241" i="7" s="1"/>
  <c r="D235" i="7"/>
  <c r="O235" i="7" s="1"/>
  <c r="F229" i="7"/>
  <c r="Q229" i="7" s="1"/>
  <c r="K222" i="7"/>
  <c r="V222" i="7" s="1"/>
  <c r="I300" i="7"/>
  <c r="T300" i="7" s="1"/>
  <c r="I276" i="7"/>
  <c r="T276" i="7" s="1"/>
  <c r="D266" i="7"/>
  <c r="O266" i="7" s="1"/>
  <c r="G285" i="7"/>
  <c r="R285" i="7" s="1"/>
  <c r="C272" i="7"/>
  <c r="I262" i="7"/>
  <c r="T262" i="7" s="1"/>
  <c r="C256" i="7"/>
  <c r="H249" i="7"/>
  <c r="S249" i="7" s="1"/>
  <c r="B243" i="7"/>
  <c r="G236" i="7"/>
  <c r="R236" i="7" s="1"/>
  <c r="I230" i="7"/>
  <c r="T230" i="7" s="1"/>
  <c r="C224" i="7"/>
  <c r="C269" i="7"/>
  <c r="H256" i="7"/>
  <c r="S256" i="7" s="1"/>
  <c r="D247" i="7"/>
  <c r="O247" i="7" s="1"/>
  <c r="J236" i="7"/>
  <c r="U236" i="7" s="1"/>
  <c r="D226" i="7"/>
  <c r="O226" i="7" s="1"/>
  <c r="G216" i="7"/>
  <c r="R216" i="7" s="1"/>
  <c r="I210" i="7"/>
  <c r="T210" i="7" s="1"/>
  <c r="C204" i="7"/>
  <c r="H197" i="7"/>
  <c r="S197" i="7" s="1"/>
  <c r="B191" i="7"/>
  <c r="B261" i="7"/>
  <c r="D299" i="7"/>
  <c r="O299" i="7" s="1"/>
  <c r="I259" i="7"/>
  <c r="T259" i="7" s="1"/>
  <c r="G298" i="7"/>
  <c r="R298" i="7" s="1"/>
  <c r="H259" i="7"/>
  <c r="S259" i="7" s="1"/>
  <c r="K265" i="7"/>
  <c r="V265" i="7" s="1"/>
  <c r="I255" i="7"/>
  <c r="T255" i="7" s="1"/>
  <c r="C245" i="7"/>
  <c r="K235" i="7"/>
  <c r="V235" i="7" s="1"/>
  <c r="F225" i="7"/>
  <c r="Q225" i="7" s="1"/>
  <c r="F217" i="7"/>
  <c r="Q217" i="7" s="1"/>
  <c r="K210" i="7"/>
  <c r="V210" i="7" s="1"/>
  <c r="E204" i="7"/>
  <c r="P204" i="7" s="1"/>
  <c r="J197" i="7"/>
  <c r="U197" i="7" s="1"/>
  <c r="J253" i="7"/>
  <c r="U253" i="7" s="1"/>
  <c r="G239" i="7"/>
  <c r="R239" i="7" s="1"/>
  <c r="G225" i="7"/>
  <c r="R225" i="7" s="1"/>
  <c r="H214" i="7"/>
  <c r="S214" i="7" s="1"/>
  <c r="J206" i="7"/>
  <c r="U206" i="7" s="1"/>
  <c r="B196" i="7"/>
  <c r="E189" i="7"/>
  <c r="P189" i="7" s="1"/>
  <c r="J182" i="7"/>
  <c r="U182" i="7" s="1"/>
  <c r="D176" i="7"/>
  <c r="O176" i="7" s="1"/>
  <c r="I283" i="7"/>
  <c r="T283" i="7" s="1"/>
  <c r="H248" i="7"/>
  <c r="S248" i="7" s="1"/>
  <c r="H234" i="7"/>
  <c r="S234" i="7" s="1"/>
  <c r="H220" i="7"/>
  <c r="S220" i="7" s="1"/>
  <c r="G253" i="7"/>
  <c r="R253" i="7" s="1"/>
  <c r="I240" i="7"/>
  <c r="T240" i="7" s="1"/>
  <c r="J226" i="7"/>
  <c r="U226" i="7" s="1"/>
  <c r="E215" i="7"/>
  <c r="P215" i="7" s="1"/>
  <c r="G207" i="7"/>
  <c r="R207" i="7" s="1"/>
  <c r="I199" i="7"/>
  <c r="T199" i="7" s="1"/>
  <c r="G191" i="7"/>
  <c r="R191" i="7" s="1"/>
  <c r="J184" i="7"/>
  <c r="U184" i="7" s="1"/>
  <c r="D178" i="7"/>
  <c r="O178" i="7" s="1"/>
  <c r="F172" i="7"/>
  <c r="Q172" i="7" s="1"/>
  <c r="C253" i="7"/>
  <c r="F240" i="7"/>
  <c r="Q240" i="7" s="1"/>
  <c r="B228" i="7"/>
  <c r="B217" i="7"/>
  <c r="E209" i="7"/>
  <c r="P209" i="7" s="1"/>
  <c r="H201" i="7"/>
  <c r="S201" i="7" s="1"/>
  <c r="K193" i="7"/>
  <c r="V193" i="7" s="1"/>
  <c r="H187" i="7"/>
  <c r="S187" i="7" s="1"/>
  <c r="B181" i="7"/>
  <c r="J312" i="7"/>
  <c r="U312" i="7" s="1"/>
  <c r="E249" i="7"/>
  <c r="P249" i="7" s="1"/>
  <c r="K233" i="7"/>
  <c r="V233" i="7" s="1"/>
  <c r="K219" i="7"/>
  <c r="V219" i="7" s="1"/>
  <c r="B209" i="7"/>
  <c r="E201" i="7"/>
  <c r="P201" i="7" s="1"/>
  <c r="I193" i="7"/>
  <c r="T193" i="7" s="1"/>
  <c r="F187" i="7"/>
  <c r="Q187" i="7" s="1"/>
  <c r="K180" i="7"/>
  <c r="V180" i="7" s="1"/>
  <c r="B272" i="7"/>
  <c r="H218" i="7"/>
  <c r="S218" i="7" s="1"/>
  <c r="F202" i="7"/>
  <c r="Q202" i="7" s="1"/>
  <c r="J186" i="7"/>
  <c r="U186" i="7" s="1"/>
  <c r="C174" i="7"/>
  <c r="E167" i="7"/>
  <c r="P167" i="7" s="1"/>
  <c r="J160" i="7"/>
  <c r="U160" i="7" s="1"/>
  <c r="D154" i="7"/>
  <c r="O154" i="7" s="1"/>
  <c r="F148" i="7"/>
  <c r="Q148" i="7" s="1"/>
  <c r="K141" i="7"/>
  <c r="V141" i="7" s="1"/>
  <c r="H250" i="7"/>
  <c r="S250" i="7" s="1"/>
  <c r="G218" i="7"/>
  <c r="R218" i="7" s="1"/>
  <c r="D202" i="7"/>
  <c r="O202" i="7" s="1"/>
  <c r="B188" i="7"/>
  <c r="F250" i="7"/>
  <c r="Q250" i="7" s="1"/>
  <c r="K217" i="7"/>
  <c r="V217" i="7" s="1"/>
  <c r="C198" i="7"/>
  <c r="C182" i="7"/>
  <c r="K170" i="7"/>
  <c r="V170" i="7" s="1"/>
  <c r="D164" i="7"/>
  <c r="O164" i="7" s="1"/>
  <c r="F158" i="7"/>
  <c r="Q158" i="7" s="1"/>
  <c r="K151" i="7"/>
  <c r="V151" i="7" s="1"/>
  <c r="E145" i="7"/>
  <c r="P145" i="7" s="1"/>
  <c r="J138" i="7"/>
  <c r="U138" i="7" s="1"/>
  <c r="C237" i="7"/>
  <c r="G211" i="7"/>
  <c r="R211" i="7" s="1"/>
  <c r="F192" i="7"/>
  <c r="Q192" i="7" s="1"/>
  <c r="B179" i="7"/>
  <c r="H232" i="7"/>
  <c r="S232" i="7" s="1"/>
  <c r="E207" i="7"/>
  <c r="P207" i="7" s="1"/>
  <c r="C192" i="7"/>
  <c r="H217" i="7"/>
  <c r="S217" i="7" s="1"/>
  <c r="I181" i="7"/>
  <c r="T181" i="7" s="1"/>
  <c r="D166" i="7"/>
  <c r="O166" i="7" s="1"/>
  <c r="G157" i="7"/>
  <c r="R157" i="7" s="1"/>
  <c r="B252" i="7"/>
  <c r="G212" i="7"/>
  <c r="R212" i="7" s="1"/>
  <c r="H191" i="7"/>
  <c r="S191" i="7" s="1"/>
  <c r="D173" i="7"/>
  <c r="O173" i="7" s="1"/>
  <c r="G164" i="7"/>
  <c r="R164" i="7" s="1"/>
  <c r="G156" i="7"/>
  <c r="R156" i="7" s="1"/>
  <c r="I150" i="7"/>
  <c r="T150" i="7" s="1"/>
  <c r="C144" i="7"/>
  <c r="E252" i="7"/>
  <c r="P252" i="7" s="1"/>
  <c r="H177" i="7"/>
  <c r="S177" i="7" s="1"/>
  <c r="F163" i="7"/>
  <c r="Q163" i="7" s="1"/>
  <c r="E150" i="7"/>
  <c r="P150" i="7" s="1"/>
  <c r="J140" i="7"/>
  <c r="U140" i="7" s="1"/>
  <c r="B133" i="7"/>
  <c r="G126" i="7"/>
  <c r="R126" i="7" s="1"/>
  <c r="I120" i="7"/>
  <c r="T120" i="7" s="1"/>
  <c r="C114" i="7"/>
  <c r="H107" i="7"/>
  <c r="S107" i="7" s="1"/>
  <c r="B101" i="7"/>
  <c r="G94" i="7"/>
  <c r="R94" i="7" s="1"/>
  <c r="I88" i="7"/>
  <c r="T88" i="7" s="1"/>
  <c r="C82" i="7"/>
  <c r="H75" i="7"/>
  <c r="S75" i="7" s="1"/>
  <c r="B69" i="7"/>
  <c r="G62" i="7"/>
  <c r="R62" i="7" s="1"/>
  <c r="I56" i="7"/>
  <c r="T56" i="7" s="1"/>
  <c r="C50" i="7"/>
  <c r="H43" i="7"/>
  <c r="S43" i="7" s="1"/>
  <c r="G172" i="7"/>
  <c r="R172" i="7" s="1"/>
  <c r="E160" i="7"/>
  <c r="P160" i="7" s="1"/>
  <c r="H147" i="7"/>
  <c r="S147" i="7" s="1"/>
  <c r="E137" i="7"/>
  <c r="P137" i="7" s="1"/>
  <c r="J130" i="7"/>
  <c r="U130" i="7" s="1"/>
  <c r="D124" i="7"/>
  <c r="O124" i="7" s="1"/>
  <c r="F118" i="7"/>
  <c r="Q118" i="7" s="1"/>
  <c r="K111" i="7"/>
  <c r="V111" i="7" s="1"/>
  <c r="E105" i="7"/>
  <c r="P105" i="7" s="1"/>
  <c r="J98" i="7"/>
  <c r="U98" i="7" s="1"/>
  <c r="D92" i="7"/>
  <c r="O92" i="7" s="1"/>
  <c r="F86" i="7"/>
  <c r="Q86" i="7" s="1"/>
  <c r="K79" i="7"/>
  <c r="V79" i="7" s="1"/>
  <c r="E73" i="7"/>
  <c r="P73" i="7" s="1"/>
  <c r="J66" i="7"/>
  <c r="U66" i="7" s="1"/>
  <c r="D60" i="7"/>
  <c r="O60" i="7" s="1"/>
  <c r="F54" i="7"/>
  <c r="Q54" i="7" s="1"/>
  <c r="K47" i="7"/>
  <c r="V47" i="7" s="1"/>
  <c r="E41" i="7"/>
  <c r="P41" i="7" s="1"/>
  <c r="B177" i="7"/>
  <c r="I161" i="7"/>
  <c r="T161" i="7" s="1"/>
  <c r="I148" i="7"/>
  <c r="T148" i="7" s="1"/>
  <c r="C138" i="7"/>
  <c r="C132" i="7"/>
  <c r="H125" i="7"/>
  <c r="S125" i="7" s="1"/>
  <c r="B119" i="7"/>
  <c r="G112" i="7"/>
  <c r="R112" i="7" s="1"/>
  <c r="I106" i="7"/>
  <c r="T106" i="7" s="1"/>
  <c r="C100" i="7"/>
  <c r="H93" i="7"/>
  <c r="S93" i="7" s="1"/>
  <c r="B87" i="7"/>
  <c r="G80" i="7"/>
  <c r="R80" i="7" s="1"/>
  <c r="I74" i="7"/>
  <c r="T74" i="7" s="1"/>
  <c r="C68" i="7"/>
  <c r="H61" i="7"/>
  <c r="S61" i="7" s="1"/>
  <c r="B55" i="7"/>
  <c r="G48" i="7"/>
  <c r="R48" i="7" s="1"/>
  <c r="I42" i="7"/>
  <c r="T42" i="7" s="1"/>
  <c r="F176" i="7"/>
  <c r="Q176" i="7" s="1"/>
  <c r="F161" i="7"/>
  <c r="Q161" i="7" s="1"/>
  <c r="H148" i="7"/>
  <c r="S148" i="7" s="1"/>
  <c r="D139" i="7"/>
  <c r="O139" i="7" s="1"/>
  <c r="E131" i="7"/>
  <c r="P131" i="7" s="1"/>
  <c r="J124" i="7"/>
  <c r="U124" i="7" s="1"/>
  <c r="D118" i="7"/>
  <c r="O118" i="7" s="1"/>
  <c r="F112" i="7"/>
  <c r="Q112" i="7" s="1"/>
  <c r="K105" i="7"/>
  <c r="V105" i="7" s="1"/>
  <c r="E99" i="7"/>
  <c r="P99" i="7" s="1"/>
  <c r="J92" i="7"/>
  <c r="U92" i="7" s="1"/>
  <c r="D86" i="7"/>
  <c r="O86" i="7" s="1"/>
  <c r="F80" i="7"/>
  <c r="Q80" i="7" s="1"/>
  <c r="K73" i="7"/>
  <c r="V73" i="7" s="1"/>
  <c r="E67" i="7"/>
  <c r="P67" i="7" s="1"/>
  <c r="J60" i="7"/>
  <c r="U60" i="7" s="1"/>
  <c r="D54" i="7"/>
  <c r="O54" i="7" s="1"/>
  <c r="F48" i="7"/>
  <c r="Q48" i="7" s="1"/>
  <c r="K191" i="7"/>
  <c r="V191" i="7" s="1"/>
  <c r="C164" i="7"/>
  <c r="B151" i="7"/>
  <c r="C139" i="7"/>
  <c r="I132" i="7"/>
  <c r="T132" i="7" s="1"/>
  <c r="C126" i="7"/>
  <c r="H119" i="7"/>
  <c r="S119" i="7" s="1"/>
  <c r="B113" i="7"/>
  <c r="G106" i="7"/>
  <c r="R106" i="7" s="1"/>
  <c r="I100" i="7"/>
  <c r="T100" i="7" s="1"/>
  <c r="C94" i="7"/>
  <c r="H87" i="7"/>
  <c r="S87" i="7" s="1"/>
  <c r="B81" i="7"/>
  <c r="G74" i="7"/>
  <c r="R74" i="7" s="1"/>
  <c r="I68" i="7"/>
  <c r="T68" i="7" s="1"/>
  <c r="C62" i="7"/>
  <c r="H55" i="7"/>
  <c r="S55" i="7" s="1"/>
  <c r="B49" i="7"/>
  <c r="G42" i="7"/>
  <c r="R42" i="7" s="1"/>
  <c r="J188" i="7"/>
  <c r="U188" i="7" s="1"/>
  <c r="I160" i="7"/>
  <c r="T160" i="7" s="1"/>
  <c r="I146" i="7"/>
  <c r="T146" i="7" s="1"/>
  <c r="H137" i="7"/>
  <c r="S137" i="7" s="1"/>
  <c r="I131" i="7"/>
  <c r="T131" i="7" s="1"/>
  <c r="C125" i="7"/>
  <c r="H118" i="7"/>
  <c r="S118" i="7" s="1"/>
  <c r="B112" i="7"/>
  <c r="G105" i="7"/>
  <c r="R105" i="7" s="1"/>
  <c r="I99" i="7"/>
  <c r="T99" i="7" s="1"/>
  <c r="C93" i="7"/>
  <c r="H86" i="7"/>
  <c r="S86" i="7" s="1"/>
  <c r="B80" i="7"/>
  <c r="G73" i="7"/>
  <c r="R73" i="7" s="1"/>
  <c r="I67" i="7"/>
  <c r="T67" i="7" s="1"/>
  <c r="C61" i="7"/>
  <c r="H54" i="7"/>
  <c r="S54" i="7" s="1"/>
  <c r="B48" i="7"/>
  <c r="C136" i="7"/>
  <c r="K112" i="7"/>
  <c r="V112" i="7" s="1"/>
  <c r="I86" i="7"/>
  <c r="T86" i="7" s="1"/>
  <c r="G60" i="7"/>
  <c r="R60" i="7" s="1"/>
  <c r="E42" i="7"/>
  <c r="P42" i="7" s="1"/>
  <c r="C36" i="7"/>
  <c r="H29" i="7"/>
  <c r="S29" i="7" s="1"/>
  <c r="B23" i="7"/>
  <c r="C211" i="7"/>
  <c r="D180" i="7"/>
  <c r="O180" i="7" s="1"/>
  <c r="G165" i="7"/>
  <c r="R165" i="7" s="1"/>
  <c r="J156" i="7"/>
  <c r="U156" i="7" s="1"/>
  <c r="I247" i="7"/>
  <c r="T247" i="7" s="1"/>
  <c r="G210" i="7"/>
  <c r="R210" i="7" s="1"/>
  <c r="B187" i="7"/>
  <c r="D172" i="7"/>
  <c r="O172" i="7" s="1"/>
  <c r="J163" i="7"/>
  <c r="U163" i="7" s="1"/>
  <c r="J155" i="7"/>
  <c r="U155" i="7" s="1"/>
  <c r="D149" i="7"/>
  <c r="O149" i="7" s="1"/>
  <c r="F143" i="7"/>
  <c r="Q143" i="7" s="1"/>
  <c r="G235" i="7"/>
  <c r="R235" i="7" s="1"/>
  <c r="I174" i="7"/>
  <c r="T174" i="7" s="1"/>
  <c r="G160" i="7"/>
  <c r="R160" i="7" s="1"/>
  <c r="K148" i="7"/>
  <c r="V148" i="7" s="1"/>
  <c r="H139" i="7"/>
  <c r="S139" i="7" s="1"/>
  <c r="E132" i="7"/>
  <c r="P132" i="7" s="1"/>
  <c r="J125" i="7"/>
  <c r="U125" i="7" s="1"/>
  <c r="D119" i="7"/>
  <c r="O119" i="7" s="1"/>
  <c r="F113" i="7"/>
  <c r="Q113" i="7" s="1"/>
  <c r="K106" i="7"/>
  <c r="V106" i="7" s="1"/>
  <c r="E100" i="7"/>
  <c r="P100" i="7" s="1"/>
  <c r="J93" i="7"/>
  <c r="U93" i="7" s="1"/>
  <c r="D87" i="7"/>
  <c r="O87" i="7" s="1"/>
  <c r="F81" i="7"/>
  <c r="Q81" i="7" s="1"/>
  <c r="K74" i="7"/>
  <c r="V74" i="7" s="1"/>
  <c r="E68" i="7"/>
  <c r="P68" i="7" s="1"/>
  <c r="J61" i="7"/>
  <c r="U61" i="7" s="1"/>
  <c r="D55" i="7"/>
  <c r="O55" i="7" s="1"/>
  <c r="F49" i="7"/>
  <c r="Q49" i="7" s="1"/>
  <c r="K42" i="7"/>
  <c r="V42" i="7" s="1"/>
  <c r="H170" i="7"/>
  <c r="S170" i="7" s="1"/>
  <c r="K158" i="7"/>
  <c r="V158" i="7" s="1"/>
  <c r="G146" i="7"/>
  <c r="R146" i="7" s="1"/>
  <c r="H136" i="7"/>
  <c r="S136" i="7" s="1"/>
  <c r="B130" i="7"/>
  <c r="G123" i="7"/>
  <c r="R123" i="7" s="1"/>
  <c r="I117" i="7"/>
  <c r="T117" i="7" s="1"/>
  <c r="C111" i="7"/>
  <c r="H104" i="7"/>
  <c r="S104" i="7" s="1"/>
  <c r="B98" i="7"/>
  <c r="G91" i="7"/>
  <c r="R91" i="7" s="1"/>
  <c r="I85" i="7"/>
  <c r="T85" i="7" s="1"/>
  <c r="C79" i="7"/>
  <c r="H72" i="7"/>
  <c r="S72" i="7" s="1"/>
  <c r="B66" i="7"/>
  <c r="G59" i="7"/>
  <c r="R59" i="7" s="1"/>
  <c r="I53" i="7"/>
  <c r="T53" i="7" s="1"/>
  <c r="C47" i="7"/>
  <c r="K231" i="7"/>
  <c r="V231" i="7" s="1"/>
  <c r="E174" i="7"/>
  <c r="P174" i="7" s="1"/>
  <c r="D160" i="7"/>
  <c r="O160" i="7" s="1"/>
  <c r="F147" i="7"/>
  <c r="Q147" i="7" s="1"/>
  <c r="D137" i="7"/>
  <c r="O137" i="7" s="1"/>
  <c r="F131" i="7"/>
  <c r="Q131" i="7" s="1"/>
  <c r="K124" i="7"/>
  <c r="V124" i="7" s="1"/>
  <c r="E118" i="7"/>
  <c r="P118" i="7" s="1"/>
  <c r="J111" i="7"/>
  <c r="U111" i="7" s="1"/>
  <c r="D105" i="7"/>
  <c r="O105" i="7" s="1"/>
  <c r="F99" i="7"/>
  <c r="Q99" i="7" s="1"/>
  <c r="K92" i="7"/>
  <c r="V92" i="7" s="1"/>
  <c r="E86" i="7"/>
  <c r="P86" i="7" s="1"/>
  <c r="J79" i="7"/>
  <c r="U79" i="7" s="1"/>
  <c r="D73" i="7"/>
  <c r="O73" i="7" s="1"/>
  <c r="F67" i="7"/>
  <c r="Q67" i="7" s="1"/>
  <c r="K60" i="7"/>
  <c r="V60" i="7" s="1"/>
  <c r="E54" i="7"/>
  <c r="P54" i="7" s="1"/>
  <c r="J47" i="7"/>
  <c r="U47" i="7" s="1"/>
  <c r="I292" i="7"/>
  <c r="T292" i="7" s="1"/>
  <c r="B172" i="7"/>
  <c r="G158" i="7"/>
  <c r="R158" i="7" s="1"/>
  <c r="E147" i="7"/>
  <c r="P147" i="7" s="1"/>
  <c r="C137" i="7"/>
  <c r="H130" i="7"/>
  <c r="S130" i="7" s="1"/>
  <c r="B124" i="7"/>
  <c r="G117" i="7"/>
  <c r="R117" i="7" s="1"/>
  <c r="I111" i="7"/>
  <c r="T111" i="7" s="1"/>
  <c r="C105" i="7"/>
  <c r="H98" i="7"/>
  <c r="S98" i="7" s="1"/>
  <c r="B92" i="7"/>
  <c r="G85" i="7"/>
  <c r="R85" i="7" s="1"/>
  <c r="I79" i="7"/>
  <c r="T79" i="7" s="1"/>
  <c r="C73" i="7"/>
  <c r="H66" i="7"/>
  <c r="S66" i="7" s="1"/>
  <c r="B60" i="7"/>
  <c r="G53" i="7"/>
  <c r="R53" i="7" s="1"/>
  <c r="I47" i="7"/>
  <c r="T47" i="7" s="1"/>
  <c r="J185" i="7"/>
  <c r="U185" i="7" s="1"/>
  <c r="I162" i="7"/>
  <c r="T162" i="7" s="1"/>
  <c r="H149" i="7"/>
  <c r="S149" i="7" s="1"/>
  <c r="K137" i="7"/>
  <c r="V137" i="7" s="1"/>
  <c r="D131" i="7"/>
  <c r="O131" i="7" s="1"/>
  <c r="F125" i="7"/>
  <c r="Q125" i="7" s="1"/>
  <c r="K118" i="7"/>
  <c r="V118" i="7" s="1"/>
  <c r="E112" i="7"/>
  <c r="P112" i="7" s="1"/>
  <c r="J105" i="7"/>
  <c r="U105" i="7" s="1"/>
  <c r="D99" i="7"/>
  <c r="O99" i="7" s="1"/>
  <c r="F93" i="7"/>
  <c r="Q93" i="7" s="1"/>
  <c r="K86" i="7"/>
  <c r="V86" i="7" s="1"/>
  <c r="E80" i="7"/>
  <c r="P80" i="7" s="1"/>
  <c r="J73" i="7"/>
  <c r="U73" i="7" s="1"/>
  <c r="D67" i="7"/>
  <c r="O67" i="7" s="1"/>
  <c r="F61" i="7"/>
  <c r="Q61" i="7" s="1"/>
  <c r="K54" i="7"/>
  <c r="V54" i="7" s="1"/>
  <c r="E48" i="7"/>
  <c r="P48" i="7" s="1"/>
  <c r="J41" i="7"/>
  <c r="U41" i="7" s="1"/>
  <c r="K177" i="7"/>
  <c r="V177" i="7" s="1"/>
  <c r="D159" i="7"/>
  <c r="O159" i="7" s="1"/>
  <c r="I145" i="7"/>
  <c r="T145" i="7" s="1"/>
  <c r="J136" i="7"/>
  <c r="U136" i="7" s="1"/>
  <c r="D130" i="7"/>
  <c r="O130" i="7" s="1"/>
  <c r="F124" i="7"/>
  <c r="Q124" i="7" s="1"/>
  <c r="K117" i="7"/>
  <c r="V117" i="7" s="1"/>
  <c r="E111" i="7"/>
  <c r="P111" i="7" s="1"/>
  <c r="J104" i="7"/>
  <c r="U104" i="7" s="1"/>
  <c r="D98" i="7"/>
  <c r="O98" i="7" s="1"/>
  <c r="F92" i="7"/>
  <c r="Q92" i="7" s="1"/>
  <c r="K85" i="7"/>
  <c r="V85" i="7" s="1"/>
  <c r="E79" i="7"/>
  <c r="P79" i="7" s="1"/>
  <c r="J72" i="7"/>
  <c r="U72" i="7" s="1"/>
  <c r="D66" i="7"/>
  <c r="O66" i="7" s="1"/>
  <c r="F60" i="7"/>
  <c r="Q60" i="7" s="1"/>
  <c r="K53" i="7"/>
  <c r="V53" i="7" s="1"/>
  <c r="D223" i="7"/>
  <c r="O223" i="7" s="1"/>
  <c r="D133" i="7"/>
  <c r="O133" i="7" s="1"/>
  <c r="B107" i="7"/>
  <c r="J83" i="7"/>
  <c r="U83" i="7" s="1"/>
  <c r="H57" i="7"/>
  <c r="S57" i="7" s="1"/>
  <c r="F41" i="7"/>
  <c r="Q41" i="7" s="1"/>
  <c r="F35" i="7"/>
  <c r="Q35" i="7" s="1"/>
  <c r="K28" i="7"/>
  <c r="V28" i="7" s="1"/>
  <c r="E22" i="7"/>
  <c r="P22" i="7" s="1"/>
  <c r="F165" i="7"/>
  <c r="Q165" i="7" s="1"/>
  <c r="I129" i="7"/>
  <c r="T129" i="7" s="1"/>
  <c r="G103" i="7"/>
  <c r="R103" i="7" s="1"/>
  <c r="E77" i="7"/>
  <c r="P77" i="7" s="1"/>
  <c r="C51" i="7"/>
  <c r="I39" i="7"/>
  <c r="T39" i="7" s="1"/>
  <c r="C33" i="7"/>
  <c r="H26" i="7"/>
  <c r="S26" i="7" s="1"/>
  <c r="B20" i="7"/>
  <c r="G13" i="7"/>
  <c r="R13" i="7" s="1"/>
  <c r="I7" i="7"/>
  <c r="T7" i="7" s="1"/>
  <c r="E184" i="7"/>
  <c r="P184" i="7" s="1"/>
  <c r="F135" i="7"/>
  <c r="Q135" i="7" s="1"/>
  <c r="D109" i="7"/>
  <c r="O109" i="7" s="1"/>
  <c r="B83" i="7"/>
  <c r="J59" i="7"/>
  <c r="U59" i="7" s="1"/>
  <c r="C41" i="7"/>
  <c r="G34" i="7"/>
  <c r="R34" i="7" s="1"/>
  <c r="I28" i="7"/>
  <c r="T28" i="7" s="1"/>
  <c r="C22" i="7"/>
  <c r="C158" i="7"/>
  <c r="C123" i="7"/>
  <c r="K99" i="7"/>
  <c r="V99" i="7" s="1"/>
  <c r="I73" i="7"/>
  <c r="T73" i="7" s="1"/>
  <c r="G47" i="7"/>
  <c r="R47" i="7" s="1"/>
  <c r="E37" i="7"/>
  <c r="P37" i="7" s="1"/>
  <c r="J30" i="7"/>
  <c r="U30" i="7" s="1"/>
  <c r="D24" i="7"/>
  <c r="O24" i="7" s="1"/>
  <c r="F18" i="7"/>
  <c r="Q18" i="7" s="1"/>
  <c r="K11" i="7"/>
  <c r="V11" i="7" s="1"/>
  <c r="E5" i="7"/>
  <c r="E168" i="7"/>
  <c r="P168" i="7" s="1"/>
  <c r="D128" i="7"/>
  <c r="O128" i="7" s="1"/>
  <c r="B102" i="7"/>
  <c r="J78" i="7"/>
  <c r="U78" i="7" s="1"/>
  <c r="H52" i="7"/>
  <c r="S52" i="7" s="1"/>
  <c r="E39" i="7"/>
  <c r="P39" i="7" s="1"/>
  <c r="C209" i="7"/>
  <c r="J178" i="7"/>
  <c r="U178" i="7" s="1"/>
  <c r="J164" i="7"/>
  <c r="U164" i="7" s="1"/>
  <c r="K153" i="7"/>
  <c r="V153" i="7" s="1"/>
  <c r="E243" i="7"/>
  <c r="P243" i="7" s="1"/>
  <c r="H208" i="7"/>
  <c r="S208" i="7" s="1"/>
  <c r="C184" i="7"/>
  <c r="E171" i="7"/>
  <c r="P171" i="7" s="1"/>
  <c r="B163" i="7"/>
  <c r="B155" i="7"/>
  <c r="G148" i="7"/>
  <c r="R148" i="7" s="1"/>
  <c r="I142" i="7"/>
  <c r="T142" i="7" s="1"/>
  <c r="H219" i="7"/>
  <c r="S219" i="7" s="1"/>
  <c r="J172" i="7"/>
  <c r="U172" i="7" s="1"/>
  <c r="B159" i="7"/>
  <c r="K147" i="7"/>
  <c r="V147" i="7" s="1"/>
  <c r="G138" i="7"/>
  <c r="R138" i="7" s="1"/>
  <c r="H131" i="7"/>
  <c r="S131" i="7" s="1"/>
  <c r="B125" i="7"/>
  <c r="G118" i="7"/>
  <c r="R118" i="7" s="1"/>
  <c r="I112" i="7"/>
  <c r="T112" i="7" s="1"/>
  <c r="C106" i="7"/>
  <c r="H99" i="7"/>
  <c r="S99" i="7" s="1"/>
  <c r="B93" i="7"/>
  <c r="G86" i="7"/>
  <c r="R86" i="7" s="1"/>
  <c r="I80" i="7"/>
  <c r="T80" i="7" s="1"/>
  <c r="C74" i="7"/>
  <c r="H67" i="7"/>
  <c r="S67" i="7" s="1"/>
  <c r="B61" i="7"/>
  <c r="G54" i="7"/>
  <c r="R54" i="7" s="1"/>
  <c r="I48" i="7"/>
  <c r="T48" i="7" s="1"/>
  <c r="C201" i="7"/>
  <c r="B169" i="7"/>
  <c r="F157" i="7"/>
  <c r="Q157" i="7" s="1"/>
  <c r="D145" i="7"/>
  <c r="O145" i="7" s="1"/>
  <c r="K135" i="7"/>
  <c r="V135" i="7" s="1"/>
  <c r="E129" i="7"/>
  <c r="P129" i="7" s="1"/>
  <c r="J122" i="7"/>
  <c r="U122" i="7" s="1"/>
  <c r="D116" i="7"/>
  <c r="O116" i="7" s="1"/>
  <c r="F110" i="7"/>
  <c r="Q110" i="7" s="1"/>
  <c r="K103" i="7"/>
  <c r="V103" i="7" s="1"/>
  <c r="E97" i="7"/>
  <c r="P97" i="7" s="1"/>
  <c r="J90" i="7"/>
  <c r="U90" i="7" s="1"/>
  <c r="D84" i="7"/>
  <c r="O84" i="7" s="1"/>
  <c r="F78" i="7"/>
  <c r="Q78" i="7" s="1"/>
  <c r="K71" i="7"/>
  <c r="V71" i="7" s="1"/>
  <c r="E65" i="7"/>
  <c r="P65" i="7" s="1"/>
  <c r="J58" i="7"/>
  <c r="U58" i="7" s="1"/>
  <c r="D52" i="7"/>
  <c r="O52" i="7" s="1"/>
  <c r="F46" i="7"/>
  <c r="Q46" i="7" s="1"/>
  <c r="J216" i="7"/>
  <c r="U216" i="7" s="1"/>
  <c r="E172" i="7"/>
  <c r="P172" i="7" s="1"/>
  <c r="J158" i="7"/>
  <c r="U158" i="7" s="1"/>
  <c r="F146" i="7"/>
  <c r="Q146" i="7" s="1"/>
  <c r="G136" i="7"/>
  <c r="R136" i="7" s="1"/>
  <c r="I130" i="7"/>
  <c r="T130" i="7" s="1"/>
  <c r="C124" i="7"/>
  <c r="H117" i="7"/>
  <c r="S117" i="7" s="1"/>
  <c r="B111" i="7"/>
  <c r="G104" i="7"/>
  <c r="R104" i="7" s="1"/>
  <c r="I98" i="7"/>
  <c r="T98" i="7" s="1"/>
  <c r="C92" i="7"/>
  <c r="H85" i="7"/>
  <c r="S85" i="7" s="1"/>
  <c r="B79" i="7"/>
  <c r="G72" i="7"/>
  <c r="R72" i="7" s="1"/>
  <c r="I66" i="7"/>
  <c r="T66" i="7" s="1"/>
  <c r="C60" i="7"/>
  <c r="H53" i="7"/>
  <c r="S53" i="7" s="1"/>
  <c r="B47" i="7"/>
  <c r="F244" i="7"/>
  <c r="Q244" i="7" s="1"/>
  <c r="C170" i="7"/>
  <c r="B157" i="7"/>
  <c r="C146" i="7"/>
  <c r="F136" i="7"/>
  <c r="Q136" i="7" s="1"/>
  <c r="K129" i="7"/>
  <c r="V129" i="7" s="1"/>
  <c r="E123" i="7"/>
  <c r="P123" i="7" s="1"/>
  <c r="J116" i="7"/>
  <c r="U116" i="7" s="1"/>
  <c r="D110" i="7"/>
  <c r="O110" i="7" s="1"/>
  <c r="F104" i="7"/>
  <c r="Q104" i="7" s="1"/>
  <c r="K97" i="7"/>
  <c r="V97" i="7" s="1"/>
  <c r="E91" i="7"/>
  <c r="P91" i="7" s="1"/>
  <c r="J84" i="7"/>
  <c r="U84" i="7" s="1"/>
  <c r="D78" i="7"/>
  <c r="O78" i="7" s="1"/>
  <c r="F72" i="7"/>
  <c r="Q72" i="7" s="1"/>
  <c r="K65" i="7"/>
  <c r="V65" i="7" s="1"/>
  <c r="E59" i="7"/>
  <c r="P59" i="7" s="1"/>
  <c r="J52" i="7"/>
  <c r="U52" i="7" s="1"/>
  <c r="K277" i="7"/>
  <c r="V277" i="7" s="1"/>
  <c r="C176" i="7"/>
  <c r="D161" i="7"/>
  <c r="O161" i="7" s="1"/>
  <c r="E148" i="7"/>
  <c r="P148" i="7" s="1"/>
  <c r="B137" i="7"/>
  <c r="G130" i="7"/>
  <c r="R130" i="7" s="1"/>
  <c r="I124" i="7"/>
  <c r="T124" i="7" s="1"/>
  <c r="C118" i="7"/>
  <c r="H111" i="7"/>
  <c r="S111" i="7" s="1"/>
  <c r="B105" i="7"/>
  <c r="G98" i="7"/>
  <c r="R98" i="7" s="1"/>
  <c r="I92" i="7"/>
  <c r="T92" i="7" s="1"/>
  <c r="C86" i="7"/>
  <c r="H79" i="7"/>
  <c r="S79" i="7" s="1"/>
  <c r="B73" i="7"/>
  <c r="G66" i="7"/>
  <c r="R66" i="7" s="1"/>
  <c r="I60" i="7"/>
  <c r="T60" i="7" s="1"/>
  <c r="C54" i="7"/>
  <c r="H47" i="7"/>
  <c r="S47" i="7" s="1"/>
  <c r="B41" i="7"/>
  <c r="B171" i="7"/>
  <c r="J157" i="7"/>
  <c r="U157" i="7" s="1"/>
  <c r="F144" i="7"/>
  <c r="Q144" i="7" s="1"/>
  <c r="B136" i="7"/>
  <c r="G129" i="7"/>
  <c r="R129" i="7" s="1"/>
  <c r="I123" i="7"/>
  <c r="T123" i="7" s="1"/>
  <c r="C117" i="7"/>
  <c r="H110" i="7"/>
  <c r="S110" i="7" s="1"/>
  <c r="B104" i="7"/>
  <c r="G97" i="7"/>
  <c r="R97" i="7" s="1"/>
  <c r="I91" i="7"/>
  <c r="T91" i="7" s="1"/>
  <c r="C85" i="7"/>
  <c r="H78" i="7"/>
  <c r="S78" i="7" s="1"/>
  <c r="B72" i="7"/>
  <c r="G65" i="7"/>
  <c r="R65" i="7" s="1"/>
  <c r="I59" i="7"/>
  <c r="T59" i="7" s="1"/>
  <c r="C53" i="7"/>
  <c r="C190" i="7"/>
  <c r="E130" i="7"/>
  <c r="P130" i="7" s="1"/>
  <c r="C104" i="7"/>
  <c r="K80" i="7"/>
  <c r="V80" i="7" s="1"/>
  <c r="I54" i="7"/>
  <c r="T54" i="7" s="1"/>
  <c r="G40" i="7"/>
  <c r="R40" i="7" s="1"/>
  <c r="I34" i="7"/>
  <c r="T34" i="7" s="1"/>
  <c r="C28" i="7"/>
  <c r="H21" i="7"/>
  <c r="S21" i="7" s="1"/>
  <c r="H159" i="7"/>
  <c r="S159" i="7" s="1"/>
  <c r="J126" i="7"/>
  <c r="U126" i="7" s="1"/>
  <c r="H100" i="7"/>
  <c r="S100" i="7" s="1"/>
  <c r="F74" i="7"/>
  <c r="Q74" i="7" s="1"/>
  <c r="D48" i="7"/>
  <c r="O48" i="7" s="1"/>
  <c r="D38" i="7"/>
  <c r="O38" i="7" s="1"/>
  <c r="F32" i="7"/>
  <c r="Q32" i="7" s="1"/>
  <c r="K25" i="7"/>
  <c r="V25" i="7" s="1"/>
  <c r="E19" i="7"/>
  <c r="P19" i="7" s="1"/>
  <c r="J12" i="7"/>
  <c r="U12" i="7" s="1"/>
  <c r="D6" i="7"/>
  <c r="O6" i="7" s="1"/>
  <c r="F171" i="7"/>
  <c r="Q171" i="7" s="1"/>
  <c r="G132" i="7"/>
  <c r="R132" i="7" s="1"/>
  <c r="E106" i="7"/>
  <c r="P106" i="7" s="1"/>
  <c r="C80" i="7"/>
  <c r="K56" i="7"/>
  <c r="V56" i="7" s="1"/>
  <c r="E40" i="7"/>
  <c r="P40" i="7" s="1"/>
  <c r="J33" i="7"/>
  <c r="U33" i="7" s="1"/>
  <c r="D27" i="7"/>
  <c r="O27" i="7" s="1"/>
  <c r="F21" i="7"/>
  <c r="Q21" i="7" s="1"/>
  <c r="E152" i="7"/>
  <c r="P152" i="7" s="1"/>
  <c r="D120" i="7"/>
  <c r="O120" i="7" s="1"/>
  <c r="B94" i="7"/>
  <c r="J70" i="7"/>
  <c r="U70" i="7" s="1"/>
  <c r="B46" i="7"/>
  <c r="H36" i="7"/>
  <c r="S36" i="7" s="1"/>
  <c r="B30" i="7"/>
  <c r="G23" i="7"/>
  <c r="R23" i="7" s="1"/>
  <c r="I17" i="7"/>
  <c r="T17" i="7" s="1"/>
  <c r="C11" i="7"/>
  <c r="G199" i="7"/>
  <c r="R199" i="7" s="1"/>
  <c r="H173" i="7"/>
  <c r="S173" i="7" s="1"/>
  <c r="B164" i="7"/>
  <c r="C153" i="7"/>
  <c r="I239" i="7"/>
  <c r="T239" i="7" s="1"/>
  <c r="I204" i="7"/>
  <c r="T204" i="7" s="1"/>
  <c r="I182" i="7"/>
  <c r="T182" i="7" s="1"/>
  <c r="F170" i="7"/>
  <c r="Q170" i="7" s="1"/>
  <c r="H161" i="7"/>
  <c r="S161" i="7" s="1"/>
  <c r="E154" i="7"/>
  <c r="P154" i="7" s="1"/>
  <c r="J147" i="7"/>
  <c r="U147" i="7" s="1"/>
  <c r="D141" i="7"/>
  <c r="O141" i="7" s="1"/>
  <c r="J210" i="7"/>
  <c r="U210" i="7" s="1"/>
  <c r="J170" i="7"/>
  <c r="U170" i="7" s="1"/>
  <c r="H157" i="7"/>
  <c r="S157" i="7" s="1"/>
  <c r="H146" i="7"/>
  <c r="S146" i="7" s="1"/>
  <c r="F137" i="7"/>
  <c r="Q137" i="7" s="1"/>
  <c r="K130" i="7"/>
  <c r="V130" i="7" s="1"/>
  <c r="E124" i="7"/>
  <c r="P124" i="7" s="1"/>
  <c r="J117" i="7"/>
  <c r="U117" i="7" s="1"/>
  <c r="D111" i="7"/>
  <c r="O111" i="7" s="1"/>
  <c r="F105" i="7"/>
  <c r="Q105" i="7" s="1"/>
  <c r="K98" i="7"/>
  <c r="V98" i="7" s="1"/>
  <c r="E92" i="7"/>
  <c r="P92" i="7" s="1"/>
  <c r="J85" i="7"/>
  <c r="U85" i="7" s="1"/>
  <c r="D79" i="7"/>
  <c r="O79" i="7" s="1"/>
  <c r="F73" i="7"/>
  <c r="Q73" i="7" s="1"/>
  <c r="K66" i="7"/>
  <c r="V66" i="7" s="1"/>
  <c r="E60" i="7"/>
  <c r="P60" i="7" s="1"/>
  <c r="J53" i="7"/>
  <c r="U53" i="7" s="1"/>
  <c r="D47" i="7"/>
  <c r="O47" i="7" s="1"/>
  <c r="H193" i="7"/>
  <c r="S193" i="7" s="1"/>
  <c r="H167" i="7"/>
  <c r="S167" i="7" s="1"/>
  <c r="G154" i="7"/>
  <c r="R154" i="7" s="1"/>
  <c r="D144" i="7"/>
  <c r="O144" i="7" s="1"/>
  <c r="C135" i="7"/>
  <c r="H128" i="7"/>
  <c r="S128" i="7" s="1"/>
  <c r="B122" i="7"/>
  <c r="G115" i="7"/>
  <c r="R115" i="7" s="1"/>
  <c r="I109" i="7"/>
  <c r="T109" i="7" s="1"/>
  <c r="C103" i="7"/>
  <c r="H96" i="7"/>
  <c r="S96" i="7" s="1"/>
  <c r="B90" i="7"/>
  <c r="G83" i="7"/>
  <c r="R83" i="7" s="1"/>
  <c r="I77" i="7"/>
  <c r="T77" i="7" s="1"/>
  <c r="C71" i="7"/>
  <c r="H64" i="7"/>
  <c r="S64" i="7" s="1"/>
  <c r="B58" i="7"/>
  <c r="G51" i="7"/>
  <c r="R51" i="7" s="1"/>
  <c r="I45" i="7"/>
  <c r="T45" i="7" s="1"/>
  <c r="K208" i="7"/>
  <c r="V208" i="7" s="1"/>
  <c r="G170" i="7"/>
  <c r="R170" i="7" s="1"/>
  <c r="E157" i="7"/>
  <c r="P157" i="7" s="1"/>
  <c r="C145" i="7"/>
  <c r="J135" i="7"/>
  <c r="U135" i="7" s="1"/>
  <c r="D129" i="7"/>
  <c r="O129" i="7" s="1"/>
  <c r="F123" i="7"/>
  <c r="Q123" i="7" s="1"/>
  <c r="K116" i="7"/>
  <c r="V116" i="7" s="1"/>
  <c r="E110" i="7"/>
  <c r="P110" i="7" s="1"/>
  <c r="J103" i="7"/>
  <c r="U103" i="7" s="1"/>
  <c r="D97" i="7"/>
  <c r="O97" i="7" s="1"/>
  <c r="F91" i="7"/>
  <c r="Q91" i="7" s="1"/>
  <c r="K84" i="7"/>
  <c r="V84" i="7" s="1"/>
  <c r="E78" i="7"/>
  <c r="P78" i="7" s="1"/>
  <c r="J71" i="7"/>
  <c r="U71" i="7" s="1"/>
  <c r="D65" i="7"/>
  <c r="O65" i="7" s="1"/>
  <c r="F59" i="7"/>
  <c r="Q59" i="7" s="1"/>
  <c r="K52" i="7"/>
  <c r="V52" i="7" s="1"/>
  <c r="E46" i="7"/>
  <c r="P46" i="7" s="1"/>
  <c r="K227" i="7"/>
  <c r="V227" i="7" s="1"/>
  <c r="I168" i="7"/>
  <c r="T168" i="7" s="1"/>
  <c r="H155" i="7"/>
  <c r="S155" i="7" s="1"/>
  <c r="B145" i="7"/>
  <c r="I135" i="7"/>
  <c r="T135" i="7" s="1"/>
  <c r="C129" i="7"/>
  <c r="H122" i="7"/>
  <c r="S122" i="7" s="1"/>
  <c r="B116" i="7"/>
  <c r="G109" i="7"/>
  <c r="R109" i="7" s="1"/>
  <c r="I103" i="7"/>
  <c r="T103" i="7" s="1"/>
  <c r="C97" i="7"/>
  <c r="H90" i="7"/>
  <c r="S90" i="7" s="1"/>
  <c r="B84" i="7"/>
  <c r="G77" i="7"/>
  <c r="R77" i="7" s="1"/>
  <c r="I71" i="7"/>
  <c r="T71" i="7" s="1"/>
  <c r="C65" i="7"/>
  <c r="H58" i="7"/>
  <c r="S58" i="7" s="1"/>
  <c r="B52" i="7"/>
  <c r="E244" i="7"/>
  <c r="P244" i="7" s="1"/>
  <c r="I173" i="7"/>
  <c r="T173" i="7" s="1"/>
  <c r="J159" i="7"/>
  <c r="U159" i="7" s="1"/>
  <c r="D147" i="7"/>
  <c r="O147" i="7" s="1"/>
  <c r="E136" i="7"/>
  <c r="P136" i="7" s="1"/>
  <c r="J129" i="7"/>
  <c r="U129" i="7" s="1"/>
  <c r="D123" i="7"/>
  <c r="O123" i="7" s="1"/>
  <c r="F117" i="7"/>
  <c r="Q117" i="7" s="1"/>
  <c r="K110" i="7"/>
  <c r="V110" i="7" s="1"/>
  <c r="E104" i="7"/>
  <c r="P104" i="7" s="1"/>
  <c r="J97" i="7"/>
  <c r="U97" i="7" s="1"/>
  <c r="D91" i="7"/>
  <c r="O91" i="7" s="1"/>
  <c r="F85" i="7"/>
  <c r="Q85" i="7" s="1"/>
  <c r="K78" i="7"/>
  <c r="V78" i="7" s="1"/>
  <c r="E72" i="7"/>
  <c r="P72" i="7" s="1"/>
  <c r="J65" i="7"/>
  <c r="U65" i="7" s="1"/>
  <c r="D59" i="7"/>
  <c r="O59" i="7" s="1"/>
  <c r="F53" i="7"/>
  <c r="Q53" i="7" s="1"/>
  <c r="K46" i="7"/>
  <c r="V46" i="7" s="1"/>
  <c r="H252" i="7"/>
  <c r="S252" i="7" s="1"/>
  <c r="F169" i="7"/>
  <c r="Q169" i="7" s="1"/>
  <c r="E156" i="7"/>
  <c r="P156" i="7" s="1"/>
  <c r="D143" i="7"/>
  <c r="O143" i="7" s="1"/>
  <c r="E135" i="7"/>
  <c r="P135" i="7" s="1"/>
  <c r="J128" i="7"/>
  <c r="U128" i="7" s="1"/>
  <c r="D122" i="7"/>
  <c r="O122" i="7" s="1"/>
  <c r="F116" i="7"/>
  <c r="Q116" i="7" s="1"/>
  <c r="K109" i="7"/>
  <c r="V109" i="7" s="1"/>
  <c r="E103" i="7"/>
  <c r="P103" i="7" s="1"/>
  <c r="J96" i="7"/>
  <c r="U96" i="7" s="1"/>
  <c r="D90" i="7"/>
  <c r="O90" i="7" s="1"/>
  <c r="F84" i="7"/>
  <c r="Q84" i="7" s="1"/>
  <c r="K77" i="7"/>
  <c r="V77" i="7" s="1"/>
  <c r="E71" i="7"/>
  <c r="P71" i="7" s="1"/>
  <c r="J64" i="7"/>
  <c r="U64" i="7" s="1"/>
  <c r="D58" i="7"/>
  <c r="O58" i="7" s="1"/>
  <c r="F52" i="7"/>
  <c r="Q52" i="7" s="1"/>
  <c r="F173" i="7"/>
  <c r="Q173" i="7" s="1"/>
  <c r="F127" i="7"/>
  <c r="Q127" i="7" s="1"/>
  <c r="D101" i="7"/>
  <c r="O101" i="7" s="1"/>
  <c r="B75" i="7"/>
  <c r="J51" i="7"/>
  <c r="U51" i="7" s="1"/>
  <c r="J39" i="7"/>
  <c r="U39" i="7" s="1"/>
  <c r="D33" i="7"/>
  <c r="O33" i="7" s="1"/>
  <c r="F27" i="7"/>
  <c r="Q27" i="7" s="1"/>
  <c r="K20" i="7"/>
  <c r="V20" i="7" s="1"/>
  <c r="J153" i="7"/>
  <c r="U153" i="7" s="1"/>
  <c r="K123" i="7"/>
  <c r="V123" i="7" s="1"/>
  <c r="I97" i="7"/>
  <c r="T97" i="7" s="1"/>
  <c r="G71" i="7"/>
  <c r="R71" i="7" s="1"/>
  <c r="H46" i="7"/>
  <c r="S46" i="7" s="1"/>
  <c r="G37" i="7"/>
  <c r="R37" i="7" s="1"/>
  <c r="I31" i="7"/>
  <c r="T31" i="7" s="1"/>
  <c r="C25" i="7"/>
  <c r="H18" i="7"/>
  <c r="S18" i="7" s="1"/>
  <c r="B12" i="7"/>
  <c r="G5" i="7"/>
  <c r="E165" i="7"/>
  <c r="P165" i="7" s="1"/>
  <c r="H129" i="7"/>
  <c r="S129" i="7" s="1"/>
  <c r="F103" i="7"/>
  <c r="Q103" i="7" s="1"/>
  <c r="D77" i="7"/>
  <c r="O77" i="7" s="1"/>
  <c r="B51" i="7"/>
  <c r="H39" i="7"/>
  <c r="S39" i="7" s="1"/>
  <c r="B33" i="7"/>
  <c r="G26" i="7"/>
  <c r="R26" i="7" s="1"/>
  <c r="I20" i="7"/>
  <c r="T20" i="7" s="1"/>
  <c r="C147" i="7"/>
  <c r="E117" i="7"/>
  <c r="P117" i="7" s="1"/>
  <c r="C91" i="7"/>
  <c r="K67" i="7"/>
  <c r="V67" i="7" s="1"/>
  <c r="H44" i="7"/>
  <c r="S44" i="7" s="1"/>
  <c r="K35" i="7"/>
  <c r="V35" i="7" s="1"/>
  <c r="E29" i="7"/>
  <c r="P29" i="7" s="1"/>
  <c r="J22" i="7"/>
  <c r="U22" i="7" s="1"/>
  <c r="I195" i="7"/>
  <c r="T195" i="7" s="1"/>
  <c r="I172" i="7"/>
  <c r="T172" i="7" s="1"/>
  <c r="E163" i="7"/>
  <c r="P163" i="7" s="1"/>
  <c r="F152" i="7"/>
  <c r="Q152" i="7" s="1"/>
  <c r="C235" i="7"/>
  <c r="K200" i="7"/>
  <c r="V200" i="7" s="1"/>
  <c r="D181" i="7"/>
  <c r="O181" i="7" s="1"/>
  <c r="H169" i="7"/>
  <c r="S169" i="7" s="1"/>
  <c r="C160" i="7"/>
  <c r="H153" i="7"/>
  <c r="S153" i="7" s="1"/>
  <c r="B147" i="7"/>
  <c r="G140" i="7"/>
  <c r="R140" i="7" s="1"/>
  <c r="B203" i="7"/>
  <c r="D169" i="7"/>
  <c r="O169" i="7" s="1"/>
  <c r="C156" i="7"/>
  <c r="F145" i="7"/>
  <c r="Q145" i="7" s="1"/>
  <c r="I136" i="7"/>
  <c r="T136" i="7" s="1"/>
  <c r="C130" i="7"/>
  <c r="H123" i="7"/>
  <c r="S123" i="7" s="1"/>
  <c r="B117" i="7"/>
  <c r="G110" i="7"/>
  <c r="R110" i="7" s="1"/>
  <c r="I104" i="7"/>
  <c r="T104" i="7" s="1"/>
  <c r="C98" i="7"/>
  <c r="H91" i="7"/>
  <c r="S91" i="7" s="1"/>
  <c r="B85" i="7"/>
  <c r="G78" i="7"/>
  <c r="R78" i="7" s="1"/>
  <c r="I72" i="7"/>
  <c r="T72" i="7" s="1"/>
  <c r="C66" i="7"/>
  <c r="H59" i="7"/>
  <c r="S59" i="7" s="1"/>
  <c r="B53" i="7"/>
  <c r="G46" i="7"/>
  <c r="R46" i="7" s="1"/>
  <c r="E187" i="7"/>
  <c r="P187" i="7" s="1"/>
  <c r="C166" i="7"/>
  <c r="B153" i="7"/>
  <c r="J141" i="7"/>
  <c r="U141" i="7" s="1"/>
  <c r="F134" i="7"/>
  <c r="Q134" i="7" s="1"/>
  <c r="K127" i="7"/>
  <c r="V127" i="7" s="1"/>
  <c r="E121" i="7"/>
  <c r="P121" i="7" s="1"/>
  <c r="J114" i="7"/>
  <c r="U114" i="7" s="1"/>
  <c r="D108" i="7"/>
  <c r="O108" i="7" s="1"/>
  <c r="F102" i="7"/>
  <c r="Q102" i="7" s="1"/>
  <c r="K95" i="7"/>
  <c r="V95" i="7" s="1"/>
  <c r="E89" i="7"/>
  <c r="P89" i="7" s="1"/>
  <c r="J82" i="7"/>
  <c r="U82" i="7" s="1"/>
  <c r="D76" i="7"/>
  <c r="O76" i="7" s="1"/>
  <c r="F70" i="7"/>
  <c r="Q70" i="7" s="1"/>
  <c r="K63" i="7"/>
  <c r="V63" i="7" s="1"/>
  <c r="E57" i="7"/>
  <c r="P57" i="7" s="1"/>
  <c r="J50" i="7"/>
  <c r="U50" i="7" s="1"/>
  <c r="D44" i="7"/>
  <c r="O44" i="7" s="1"/>
  <c r="B201" i="7"/>
  <c r="G167" i="7"/>
  <c r="R167" i="7" s="1"/>
  <c r="K155" i="7"/>
  <c r="V155" i="7" s="1"/>
  <c r="K142" i="7"/>
  <c r="V142" i="7" s="1"/>
  <c r="B135" i="7"/>
  <c r="G128" i="7"/>
  <c r="R128" i="7" s="1"/>
  <c r="I122" i="7"/>
  <c r="T122" i="7" s="1"/>
  <c r="C116" i="7"/>
  <c r="H109" i="7"/>
  <c r="S109" i="7" s="1"/>
  <c r="B103" i="7"/>
  <c r="G96" i="7"/>
  <c r="R96" i="7" s="1"/>
  <c r="I90" i="7"/>
  <c r="T90" i="7" s="1"/>
  <c r="C84" i="7"/>
  <c r="H77" i="7"/>
  <c r="S77" i="7" s="1"/>
  <c r="B71" i="7"/>
  <c r="G64" i="7"/>
  <c r="R64" i="7" s="1"/>
  <c r="I58" i="7"/>
  <c r="T58" i="7" s="1"/>
  <c r="C52" i="7"/>
  <c r="H45" i="7"/>
  <c r="S45" i="7" s="1"/>
  <c r="J214" i="7"/>
  <c r="U214" i="7" s="1"/>
  <c r="D167" i="7"/>
  <c r="O167" i="7" s="1"/>
  <c r="C154" i="7"/>
  <c r="J143" i="7"/>
  <c r="U143" i="7" s="1"/>
  <c r="D134" i="7"/>
  <c r="O134" i="7" s="1"/>
  <c r="F128" i="7"/>
  <c r="Q128" i="7" s="1"/>
  <c r="K121" i="7"/>
  <c r="V121" i="7" s="1"/>
  <c r="E115" i="7"/>
  <c r="P115" i="7" s="1"/>
  <c r="J108" i="7"/>
  <c r="U108" i="7" s="1"/>
  <c r="D102" i="7"/>
  <c r="O102" i="7" s="1"/>
  <c r="F96" i="7"/>
  <c r="Q96" i="7" s="1"/>
  <c r="K89" i="7"/>
  <c r="V89" i="7" s="1"/>
  <c r="E83" i="7"/>
  <c r="P83" i="7" s="1"/>
  <c r="J76" i="7"/>
  <c r="U76" i="7" s="1"/>
  <c r="D70" i="7"/>
  <c r="O70" i="7" s="1"/>
  <c r="F64" i="7"/>
  <c r="Q64" i="7" s="1"/>
  <c r="K57" i="7"/>
  <c r="V57" i="7" s="1"/>
  <c r="E51" i="7"/>
  <c r="P51" i="7" s="1"/>
  <c r="E227" i="7"/>
  <c r="P227" i="7" s="1"/>
  <c r="J171" i="7"/>
  <c r="U171" i="7" s="1"/>
  <c r="E158" i="7"/>
  <c r="P158" i="7" s="1"/>
  <c r="I143" i="7"/>
  <c r="T143" i="7" s="1"/>
  <c r="H135" i="7"/>
  <c r="S135" i="7" s="1"/>
  <c r="B129" i="7"/>
  <c r="G122" i="7"/>
  <c r="R122" i="7" s="1"/>
  <c r="I116" i="7"/>
  <c r="T116" i="7" s="1"/>
  <c r="C110" i="7"/>
  <c r="H103" i="7"/>
  <c r="S103" i="7" s="1"/>
  <c r="B97" i="7"/>
  <c r="G90" i="7"/>
  <c r="R90" i="7" s="1"/>
  <c r="I84" i="7"/>
  <c r="T84" i="7" s="1"/>
  <c r="C78" i="7"/>
  <c r="H71" i="7"/>
  <c r="S71" i="7" s="1"/>
  <c r="B65" i="7"/>
  <c r="G58" i="7"/>
  <c r="R58" i="7" s="1"/>
  <c r="I52" i="7"/>
  <c r="T52" i="7" s="1"/>
  <c r="C46" i="7"/>
  <c r="F236" i="7"/>
  <c r="Q236" i="7" s="1"/>
  <c r="G166" i="7"/>
  <c r="R166" i="7" s="1"/>
  <c r="K154" i="7"/>
  <c r="V154" i="7" s="1"/>
  <c r="C142" i="7"/>
  <c r="H134" i="7"/>
  <c r="S134" i="7" s="1"/>
  <c r="B128" i="7"/>
  <c r="G121" i="7"/>
  <c r="R121" i="7" s="1"/>
  <c r="I115" i="7"/>
  <c r="T115" i="7" s="1"/>
  <c r="C109" i="7"/>
  <c r="H102" i="7"/>
  <c r="S102" i="7" s="1"/>
  <c r="B96" i="7"/>
  <c r="G89" i="7"/>
  <c r="R89" i="7" s="1"/>
  <c r="I83" i="7"/>
  <c r="T83" i="7" s="1"/>
  <c r="C77" i="7"/>
  <c r="H70" i="7"/>
  <c r="S70" i="7" s="1"/>
  <c r="B64" i="7"/>
  <c r="G57" i="7"/>
  <c r="R57" i="7" s="1"/>
  <c r="I51" i="7"/>
  <c r="T51" i="7" s="1"/>
  <c r="J166" i="7"/>
  <c r="U166" i="7" s="1"/>
  <c r="G124" i="7"/>
  <c r="R124" i="7" s="1"/>
  <c r="E98" i="7"/>
  <c r="P98" i="7" s="1"/>
  <c r="C72" i="7"/>
  <c r="K48" i="7"/>
  <c r="V48" i="7" s="1"/>
  <c r="B39" i="7"/>
  <c r="G32" i="7"/>
  <c r="R32" i="7" s="1"/>
  <c r="I26" i="7"/>
  <c r="T26" i="7" s="1"/>
  <c r="C20" i="7"/>
  <c r="C148" i="7"/>
  <c r="B118" i="7"/>
  <c r="J94" i="7"/>
  <c r="U94" i="7" s="1"/>
  <c r="H68" i="7"/>
  <c r="S68" i="7" s="1"/>
  <c r="C45" i="7"/>
  <c r="J36" i="7"/>
  <c r="U36" i="7" s="1"/>
  <c r="D30" i="7"/>
  <c r="O30" i="7" s="1"/>
  <c r="F24" i="7"/>
  <c r="Q24" i="7" s="1"/>
  <c r="K17" i="7"/>
  <c r="V17" i="7" s="1"/>
  <c r="E11" i="7"/>
  <c r="P11" i="7" s="1"/>
  <c r="G159" i="7"/>
  <c r="R159" i="7" s="1"/>
  <c r="I126" i="7"/>
  <c r="T126" i="7" s="1"/>
  <c r="J193" i="7"/>
  <c r="U193" i="7" s="1"/>
  <c r="H171" i="7"/>
  <c r="S171" i="7" s="1"/>
  <c r="F160" i="7"/>
  <c r="Q160" i="7" s="1"/>
  <c r="I151" i="7"/>
  <c r="T151" i="7" s="1"/>
  <c r="C227" i="7"/>
  <c r="K198" i="7"/>
  <c r="V198" i="7" s="1"/>
  <c r="J179" i="7"/>
  <c r="U179" i="7" s="1"/>
  <c r="C168" i="7"/>
  <c r="F159" i="7"/>
  <c r="Q159" i="7" s="1"/>
  <c r="K152" i="7"/>
  <c r="V152" i="7" s="1"/>
  <c r="E146" i="7"/>
  <c r="P146" i="7" s="1"/>
  <c r="J139" i="7"/>
  <c r="U139" i="7" s="1"/>
  <c r="D195" i="7"/>
  <c r="O195" i="7" s="1"/>
  <c r="J167" i="7"/>
  <c r="U167" i="7" s="1"/>
  <c r="I154" i="7"/>
  <c r="T154" i="7" s="1"/>
  <c r="E144" i="7"/>
  <c r="P144" i="7" s="1"/>
  <c r="D135" i="7"/>
  <c r="O135" i="7" s="1"/>
  <c r="F129" i="7"/>
  <c r="Q129" i="7" s="1"/>
  <c r="K122" i="7"/>
  <c r="V122" i="7" s="1"/>
  <c r="E116" i="7"/>
  <c r="P116" i="7" s="1"/>
  <c r="J109" i="7"/>
  <c r="U109" i="7" s="1"/>
  <c r="D103" i="7"/>
  <c r="O103" i="7" s="1"/>
  <c r="F97" i="7"/>
  <c r="Q97" i="7" s="1"/>
  <c r="K90" i="7"/>
  <c r="V90" i="7" s="1"/>
  <c r="E84" i="7"/>
  <c r="P84" i="7" s="1"/>
  <c r="J77" i="7"/>
  <c r="U77" i="7" s="1"/>
  <c r="D71" i="7"/>
  <c r="O71" i="7" s="1"/>
  <c r="F65" i="7"/>
  <c r="Q65" i="7" s="1"/>
  <c r="K58" i="7"/>
  <c r="V58" i="7" s="1"/>
  <c r="E52" i="7"/>
  <c r="P52" i="7" s="1"/>
  <c r="J45" i="7"/>
  <c r="U45" i="7" s="1"/>
  <c r="G181" i="7"/>
  <c r="R181" i="7" s="1"/>
  <c r="I164" i="7"/>
  <c r="T164" i="7" s="1"/>
  <c r="H151" i="7"/>
  <c r="S151" i="7" s="1"/>
  <c r="I140" i="7"/>
  <c r="T140" i="7" s="1"/>
  <c r="I133" i="7"/>
  <c r="T133" i="7" s="1"/>
  <c r="C127" i="7"/>
  <c r="H120" i="7"/>
  <c r="S120" i="7" s="1"/>
  <c r="B114" i="7"/>
  <c r="G107" i="7"/>
  <c r="R107" i="7" s="1"/>
  <c r="I101" i="7"/>
  <c r="T101" i="7" s="1"/>
  <c r="C95" i="7"/>
  <c r="H88" i="7"/>
  <c r="S88" i="7" s="1"/>
  <c r="B82" i="7"/>
  <c r="G75" i="7"/>
  <c r="R75" i="7" s="1"/>
  <c r="I69" i="7"/>
  <c r="T69" i="7" s="1"/>
  <c r="C63" i="7"/>
  <c r="H56" i="7"/>
  <c r="S56" i="7" s="1"/>
  <c r="B50" i="7"/>
  <c r="G43" i="7"/>
  <c r="R43" i="7" s="1"/>
  <c r="G193" i="7"/>
  <c r="R193" i="7" s="1"/>
  <c r="B166" i="7"/>
  <c r="F154" i="7"/>
  <c r="Q154" i="7" s="1"/>
  <c r="H141" i="7"/>
  <c r="S141" i="7" s="1"/>
  <c r="E134" i="7"/>
  <c r="P134" i="7" s="1"/>
  <c r="J127" i="7"/>
  <c r="U127" i="7" s="1"/>
  <c r="D121" i="7"/>
  <c r="O121" i="7" s="1"/>
  <c r="F115" i="7"/>
  <c r="Q115" i="7" s="1"/>
  <c r="K108" i="7"/>
  <c r="V108" i="7" s="1"/>
  <c r="E102" i="7"/>
  <c r="P102" i="7" s="1"/>
  <c r="J95" i="7"/>
  <c r="U95" i="7" s="1"/>
  <c r="D89" i="7"/>
  <c r="O89" i="7" s="1"/>
  <c r="F83" i="7"/>
  <c r="Q83" i="7" s="1"/>
  <c r="K76" i="7"/>
  <c r="V76" i="7" s="1"/>
  <c r="E70" i="7"/>
  <c r="P70" i="7" s="1"/>
  <c r="J63" i="7"/>
  <c r="U63" i="7" s="1"/>
  <c r="D57" i="7"/>
  <c r="O57" i="7" s="1"/>
  <c r="F51" i="7"/>
  <c r="Q51" i="7" s="1"/>
  <c r="K44" i="7"/>
  <c r="V44" i="7" s="1"/>
  <c r="E199" i="7"/>
  <c r="P199" i="7" s="1"/>
  <c r="J165" i="7"/>
  <c r="U165" i="7" s="1"/>
  <c r="I152" i="7"/>
  <c r="T152" i="7" s="1"/>
  <c r="J142" i="7"/>
  <c r="U142" i="7" s="1"/>
  <c r="G133" i="7"/>
  <c r="R133" i="7" s="1"/>
  <c r="I127" i="7"/>
  <c r="T127" i="7" s="1"/>
  <c r="C121" i="7"/>
  <c r="H114" i="7"/>
  <c r="S114" i="7" s="1"/>
  <c r="B108" i="7"/>
  <c r="G101" i="7"/>
  <c r="R101" i="7" s="1"/>
  <c r="I95" i="7"/>
  <c r="T95" i="7" s="1"/>
  <c r="C89" i="7"/>
  <c r="H82" i="7"/>
  <c r="S82" i="7" s="1"/>
  <c r="B76" i="7"/>
  <c r="G69" i="7"/>
  <c r="R69" i="7" s="1"/>
  <c r="I63" i="7"/>
  <c r="T63" i="7" s="1"/>
  <c r="C57" i="7"/>
  <c r="H50" i="7"/>
  <c r="S50" i="7" s="1"/>
  <c r="I214" i="7"/>
  <c r="T214" i="7" s="1"/>
  <c r="G168" i="7"/>
  <c r="R168" i="7" s="1"/>
  <c r="K156" i="7"/>
  <c r="V156" i="7" s="1"/>
  <c r="G142" i="7"/>
  <c r="R142" i="7" s="1"/>
  <c r="K134" i="7"/>
  <c r="V134" i="7" s="1"/>
  <c r="E128" i="7"/>
  <c r="P128" i="7" s="1"/>
  <c r="J121" i="7"/>
  <c r="U121" i="7" s="1"/>
  <c r="D115" i="7"/>
  <c r="O115" i="7" s="1"/>
  <c r="F109" i="7"/>
  <c r="Q109" i="7" s="1"/>
  <c r="K102" i="7"/>
  <c r="V102" i="7" s="1"/>
  <c r="E96" i="7"/>
  <c r="P96" i="7" s="1"/>
  <c r="J89" i="7"/>
  <c r="U89" i="7" s="1"/>
  <c r="D83" i="7"/>
  <c r="O83" i="7" s="1"/>
  <c r="F77" i="7"/>
  <c r="Q77" i="7" s="1"/>
  <c r="K70" i="7"/>
  <c r="V70" i="7" s="1"/>
  <c r="E64" i="7"/>
  <c r="P64" i="7" s="1"/>
  <c r="J57" i="7"/>
  <c r="U57" i="7" s="1"/>
  <c r="D51" i="7"/>
  <c r="O51" i="7" s="1"/>
  <c r="F45" i="7"/>
  <c r="Q45" i="7" s="1"/>
  <c r="J219" i="7"/>
  <c r="U219" i="7" s="1"/>
  <c r="B165" i="7"/>
  <c r="F153" i="7"/>
  <c r="Q153" i="7" s="1"/>
  <c r="K140" i="7"/>
  <c r="V140" i="7" s="1"/>
  <c r="K133" i="7"/>
  <c r="V133" i="7" s="1"/>
  <c r="E127" i="7"/>
  <c r="P127" i="7" s="1"/>
  <c r="J120" i="7"/>
  <c r="U120" i="7" s="1"/>
  <c r="D114" i="7"/>
  <c r="O114" i="7" s="1"/>
  <c r="F108" i="7"/>
  <c r="Q108" i="7" s="1"/>
  <c r="K101" i="7"/>
  <c r="V101" i="7" s="1"/>
  <c r="E95" i="7"/>
  <c r="P95" i="7" s="1"/>
  <c r="J88" i="7"/>
  <c r="U88" i="7" s="1"/>
  <c r="D82" i="7"/>
  <c r="O82" i="7" s="1"/>
  <c r="F76" i="7"/>
  <c r="Q76" i="7" s="1"/>
  <c r="K69" i="7"/>
  <c r="V69" i="7" s="1"/>
  <c r="E63" i="7"/>
  <c r="P63" i="7" s="1"/>
  <c r="J56" i="7"/>
  <c r="U56" i="7" s="1"/>
  <c r="D50" i="7"/>
  <c r="O50" i="7" s="1"/>
  <c r="C155" i="7"/>
  <c r="H121" i="7"/>
  <c r="S121" i="7" s="1"/>
  <c r="F95" i="7"/>
  <c r="Q95" i="7" s="1"/>
  <c r="D69" i="7"/>
  <c r="O69" i="7" s="1"/>
  <c r="I46" i="7"/>
  <c r="T46" i="7" s="1"/>
  <c r="E38" i="7"/>
  <c r="P38" i="7" s="1"/>
  <c r="J31" i="7"/>
  <c r="U31" i="7" s="1"/>
  <c r="D25" i="7"/>
  <c r="O25" i="7" s="1"/>
  <c r="H184" i="7"/>
  <c r="S184" i="7" s="1"/>
  <c r="I170" i="7"/>
  <c r="T170" i="7" s="1"/>
  <c r="I159" i="7"/>
  <c r="T159" i="7" s="1"/>
  <c r="D150" i="7"/>
  <c r="O150" i="7" s="1"/>
  <c r="H216" i="7"/>
  <c r="S216" i="7" s="1"/>
  <c r="B195" i="7"/>
  <c r="E178" i="7"/>
  <c r="P178" i="7" s="1"/>
  <c r="I166" i="7"/>
  <c r="T166" i="7" s="1"/>
  <c r="I158" i="7"/>
  <c r="T158" i="7" s="1"/>
  <c r="C152" i="7"/>
  <c r="H145" i="7"/>
  <c r="S145" i="7" s="1"/>
  <c r="B139" i="7"/>
  <c r="I188" i="7"/>
  <c r="T188" i="7" s="1"/>
  <c r="E166" i="7"/>
  <c r="P166" i="7" s="1"/>
  <c r="D153" i="7"/>
  <c r="O153" i="7" s="1"/>
  <c r="B143" i="7"/>
  <c r="G134" i="7"/>
  <c r="R134" i="7" s="1"/>
  <c r="I128" i="7"/>
  <c r="T128" i="7" s="1"/>
  <c r="C122" i="7"/>
  <c r="H115" i="7"/>
  <c r="S115" i="7" s="1"/>
  <c r="B109" i="7"/>
  <c r="G102" i="7"/>
  <c r="R102" i="7" s="1"/>
  <c r="I96" i="7"/>
  <c r="T96" i="7" s="1"/>
  <c r="C90" i="7"/>
  <c r="H83" i="7"/>
  <c r="S83" i="7" s="1"/>
  <c r="B77" i="7"/>
  <c r="G70" i="7"/>
  <c r="R70" i="7" s="1"/>
  <c r="I64" i="7"/>
  <c r="T64" i="7" s="1"/>
  <c r="C58" i="7"/>
  <c r="H51" i="7"/>
  <c r="S51" i="7" s="1"/>
  <c r="B45" i="7"/>
  <c r="C177" i="7"/>
  <c r="D163" i="7"/>
  <c r="O163" i="7" s="1"/>
  <c r="C150" i="7"/>
  <c r="F139" i="7"/>
  <c r="Q139" i="7" s="1"/>
  <c r="D132" i="7"/>
  <c r="O132" i="7" s="1"/>
  <c r="F126" i="7"/>
  <c r="Q126" i="7" s="1"/>
  <c r="K119" i="7"/>
  <c r="V119" i="7" s="1"/>
  <c r="E113" i="7"/>
  <c r="P113" i="7" s="1"/>
  <c r="J106" i="7"/>
  <c r="U106" i="7" s="1"/>
  <c r="D100" i="7"/>
  <c r="O100" i="7" s="1"/>
  <c r="F94" i="7"/>
  <c r="Q94" i="7" s="1"/>
  <c r="K87" i="7"/>
  <c r="V87" i="7" s="1"/>
  <c r="E81" i="7"/>
  <c r="P81" i="7" s="1"/>
  <c r="J74" i="7"/>
  <c r="U74" i="7" s="1"/>
  <c r="D68" i="7"/>
  <c r="O68" i="7" s="1"/>
  <c r="F62" i="7"/>
  <c r="Q62" i="7" s="1"/>
  <c r="K55" i="7"/>
  <c r="V55" i="7" s="1"/>
  <c r="E49" i="7"/>
  <c r="P49" i="7" s="1"/>
  <c r="J42" i="7"/>
  <c r="U42" i="7" s="1"/>
  <c r="D187" i="7"/>
  <c r="O187" i="7" s="1"/>
  <c r="H164" i="7"/>
  <c r="S164" i="7" s="1"/>
  <c r="G151" i="7"/>
  <c r="R151" i="7" s="1"/>
  <c r="H140" i="7"/>
  <c r="S140" i="7" s="1"/>
  <c r="H133" i="7"/>
  <c r="S133" i="7" s="1"/>
  <c r="B127" i="7"/>
  <c r="G120" i="7"/>
  <c r="R120" i="7" s="1"/>
  <c r="I114" i="7"/>
  <c r="T114" i="7" s="1"/>
  <c r="C108" i="7"/>
  <c r="H101" i="7"/>
  <c r="S101" i="7" s="1"/>
  <c r="B95" i="7"/>
  <c r="G88" i="7"/>
  <c r="R88" i="7" s="1"/>
  <c r="I82" i="7"/>
  <c r="T82" i="7" s="1"/>
  <c r="C76" i="7"/>
  <c r="H69" i="7"/>
  <c r="S69" i="7" s="1"/>
  <c r="B63" i="7"/>
  <c r="G56" i="7"/>
  <c r="R56" i="7" s="1"/>
  <c r="I50" i="7"/>
  <c r="T50" i="7" s="1"/>
  <c r="C44" i="7"/>
  <c r="K185" i="7"/>
  <c r="V185" i="7" s="1"/>
  <c r="E164" i="7"/>
  <c r="P164" i="7" s="1"/>
  <c r="D151" i="7"/>
  <c r="O151" i="7" s="1"/>
  <c r="G141" i="7"/>
  <c r="R141" i="7" s="1"/>
  <c r="J132" i="7"/>
  <c r="U132" i="7" s="1"/>
  <c r="D126" i="7"/>
  <c r="O126" i="7" s="1"/>
  <c r="F120" i="7"/>
  <c r="Q120" i="7" s="1"/>
  <c r="K113" i="7"/>
  <c r="V113" i="7" s="1"/>
  <c r="E107" i="7"/>
  <c r="P107" i="7" s="1"/>
  <c r="J100" i="7"/>
  <c r="U100" i="7" s="1"/>
  <c r="D94" i="7"/>
  <c r="O94" i="7" s="1"/>
  <c r="F88" i="7"/>
  <c r="Q88" i="7" s="1"/>
  <c r="K81" i="7"/>
  <c r="V81" i="7" s="1"/>
  <c r="E75" i="7"/>
  <c r="P75" i="7" s="1"/>
  <c r="J68" i="7"/>
  <c r="U68" i="7" s="1"/>
  <c r="D62" i="7"/>
  <c r="O62" i="7" s="1"/>
  <c r="F56" i="7"/>
  <c r="Q56" i="7" s="1"/>
  <c r="K49" i="7"/>
  <c r="V49" i="7" s="1"/>
  <c r="K206" i="7"/>
  <c r="V206" i="7" s="1"/>
  <c r="B167" i="7"/>
  <c r="F155" i="7"/>
  <c r="Q155" i="7" s="1"/>
  <c r="F141" i="7"/>
  <c r="Q141" i="7" s="1"/>
  <c r="C134" i="7"/>
  <c r="H127" i="7"/>
  <c r="S127" i="7" s="1"/>
  <c r="B121" i="7"/>
  <c r="G114" i="7"/>
  <c r="R114" i="7" s="1"/>
  <c r="I108" i="7"/>
  <c r="T108" i="7" s="1"/>
  <c r="C102" i="7"/>
  <c r="H95" i="7"/>
  <c r="S95" i="7" s="1"/>
  <c r="B89" i="7"/>
  <c r="G82" i="7"/>
  <c r="R82" i="7" s="1"/>
  <c r="I76" i="7"/>
  <c r="T76" i="7" s="1"/>
  <c r="C70" i="7"/>
  <c r="H63" i="7"/>
  <c r="S63" i="7" s="1"/>
  <c r="B57" i="7"/>
  <c r="G50" i="7"/>
  <c r="R50" i="7" s="1"/>
  <c r="I44" i="7"/>
  <c r="T44" i="7" s="1"/>
  <c r="C203" i="7"/>
  <c r="H163" i="7"/>
  <c r="S163" i="7" s="1"/>
  <c r="G150" i="7"/>
  <c r="R150" i="7" s="1"/>
  <c r="K139" i="7"/>
  <c r="V139" i="7" s="1"/>
  <c r="C133" i="7"/>
  <c r="H126" i="7"/>
  <c r="S126" i="7" s="1"/>
  <c r="B120" i="7"/>
  <c r="G113" i="7"/>
  <c r="R113" i="7" s="1"/>
  <c r="I107" i="7"/>
  <c r="T107" i="7" s="1"/>
  <c r="C101" i="7"/>
  <c r="H94" i="7"/>
  <c r="S94" i="7" s="1"/>
  <c r="B88" i="7"/>
  <c r="G81" i="7"/>
  <c r="R81" i="7" s="1"/>
  <c r="I75" i="7"/>
  <c r="T75" i="7" s="1"/>
  <c r="C69" i="7"/>
  <c r="H62" i="7"/>
  <c r="S62" i="7" s="1"/>
  <c r="B56" i="7"/>
  <c r="G49" i="7"/>
  <c r="R49" i="7" s="1"/>
  <c r="E149" i="7"/>
  <c r="P149" i="7" s="1"/>
  <c r="I118" i="7"/>
  <c r="T118" i="7" s="1"/>
  <c r="G92" i="7"/>
  <c r="R92" i="7" s="1"/>
  <c r="E66" i="7"/>
  <c r="P66" i="7" s="1"/>
  <c r="D45" i="7"/>
  <c r="O45" i="7" s="1"/>
  <c r="H37" i="7"/>
  <c r="S37" i="7" s="1"/>
  <c r="B31" i="7"/>
  <c r="G24" i="7"/>
  <c r="R24" i="7" s="1"/>
  <c r="J212" i="7"/>
  <c r="U212" i="7" s="1"/>
  <c r="K138" i="7"/>
  <c r="V138" i="7" s="1"/>
  <c r="D112" i="7"/>
  <c r="O112" i="7" s="1"/>
  <c r="B86" i="7"/>
  <c r="J62" i="7"/>
  <c r="U62" i="7" s="1"/>
  <c r="D42" i="7"/>
  <c r="O42" i="7" s="1"/>
  <c r="E35" i="7"/>
  <c r="P35" i="7" s="1"/>
  <c r="J28" i="7"/>
  <c r="U28" i="7" s="1"/>
  <c r="D22" i="7"/>
  <c r="O22" i="7" s="1"/>
  <c r="F16" i="7"/>
  <c r="Q16" i="7" s="1"/>
  <c r="K9" i="7"/>
  <c r="V9" i="7" s="1"/>
  <c r="B148" i="7"/>
  <c r="K120" i="7"/>
  <c r="V120" i="7" s="1"/>
  <c r="C183" i="7"/>
  <c r="K169" i="7"/>
  <c r="V169" i="7" s="1"/>
  <c r="D158" i="7"/>
  <c r="O158" i="7" s="1"/>
  <c r="B276" i="7"/>
  <c r="F214" i="7"/>
  <c r="Q214" i="7" s="1"/>
  <c r="E193" i="7"/>
  <c r="P193" i="7" s="1"/>
  <c r="F175" i="7"/>
  <c r="Q175" i="7" s="1"/>
  <c r="D165" i="7"/>
  <c r="O165" i="7" s="1"/>
  <c r="D157" i="7"/>
  <c r="O157" i="7" s="1"/>
  <c r="F151" i="7"/>
  <c r="Q151" i="7" s="1"/>
  <c r="K144" i="7"/>
  <c r="V144" i="7" s="1"/>
  <c r="E138" i="7"/>
  <c r="P138" i="7" s="1"/>
  <c r="K182" i="7"/>
  <c r="V182" i="7" s="1"/>
  <c r="K164" i="7"/>
  <c r="V164" i="7" s="1"/>
  <c r="J151" i="7"/>
  <c r="U151" i="7" s="1"/>
  <c r="B142" i="7"/>
  <c r="J133" i="7"/>
  <c r="U133" i="7" s="1"/>
  <c r="D127" i="7"/>
  <c r="O127" i="7" s="1"/>
  <c r="F121" i="7"/>
  <c r="Q121" i="7" s="1"/>
  <c r="K114" i="7"/>
  <c r="V114" i="7" s="1"/>
  <c r="E108" i="7"/>
  <c r="P108" i="7" s="1"/>
  <c r="J101" i="7"/>
  <c r="U101" i="7" s="1"/>
  <c r="D95" i="7"/>
  <c r="O95" i="7" s="1"/>
  <c r="F89" i="7"/>
  <c r="Q89" i="7" s="1"/>
  <c r="K82" i="7"/>
  <c r="V82" i="7" s="1"/>
  <c r="E76" i="7"/>
  <c r="P76" i="7" s="1"/>
  <c r="J69" i="7"/>
  <c r="U69" i="7" s="1"/>
  <c r="D63" i="7"/>
  <c r="O63" i="7" s="1"/>
  <c r="F57" i="7"/>
  <c r="Q57" i="7" s="1"/>
  <c r="K50" i="7"/>
  <c r="V50" i="7" s="1"/>
  <c r="E44" i="7"/>
  <c r="P44" i="7" s="1"/>
  <c r="F174" i="7"/>
  <c r="Q174" i="7" s="1"/>
  <c r="J161" i="7"/>
  <c r="U161" i="7" s="1"/>
  <c r="J148" i="7"/>
  <c r="U148" i="7" s="1"/>
  <c r="F138" i="7"/>
  <c r="Q138" i="7" s="1"/>
  <c r="G131" i="7"/>
  <c r="R131" i="7" s="1"/>
  <c r="I125" i="7"/>
  <c r="T125" i="7" s="1"/>
  <c r="C119" i="7"/>
  <c r="H112" i="7"/>
  <c r="S112" i="7" s="1"/>
  <c r="B106" i="7"/>
  <c r="G99" i="7"/>
  <c r="R99" i="7" s="1"/>
  <c r="I93" i="7"/>
  <c r="T93" i="7" s="1"/>
  <c r="C87" i="7"/>
  <c r="H80" i="7"/>
  <c r="S80" i="7" s="1"/>
  <c r="B74" i="7"/>
  <c r="G67" i="7"/>
  <c r="R67" i="7" s="1"/>
  <c r="I61" i="7"/>
  <c r="T61" i="7" s="1"/>
  <c r="C55" i="7"/>
  <c r="H48" i="7"/>
  <c r="S48" i="7" s="1"/>
  <c r="B42" i="7"/>
  <c r="F181" i="7"/>
  <c r="Q181" i="7" s="1"/>
  <c r="C163" i="7"/>
  <c r="B150" i="7"/>
  <c r="E139" i="7"/>
  <c r="P139" i="7" s="1"/>
  <c r="K132" i="7"/>
  <c r="V132" i="7" s="1"/>
  <c r="E126" i="7"/>
  <c r="P126" i="7" s="1"/>
  <c r="J119" i="7"/>
  <c r="U119" i="7" s="1"/>
  <c r="D113" i="7"/>
  <c r="O113" i="7" s="1"/>
  <c r="F107" i="7"/>
  <c r="Q107" i="7" s="1"/>
  <c r="K100" i="7"/>
  <c r="V100" i="7" s="1"/>
  <c r="E94" i="7"/>
  <c r="P94" i="7" s="1"/>
  <c r="J87" i="7"/>
  <c r="U87" i="7" s="1"/>
  <c r="D81" i="7"/>
  <c r="O81" i="7" s="1"/>
  <c r="F75" i="7"/>
  <c r="Q75" i="7" s="1"/>
  <c r="K68" i="7"/>
  <c r="V68" i="7" s="1"/>
  <c r="E62" i="7"/>
  <c r="P62" i="7" s="1"/>
  <c r="J55" i="7"/>
  <c r="U55" i="7" s="1"/>
  <c r="D49" i="7"/>
  <c r="O49" i="7" s="1"/>
  <c r="F43" i="7"/>
  <c r="Q43" i="7" s="1"/>
  <c r="B180" i="7"/>
  <c r="K162" i="7"/>
  <c r="V162" i="7" s="1"/>
  <c r="J149" i="7"/>
  <c r="U149" i="7" s="1"/>
  <c r="E140" i="7"/>
  <c r="P140" i="7" s="1"/>
  <c r="B132" i="7"/>
  <c r="G125" i="7"/>
  <c r="R125" i="7" s="1"/>
  <c r="I119" i="7"/>
  <c r="T119" i="7" s="1"/>
  <c r="C113" i="7"/>
  <c r="H106" i="7"/>
  <c r="S106" i="7" s="1"/>
  <c r="B100" i="7"/>
  <c r="G93" i="7"/>
  <c r="R93" i="7" s="1"/>
  <c r="I87" i="7"/>
  <c r="T87" i="7" s="1"/>
  <c r="C81" i="7"/>
  <c r="H74" i="7"/>
  <c r="S74" i="7" s="1"/>
  <c r="B68" i="7"/>
  <c r="G61" i="7"/>
  <c r="R61" i="7" s="1"/>
  <c r="I55" i="7"/>
  <c r="T55" i="7" s="1"/>
  <c r="C49" i="7"/>
  <c r="C199" i="7"/>
  <c r="H165" i="7"/>
  <c r="S165" i="7" s="1"/>
  <c r="G152" i="7"/>
  <c r="R152" i="7" s="1"/>
  <c r="C140" i="7"/>
  <c r="F133" i="7"/>
  <c r="Q133" i="7" s="1"/>
  <c r="K126" i="7"/>
  <c r="V126" i="7" s="1"/>
  <c r="E120" i="7"/>
  <c r="P120" i="7" s="1"/>
  <c r="J113" i="7"/>
  <c r="U113" i="7" s="1"/>
  <c r="D107" i="7"/>
  <c r="O107" i="7" s="1"/>
  <c r="F101" i="7"/>
  <c r="Q101" i="7" s="1"/>
  <c r="K94" i="7"/>
  <c r="V94" i="7" s="1"/>
  <c r="E88" i="7"/>
  <c r="P88" i="7" s="1"/>
  <c r="J81" i="7"/>
  <c r="U81" i="7" s="1"/>
  <c r="D75" i="7"/>
  <c r="O75" i="7" s="1"/>
  <c r="F69" i="7"/>
  <c r="Q69" i="7" s="1"/>
  <c r="K62" i="7"/>
  <c r="V62" i="7" s="1"/>
  <c r="E56" i="7"/>
  <c r="P56" i="7" s="1"/>
  <c r="J49" i="7"/>
  <c r="U49" i="7" s="1"/>
  <c r="D43" i="7"/>
  <c r="O43" i="7" s="1"/>
  <c r="E195" i="7"/>
  <c r="P195" i="7" s="1"/>
  <c r="C162" i="7"/>
  <c r="B149" i="7"/>
  <c r="H138" i="7"/>
  <c r="S138" i="7" s="1"/>
  <c r="F132" i="7"/>
  <c r="Q132" i="7" s="1"/>
  <c r="K125" i="7"/>
  <c r="V125" i="7" s="1"/>
  <c r="E119" i="7"/>
  <c r="P119" i="7" s="1"/>
  <c r="J112" i="7"/>
  <c r="U112" i="7" s="1"/>
  <c r="D106" i="7"/>
  <c r="O106" i="7" s="1"/>
  <c r="F100" i="7"/>
  <c r="Q100" i="7" s="1"/>
  <c r="K93" i="7"/>
  <c r="V93" i="7" s="1"/>
  <c r="E87" i="7"/>
  <c r="P87" i="7" s="1"/>
  <c r="J80" i="7"/>
  <c r="U80" i="7" s="1"/>
  <c r="D74" i="7"/>
  <c r="O74" i="7" s="1"/>
  <c r="F68" i="7"/>
  <c r="Q68" i="7" s="1"/>
  <c r="K61" i="7"/>
  <c r="V61" i="7" s="1"/>
  <c r="E55" i="7"/>
  <c r="P55" i="7" s="1"/>
  <c r="J48" i="7"/>
  <c r="U48" i="7" s="1"/>
  <c r="G144" i="7"/>
  <c r="R144" i="7" s="1"/>
  <c r="J115" i="7"/>
  <c r="U115" i="7" s="1"/>
  <c r="H89" i="7"/>
  <c r="S89" i="7" s="1"/>
  <c r="F63" i="7"/>
  <c r="Q63" i="7" s="1"/>
  <c r="J43" i="7"/>
  <c r="U43" i="7" s="1"/>
  <c r="K36" i="7"/>
  <c r="V36" i="7" s="1"/>
  <c r="E30" i="7"/>
  <c r="P30" i="7" s="1"/>
  <c r="J23" i="7"/>
  <c r="U23" i="7" s="1"/>
  <c r="F184" i="7"/>
  <c r="Q184" i="7" s="1"/>
  <c r="G135" i="7"/>
  <c r="R135" i="7" s="1"/>
  <c r="E109" i="7"/>
  <c r="P109" i="7" s="1"/>
  <c r="C83" i="7"/>
  <c r="K59" i="7"/>
  <c r="V59" i="7" s="1"/>
  <c r="D41" i="7"/>
  <c r="O41" i="7" s="1"/>
  <c r="H34" i="7"/>
  <c r="S34" i="7" s="1"/>
  <c r="B28" i="7"/>
  <c r="G21" i="7"/>
  <c r="R21" i="7" s="1"/>
  <c r="I15" i="7"/>
  <c r="T15" i="7" s="1"/>
  <c r="C9" i="7"/>
  <c r="G143" i="7"/>
  <c r="R143" i="7" s="1"/>
  <c r="B115" i="7"/>
  <c r="J91" i="7"/>
  <c r="U91" i="7" s="1"/>
  <c r="H65" i="7"/>
  <c r="S65" i="7" s="1"/>
  <c r="J9" i="7"/>
  <c r="U9" i="7" s="1"/>
  <c r="E20" i="7"/>
  <c r="P20" i="7" s="1"/>
  <c r="K39" i="7"/>
  <c r="V39" i="7" s="1"/>
  <c r="E90" i="7"/>
  <c r="P90" i="7" s="1"/>
  <c r="K163" i="7"/>
  <c r="V163" i="7" s="1"/>
  <c r="C34" i="7"/>
  <c r="B10" i="7"/>
  <c r="I24" i="7"/>
  <c r="T24" i="7" s="1"/>
  <c r="C40" i="7"/>
  <c r="H92" i="7"/>
  <c r="S92" i="7" s="1"/>
  <c r="D168" i="7"/>
  <c r="O168" i="7" s="1"/>
  <c r="D7" i="7"/>
  <c r="O7" i="7" s="1"/>
  <c r="H15" i="7"/>
  <c r="S15" i="7" s="1"/>
  <c r="I32" i="7"/>
  <c r="T32" i="7" s="1"/>
  <c r="D85" i="7"/>
  <c r="O85" i="7" s="1"/>
  <c r="D155" i="7"/>
  <c r="O155" i="7" s="1"/>
  <c r="D10" i="7"/>
  <c r="O10" i="7" s="1"/>
  <c r="G19" i="7"/>
  <c r="R19" i="7" s="1"/>
  <c r="K34" i="7"/>
  <c r="V34" i="7" s="1"/>
  <c r="I78" i="7"/>
  <c r="T78" i="7" s="1"/>
  <c r="G173" i="7"/>
  <c r="R173" i="7" s="1"/>
  <c r="D36" i="7"/>
  <c r="O36" i="7" s="1"/>
  <c r="K166" i="7"/>
  <c r="V166" i="7" s="1"/>
  <c r="F9" i="7"/>
  <c r="Q9" i="7" s="1"/>
  <c r="C18" i="7"/>
  <c r="E33" i="7"/>
  <c r="P33" i="7" s="1"/>
  <c r="D72" i="7"/>
  <c r="O72" i="7" s="1"/>
  <c r="B158" i="7"/>
  <c r="H6" i="7"/>
  <c r="S6" i="7" s="1"/>
  <c r="K14" i="7"/>
  <c r="V14" i="7" s="1"/>
  <c r="I29" i="7"/>
  <c r="T29" i="7" s="1"/>
  <c r="H49" i="7"/>
  <c r="S49" i="7" s="1"/>
  <c r="F119" i="7"/>
  <c r="Q119" i="7" s="1"/>
  <c r="I12" i="7"/>
  <c r="T12" i="7" s="1"/>
  <c r="J27" i="7"/>
  <c r="U27" i="7" s="1"/>
  <c r="E45" i="7"/>
  <c r="P45" i="7" s="1"/>
  <c r="K104" i="7"/>
  <c r="V104" i="7" s="1"/>
  <c r="C13" i="7"/>
  <c r="I19" i="7"/>
  <c r="T19" i="7" s="1"/>
  <c r="G25" i="7"/>
  <c r="R25" i="7" s="1"/>
  <c r="B32" i="7"/>
  <c r="H38" i="7"/>
  <c r="S38" i="7" s="1"/>
  <c r="G55" i="7"/>
  <c r="R55" i="7" s="1"/>
  <c r="H84" i="7"/>
  <c r="S84" i="7" s="1"/>
  <c r="I113" i="7"/>
  <c r="T113" i="7" s="1"/>
  <c r="K145" i="7"/>
  <c r="V145" i="7" s="1"/>
  <c r="F10" i="7"/>
  <c r="Q10" i="7" s="1"/>
  <c r="K19" i="7"/>
  <c r="V19" i="7" s="1"/>
  <c r="H28" i="7"/>
  <c r="S28" i="7" s="1"/>
  <c r="G39" i="7"/>
  <c r="R39" i="7" s="1"/>
  <c r="H76" i="7"/>
  <c r="S76" i="7" s="1"/>
  <c r="G111" i="7"/>
  <c r="R111" i="7" s="1"/>
  <c r="H178" i="7"/>
  <c r="S178" i="7" s="1"/>
  <c r="J25" i="7"/>
  <c r="U25" i="7" s="1"/>
  <c r="F37" i="7"/>
  <c r="Q37" i="7" s="1"/>
  <c r="I62" i="7"/>
  <c r="T62" i="7" s="1"/>
  <c r="C112" i="7"/>
  <c r="G29" i="7"/>
  <c r="R29" i="7" s="1"/>
  <c r="K91" i="7"/>
  <c r="V91" i="7" s="1"/>
  <c r="J10" i="7"/>
  <c r="U10" i="7" s="1"/>
  <c r="F22" i="7"/>
  <c r="Q22" i="7" s="1"/>
  <c r="K41" i="7"/>
  <c r="V41" i="7" s="1"/>
  <c r="F98" i="7"/>
  <c r="Q98" i="7" s="1"/>
  <c r="D197" i="7"/>
  <c r="O197" i="7" s="1"/>
  <c r="G52" i="7"/>
  <c r="R52" i="7" s="1"/>
  <c r="B13" i="7"/>
  <c r="J26" i="7"/>
  <c r="U26" i="7" s="1"/>
  <c r="H42" i="7"/>
  <c r="S42" i="7" s="1"/>
  <c r="J99" i="7"/>
  <c r="U99" i="7" s="1"/>
  <c r="B224" i="7"/>
  <c r="C8" i="7"/>
  <c r="I16" i="7"/>
  <c r="T16" i="7" s="1"/>
  <c r="J34" i="7"/>
  <c r="U34" i="7" s="1"/>
  <c r="D93" i="7"/>
  <c r="O93" i="7" s="1"/>
  <c r="I169" i="7"/>
  <c r="T169" i="7" s="1"/>
  <c r="D11" i="7"/>
  <c r="O11" i="7" s="1"/>
  <c r="D21" i="7"/>
  <c r="O21" i="7" s="1"/>
  <c r="I38" i="7"/>
  <c r="T38" i="7" s="1"/>
  <c r="J86" i="7"/>
  <c r="U86" i="7" s="1"/>
  <c r="F260" i="7"/>
  <c r="Q260" i="7" s="1"/>
  <c r="F42" i="7"/>
  <c r="Q42" i="7" s="1"/>
  <c r="E10" i="7"/>
  <c r="P10" i="7" s="1"/>
  <c r="H19" i="7"/>
  <c r="S19" i="7" s="1"/>
  <c r="B35" i="7"/>
  <c r="F79" i="7"/>
  <c r="Q79" i="7" s="1"/>
  <c r="H175" i="7"/>
  <c r="S175" i="7" s="1"/>
  <c r="H7" i="7"/>
  <c r="S7" i="7" s="1"/>
  <c r="D17" i="7"/>
  <c r="O17" i="7" s="1"/>
  <c r="F31" i="7"/>
  <c r="Q31" i="7" s="1"/>
  <c r="I57" i="7"/>
  <c r="T57" i="7" s="1"/>
  <c r="G127" i="7"/>
  <c r="R127" i="7" s="1"/>
  <c r="J5" i="7"/>
  <c r="J13" i="7"/>
  <c r="U13" i="7" s="1"/>
  <c r="J29" i="7"/>
  <c r="U29" i="7" s="1"/>
  <c r="E50" i="7"/>
  <c r="P50" i="7" s="1"/>
  <c r="C120" i="7"/>
  <c r="K13" i="7"/>
  <c r="V13" i="7" s="1"/>
  <c r="F20" i="7"/>
  <c r="Q20" i="7" s="1"/>
  <c r="D26" i="7"/>
  <c r="O26" i="7" s="1"/>
  <c r="J32" i="7"/>
  <c r="U32" i="7" s="1"/>
  <c r="B40" i="7"/>
  <c r="F58" i="7"/>
  <c r="Q58" i="7" s="1"/>
  <c r="G87" i="7"/>
  <c r="R87" i="7" s="1"/>
  <c r="H116" i="7"/>
  <c r="S116" i="7" s="1"/>
  <c r="K150" i="7"/>
  <c r="V150" i="7" s="1"/>
  <c r="H12" i="7"/>
  <c r="S12" i="7" s="1"/>
  <c r="H20" i="7"/>
  <c r="S20" i="7" s="1"/>
  <c r="G31" i="7"/>
  <c r="R31" i="7" s="1"/>
  <c r="D40" i="7"/>
  <c r="O40" i="7" s="1"/>
  <c r="G79" i="7"/>
  <c r="R79" i="7" s="1"/>
  <c r="F114" i="7"/>
  <c r="Q114" i="7" s="1"/>
  <c r="C205" i="7"/>
  <c r="F29" i="7"/>
  <c r="Q29" i="7" s="1"/>
  <c r="C38" i="7"/>
  <c r="G68" i="7"/>
  <c r="R68" i="7" s="1"/>
  <c r="J123" i="7"/>
  <c r="U123" i="7" s="1"/>
  <c r="F8" i="7"/>
  <c r="Q8" i="7" s="1"/>
  <c r="K33" i="7"/>
  <c r="V33" i="7" s="1"/>
  <c r="F106" i="7"/>
  <c r="Q106" i="7" s="1"/>
  <c r="I11" i="7"/>
  <c r="T11" i="7" s="1"/>
  <c r="C24" i="7"/>
  <c r="G45" i="7"/>
  <c r="R45" i="7" s="1"/>
  <c r="H105" i="7"/>
  <c r="S105" i="7" s="1"/>
  <c r="B7" i="7"/>
  <c r="J67" i="7"/>
  <c r="U67" i="7" s="1"/>
  <c r="E14" i="7"/>
  <c r="P14" i="7" s="1"/>
  <c r="G28" i="7"/>
  <c r="R28" i="7" s="1"/>
  <c r="J46" i="7"/>
  <c r="U46" i="7" s="1"/>
  <c r="J107" i="7"/>
  <c r="U107" i="7" s="1"/>
  <c r="D9" i="7"/>
  <c r="O9" i="7" s="1"/>
  <c r="B19" i="7"/>
  <c r="G36" i="7"/>
  <c r="R36" i="7" s="1"/>
  <c r="E101" i="7"/>
  <c r="P101" i="7" s="1"/>
  <c r="K239" i="7"/>
  <c r="V239" i="7" s="1"/>
  <c r="D12" i="7"/>
  <c r="O12" i="7" s="1"/>
  <c r="D23" i="7"/>
  <c r="O23" i="7" s="1"/>
  <c r="I40" i="7"/>
  <c r="T40" i="7" s="1"/>
  <c r="B110" i="7"/>
  <c r="B5" i="7"/>
  <c r="H60" i="7"/>
  <c r="S60" i="7" s="1"/>
  <c r="F11" i="7"/>
  <c r="Q11" i="7" s="1"/>
  <c r="I21" i="7"/>
  <c r="T21" i="7" s="1"/>
  <c r="B37" i="7"/>
  <c r="F87" i="7"/>
  <c r="Q87" i="7" s="1"/>
  <c r="H8" i="7"/>
  <c r="S8" i="7" s="1"/>
  <c r="E18" i="7"/>
  <c r="P18" i="7" s="1"/>
  <c r="F33" i="7"/>
  <c r="Q33" i="7" s="1"/>
  <c r="K64" i="7"/>
  <c r="V64" i="7" s="1"/>
  <c r="I134" i="7"/>
  <c r="T134" i="7" s="1"/>
  <c r="I6" i="7"/>
  <c r="T6" i="7" s="1"/>
  <c r="B15" i="7"/>
  <c r="K31" i="7"/>
  <c r="V31" i="7" s="1"/>
  <c r="E58" i="7"/>
  <c r="P58" i="7" s="1"/>
  <c r="C128" i="7"/>
  <c r="H14" i="7"/>
  <c r="S14" i="7" s="1"/>
  <c r="C21" i="7"/>
  <c r="I27" i="7"/>
  <c r="T27" i="7" s="1"/>
  <c r="G33" i="7"/>
  <c r="R33" i="7" s="1"/>
  <c r="J40" i="7"/>
  <c r="U40" i="7" s="1"/>
  <c r="E61" i="7"/>
  <c r="P61" i="7" s="1"/>
  <c r="F90" i="7"/>
  <c r="Q90" i="7" s="1"/>
  <c r="G119" i="7"/>
  <c r="R119" i="7" s="1"/>
  <c r="I156" i="7"/>
  <c r="T156" i="7" s="1"/>
  <c r="E13" i="7"/>
  <c r="P13" i="7" s="1"/>
  <c r="E21" i="7"/>
  <c r="P21" i="7" s="1"/>
  <c r="D32" i="7"/>
  <c r="O32" i="7" s="1"/>
  <c r="C43" i="7"/>
  <c r="F82" i="7"/>
  <c r="Q82" i="7" s="1"/>
  <c r="B126" i="7"/>
  <c r="H260" i="7"/>
  <c r="S260" i="7" s="1"/>
  <c r="C30" i="7"/>
  <c r="K38" i="7"/>
  <c r="V38" i="7" s="1"/>
  <c r="F71" i="7"/>
  <c r="Q71" i="7" s="1"/>
  <c r="I138" i="7"/>
  <c r="T138" i="7" s="1"/>
  <c r="H10" i="7"/>
  <c r="S10" i="7" s="1"/>
  <c r="B36" i="7"/>
  <c r="C115" i="7"/>
  <c r="K12" i="7"/>
  <c r="V12" i="7" s="1"/>
  <c r="C26" i="7"/>
  <c r="K51" i="7"/>
  <c r="V51" i="7" s="1"/>
  <c r="H113" i="7"/>
  <c r="S113" i="7" s="1"/>
  <c r="J11" i="7"/>
  <c r="U11" i="7" s="1"/>
  <c r="K83" i="7"/>
  <c r="V83" i="7" s="1"/>
  <c r="C5" i="7"/>
  <c r="F15" i="7"/>
  <c r="Q15" i="7" s="1"/>
  <c r="G30" i="7"/>
  <c r="R30" i="7" s="1"/>
  <c r="D53" i="7"/>
  <c r="O53" i="7" s="1"/>
  <c r="K115" i="7"/>
  <c r="V115" i="7" s="1"/>
  <c r="C10" i="7"/>
  <c r="B21" i="7"/>
  <c r="G38" i="7"/>
  <c r="R38" i="7" s="1"/>
  <c r="G108" i="7"/>
  <c r="R108" i="7" s="1"/>
  <c r="F5" i="7"/>
  <c r="F13" i="7"/>
  <c r="Q13" i="7" s="1"/>
  <c r="E25" i="7"/>
  <c r="P25" i="7" s="1"/>
  <c r="K43" i="7"/>
  <c r="V43" i="7" s="1"/>
  <c r="D117" i="7"/>
  <c r="O117" i="7" s="1"/>
  <c r="K10" i="7"/>
  <c r="V10" i="7" s="1"/>
  <c r="J75" i="7"/>
  <c r="U75" i="7" s="1"/>
  <c r="E12" i="7"/>
  <c r="P12" i="7" s="1"/>
  <c r="F23" i="7"/>
  <c r="Q23" i="7" s="1"/>
  <c r="C39" i="7"/>
  <c r="G95" i="7"/>
  <c r="R95" i="7" s="1"/>
  <c r="D15" i="7"/>
  <c r="O15" i="7" s="1"/>
  <c r="G9" i="7"/>
  <c r="R9" i="7" s="1"/>
  <c r="J19" i="7"/>
  <c r="U19" i="7" s="1"/>
  <c r="G35" i="7"/>
  <c r="R35" i="7" s="1"/>
  <c r="K72" i="7"/>
  <c r="V72" i="7" s="1"/>
  <c r="J145" i="7"/>
  <c r="U145" i="7" s="1"/>
  <c r="J7" i="7"/>
  <c r="U7" i="7" s="1"/>
  <c r="C16" i="7"/>
  <c r="H33" i="7"/>
  <c r="S33" i="7" s="1"/>
  <c r="F66" i="7"/>
  <c r="Q66" i="7" s="1"/>
  <c r="D136" i="7"/>
  <c r="O136" i="7" s="1"/>
  <c r="E15" i="7"/>
  <c r="P15" i="7" s="1"/>
  <c r="K21" i="7"/>
  <c r="V21" i="7" s="1"/>
  <c r="F28" i="7"/>
  <c r="Q28" i="7" s="1"/>
  <c r="D34" i="7"/>
  <c r="O34" i="7" s="1"/>
  <c r="I41" i="7"/>
  <c r="T41" i="7" s="1"/>
  <c r="D64" i="7"/>
  <c r="O64" i="7" s="1"/>
  <c r="E93" i="7"/>
  <c r="P93" i="7" s="1"/>
  <c r="F122" i="7"/>
  <c r="Q122" i="7" s="1"/>
  <c r="G162" i="7"/>
  <c r="R162" i="7" s="1"/>
  <c r="B6" i="7"/>
  <c r="B14" i="7"/>
  <c r="B22" i="7"/>
  <c r="I33" i="7"/>
  <c r="T33" i="7" s="1"/>
  <c r="F50" i="7"/>
  <c r="Q50" i="7" s="1"/>
  <c r="E85" i="7"/>
  <c r="P85" i="7" s="1"/>
  <c r="K131" i="7"/>
  <c r="V131" i="7" s="1"/>
  <c r="D19" i="7"/>
  <c r="O19" i="7" s="1"/>
  <c r="K30" i="7"/>
  <c r="V30" i="7" s="1"/>
  <c r="C42" i="7"/>
  <c r="E74" i="7"/>
  <c r="P74" i="7" s="1"/>
  <c r="I153" i="7"/>
  <c r="T153" i="7" s="1"/>
  <c r="D14" i="7"/>
  <c r="O14" i="7" s="1"/>
  <c r="F40" i="7"/>
  <c r="Q40" i="7" s="1"/>
  <c r="H132" i="7"/>
  <c r="S132" i="7" s="1"/>
  <c r="J3" i="1"/>
  <c r="B28" i="4"/>
  <c r="E22" i="1" s="1"/>
  <c r="K5" i="7"/>
  <c r="C15" i="7"/>
  <c r="D28" i="7"/>
  <c r="O28" i="7" s="1"/>
  <c r="B59" i="7"/>
  <c r="I121" i="7"/>
  <c r="T121" i="7" s="1"/>
  <c r="G16" i="7"/>
  <c r="R16" i="7" s="1"/>
  <c r="B99" i="7"/>
  <c r="C6" i="7"/>
  <c r="H16" i="7"/>
  <c r="S16" i="7" s="1"/>
  <c r="H32" i="7"/>
  <c r="S32" i="7" s="1"/>
  <c r="D61" i="7"/>
  <c r="O61" i="7" s="1"/>
  <c r="B123" i="7"/>
  <c r="B11" i="7"/>
  <c r="C23" i="7"/>
  <c r="H40" i="7"/>
  <c r="S40" i="7" s="1"/>
  <c r="G116" i="7"/>
  <c r="R116" i="7" s="1"/>
  <c r="K8" i="7"/>
  <c r="V8" i="7" s="1"/>
  <c r="F6" i="7"/>
  <c r="Q6" i="7" s="1"/>
  <c r="G14" i="7"/>
  <c r="R14" i="7" s="1"/>
  <c r="B27" i="7"/>
  <c r="F47" i="7"/>
  <c r="Q47" i="7" s="1"/>
  <c r="D125" i="7"/>
  <c r="O125" i="7" s="1"/>
  <c r="H17" i="7"/>
  <c r="S17" i="7" s="1"/>
  <c r="B91" i="7"/>
  <c r="H5" i="7"/>
  <c r="H13" i="7"/>
  <c r="S13" i="7" s="1"/>
  <c r="F25" i="7"/>
  <c r="Q25" i="7" s="1"/>
  <c r="K40" i="7"/>
  <c r="V40" i="7" s="1"/>
  <c r="I102" i="7"/>
  <c r="T102" i="7" s="1"/>
  <c r="G10" i="7"/>
  <c r="R10" i="7" s="1"/>
  <c r="J21" i="7"/>
  <c r="U21" i="7" s="1"/>
  <c r="D37" i="7"/>
  <c r="O37" i="7" s="1"/>
  <c r="C88" i="7"/>
  <c r="B161" i="7"/>
  <c r="I8" i="7"/>
  <c r="T8" i="7" s="1"/>
  <c r="E17" i="7"/>
  <c r="P17" i="7" s="1"/>
  <c r="H35" i="7"/>
  <c r="S35" i="7" s="1"/>
  <c r="H73" i="7"/>
  <c r="S73" i="7" s="1"/>
  <c r="K146" i="7"/>
  <c r="V146" i="7" s="1"/>
  <c r="B16" i="7"/>
  <c r="H22" i="7"/>
  <c r="S22" i="7" s="1"/>
  <c r="C29" i="7"/>
  <c r="I35" i="7"/>
  <c r="T35" i="7" s="1"/>
  <c r="F44" i="7"/>
  <c r="Q44" i="7" s="1"/>
  <c r="C67" i="7"/>
  <c r="D96" i="7"/>
  <c r="O96" i="7" s="1"/>
  <c r="E125" i="7"/>
  <c r="P125" i="7" s="1"/>
  <c r="I175" i="7"/>
  <c r="T175" i="7" s="1"/>
  <c r="J6" i="7"/>
  <c r="U6" i="7" s="1"/>
  <c r="J14" i="7"/>
  <c r="U14" i="7" s="1"/>
  <c r="I25" i="7"/>
  <c r="T25" i="7" s="1"/>
  <c r="F34" i="7"/>
  <c r="Q34" i="7" s="1"/>
  <c r="E53" i="7"/>
  <c r="P53" i="7" s="1"/>
  <c r="D88" i="7"/>
  <c r="O88" i="7" s="1"/>
  <c r="J134" i="7"/>
  <c r="U134" i="7" s="1"/>
  <c r="K22" i="7"/>
  <c r="V22" i="7" s="1"/>
  <c r="H31" i="7"/>
  <c r="S31" i="7" s="1"/>
  <c r="E43" i="7"/>
  <c r="P43" i="7" s="1"/>
  <c r="K88" i="7"/>
  <c r="V88" i="7" s="1"/>
  <c r="I212" i="7"/>
  <c r="T212" i="7" s="1"/>
  <c r="C17" i="7"/>
  <c r="I43" i="7"/>
  <c r="T43" i="7" s="1"/>
  <c r="H143" i="7"/>
  <c r="S143" i="7" s="1"/>
  <c r="K6" i="7"/>
  <c r="V6" i="7" s="1"/>
  <c r="E16" i="7"/>
  <c r="P16" i="7" s="1"/>
  <c r="B34" i="7"/>
  <c r="B67" i="7"/>
  <c r="K128" i="7"/>
  <c r="V128" i="7" s="1"/>
  <c r="G20" i="7"/>
  <c r="R20" i="7" s="1"/>
  <c r="E114" i="7"/>
  <c r="P114" i="7" s="1"/>
  <c r="C7" i="7"/>
  <c r="J17" i="7"/>
  <c r="U17" i="7" s="1"/>
  <c r="E34" i="7"/>
  <c r="P34" i="7" s="1"/>
  <c r="E69" i="7"/>
  <c r="P69" i="7" s="1"/>
  <c r="B131" i="7"/>
  <c r="C12" i="7"/>
  <c r="K24" i="7"/>
  <c r="V24" i="7" s="1"/>
  <c r="B43" i="7"/>
  <c r="H124" i="7"/>
  <c r="S124" i="7" s="1"/>
  <c r="C14" i="7"/>
  <c r="E7" i="7"/>
  <c r="P7" i="7" s="1"/>
  <c r="J15" i="7"/>
  <c r="U15" i="7" s="1"/>
  <c r="B29" i="7"/>
  <c r="F55" i="7"/>
  <c r="Q55" i="7" s="1"/>
  <c r="E133" i="7"/>
  <c r="P133" i="7" s="1"/>
  <c r="G22" i="7"/>
  <c r="R22" i="7" s="1"/>
  <c r="C107" i="7"/>
  <c r="G6" i="7"/>
  <c r="R6" i="7" s="1"/>
  <c r="I14" i="7"/>
  <c r="T14" i="7" s="1"/>
  <c r="G27" i="7"/>
  <c r="R27" i="7" s="1"/>
  <c r="B44" i="7"/>
  <c r="I110" i="7"/>
  <c r="T110" i="7" s="1"/>
  <c r="G11" i="7"/>
  <c r="R11" i="7" s="1"/>
  <c r="K23" i="7"/>
  <c r="V23" i="7" s="1"/>
  <c r="D39" i="7"/>
  <c r="O39" i="7" s="1"/>
  <c r="C96" i="7"/>
  <c r="G178" i="7"/>
  <c r="R178" i="7" s="1"/>
  <c r="H9" i="7"/>
  <c r="S9" i="7" s="1"/>
  <c r="G18" i="7"/>
  <c r="R18" i="7" s="1"/>
  <c r="I37" i="7"/>
  <c r="T37" i="7" s="1"/>
  <c r="H81" i="7"/>
  <c r="S81" i="7" s="1"/>
  <c r="F162" i="7"/>
  <c r="Q162" i="7" s="1"/>
  <c r="J16" i="7"/>
  <c r="U16" i="7" s="1"/>
  <c r="E23" i="7"/>
  <c r="P23" i="7" s="1"/>
  <c r="K29" i="7"/>
  <c r="V29" i="7" s="1"/>
  <c r="F36" i="7"/>
  <c r="Q36" i="7" s="1"/>
  <c r="K45" i="7"/>
  <c r="V45" i="7" s="1"/>
  <c r="B70" i="7"/>
  <c r="C99" i="7"/>
  <c r="C131" i="7"/>
  <c r="E197" i="7"/>
  <c r="P197" i="7" s="1"/>
  <c r="G7" i="7"/>
  <c r="R7" i="7" s="1"/>
  <c r="G15" i="7"/>
  <c r="R15" i="7" s="1"/>
  <c r="F26" i="7"/>
  <c r="Q26" i="7" s="1"/>
  <c r="C35" i="7"/>
  <c r="D56" i="7"/>
  <c r="O56" i="7" s="1"/>
  <c r="J102" i="7"/>
  <c r="U102" i="7" s="1"/>
  <c r="J137" i="7"/>
  <c r="U137" i="7" s="1"/>
  <c r="H23" i="7"/>
  <c r="S23" i="7" s="1"/>
  <c r="E32" i="7"/>
  <c r="P32" i="7" s="1"/>
  <c r="J44" i="7"/>
  <c r="U44" i="7" s="1"/>
  <c r="I94" i="7"/>
  <c r="T94" i="7" s="1"/>
  <c r="J20" i="7"/>
  <c r="U20" i="7" s="1"/>
  <c r="B54" i="7"/>
  <c r="G171" i="7"/>
  <c r="R171" i="7" s="1"/>
  <c r="K7" i="7"/>
  <c r="V7" i="7" s="1"/>
  <c r="F17" i="7"/>
  <c r="Q17" i="7" s="1"/>
  <c r="J35" i="7"/>
  <c r="U35" i="7" s="1"/>
  <c r="C75" i="7"/>
  <c r="K136" i="7"/>
  <c r="V136" i="7" s="1"/>
  <c r="H24" i="7"/>
  <c r="S24" i="7" s="1"/>
  <c r="F130" i="7"/>
  <c r="Q130" i="7" s="1"/>
  <c r="B8" i="7"/>
  <c r="K18" i="7"/>
  <c r="V18" i="7" s="1"/>
  <c r="E36" i="7"/>
  <c r="P36" i="7" s="1"/>
  <c r="G76" i="7"/>
  <c r="R76" i="7" s="1"/>
  <c r="B140" i="7"/>
  <c r="D5" i="7"/>
  <c r="D13" i="7"/>
  <c r="O13" i="7" s="1"/>
  <c r="K26" i="7"/>
  <c r="V26" i="7" s="1"/>
  <c r="J54" i="7"/>
  <c r="U54" i="7" s="1"/>
  <c r="J131" i="7"/>
  <c r="U131" i="7" s="1"/>
  <c r="J18" i="7"/>
  <c r="U18" i="7" s="1"/>
  <c r="E8" i="7"/>
  <c r="P8" i="7" s="1"/>
  <c r="K16" i="7"/>
  <c r="V16" i="7" s="1"/>
  <c r="C31" i="7"/>
  <c r="G63" i="7"/>
  <c r="R63" i="7" s="1"/>
  <c r="D142" i="7"/>
  <c r="O142" i="7" s="1"/>
  <c r="E26" i="7"/>
  <c r="P26" i="7" s="1"/>
  <c r="E122" i="7"/>
  <c r="P122" i="7" s="1"/>
  <c r="F7" i="7"/>
  <c r="Q7" i="7" s="1"/>
  <c r="K15" i="7"/>
  <c r="V15" i="7" s="1"/>
  <c r="D29" i="7"/>
  <c r="O29" i="7" s="1"/>
  <c r="C56" i="7"/>
  <c r="J118" i="7"/>
  <c r="U118" i="7" s="1"/>
  <c r="G12" i="7"/>
  <c r="R12" i="7" s="1"/>
  <c r="H25" i="7"/>
  <c r="S25" i="7" s="1"/>
  <c r="G41" i="7"/>
  <c r="R41" i="7" s="1"/>
  <c r="D104" i="7"/>
  <c r="O104" i="7" s="1"/>
  <c r="I10" i="7"/>
  <c r="T10" i="7" s="1"/>
  <c r="D20" i="7"/>
  <c r="O20" i="7" s="1"/>
  <c r="F39" i="7"/>
  <c r="Q39" i="7" s="1"/>
  <c r="I89" i="7"/>
  <c r="T89" i="7" s="1"/>
  <c r="D190" i="7"/>
  <c r="O190" i="7" s="1"/>
  <c r="G17" i="7"/>
  <c r="R17" i="7" s="1"/>
  <c r="B24" i="7"/>
  <c r="H30" i="7"/>
  <c r="S30" i="7" s="1"/>
  <c r="C37" i="7"/>
  <c r="E47" i="7"/>
  <c r="P47" i="7" s="1"/>
  <c r="K75" i="7"/>
  <c r="V75" i="7" s="1"/>
  <c r="K107" i="7"/>
  <c r="V107" i="7" s="1"/>
  <c r="B134" i="7"/>
  <c r="B240" i="7"/>
  <c r="D8" i="7"/>
  <c r="O8" i="7" s="1"/>
  <c r="D16" i="7"/>
  <c r="O16" i="7" s="1"/>
  <c r="C27" i="7"/>
  <c r="B38" i="7"/>
  <c r="C59" i="7"/>
  <c r="I105" i="7"/>
  <c r="T105" i="7" s="1"/>
  <c r="E142" i="7"/>
  <c r="P142" i="7" s="1"/>
  <c r="E24" i="7"/>
  <c r="P24" i="7" s="1"/>
  <c r="D35" i="7"/>
  <c r="O35" i="7" s="1"/>
  <c r="D46" i="7"/>
  <c r="O46" i="7" s="1"/>
  <c r="H97" i="7"/>
  <c r="S97" i="7" s="1"/>
  <c r="I23" i="7"/>
  <c r="T23" i="7" s="1"/>
  <c r="I65" i="7"/>
  <c r="T65" i="7" s="1"/>
  <c r="F19" i="7"/>
  <c r="Q19" i="7" s="1"/>
  <c r="AN16" i="7" l="1"/>
  <c r="AN75" i="7"/>
  <c r="AN86" i="7"/>
  <c r="AN165" i="7"/>
  <c r="AN94" i="7"/>
  <c r="AN73" i="7"/>
  <c r="AN131" i="7"/>
  <c r="AN54" i="7"/>
  <c r="AN102" i="7"/>
  <c r="AN67" i="7"/>
  <c r="AN13" i="7"/>
  <c r="AN99" i="7"/>
  <c r="AN149" i="7"/>
  <c r="AN62" i="7"/>
  <c r="AN95" i="7"/>
  <c r="AN109" i="7"/>
  <c r="AN108" i="7"/>
  <c r="AN214" i="7"/>
  <c r="AN65" i="7"/>
  <c r="AN135" i="7"/>
  <c r="AN84" i="7"/>
  <c r="AN178" i="7"/>
  <c r="AN104" i="7"/>
  <c r="AN156" i="7"/>
  <c r="AN92" i="7"/>
  <c r="AN140" i="7"/>
  <c r="AN138" i="7"/>
  <c r="AN312" i="7"/>
  <c r="AN253" i="7"/>
  <c r="AN241" i="7"/>
  <c r="AN243" i="7"/>
  <c r="AN263" i="7"/>
  <c r="AN322" i="7"/>
  <c r="AN320" i="7"/>
  <c r="AN192" i="7"/>
  <c r="AN189" i="7"/>
  <c r="AN257" i="7"/>
  <c r="AN144" i="7"/>
  <c r="AN221" i="7"/>
  <c r="AN187" i="7"/>
  <c r="AN331" i="7"/>
  <c r="AN238" i="7"/>
  <c r="AN282" i="7"/>
  <c r="AN400" i="7"/>
  <c r="AN387" i="7"/>
  <c r="AN270" i="7"/>
  <c r="AN317" i="7"/>
  <c r="AN382" i="7"/>
  <c r="AN271" i="7"/>
  <c r="AN389" i="7"/>
  <c r="AN281" i="7"/>
  <c r="AN316" i="7"/>
  <c r="AN319" i="7"/>
  <c r="AN304" i="7"/>
  <c r="AN313" i="7"/>
  <c r="AN306" i="7"/>
  <c r="AN371" i="7"/>
  <c r="AN18" i="7"/>
  <c r="AN40" i="7"/>
  <c r="AN148" i="7"/>
  <c r="AN22" i="7"/>
  <c r="AN51" i="7"/>
  <c r="AN71" i="7"/>
  <c r="AN85" i="7"/>
  <c r="AN123" i="7"/>
  <c r="AN32" i="7"/>
  <c r="AN10" i="7"/>
  <c r="AN80" i="7"/>
  <c r="AN113" i="7"/>
  <c r="AN151" i="7"/>
  <c r="AN106" i="7"/>
  <c r="AN139" i="7"/>
  <c r="AN166" i="7"/>
  <c r="AN153" i="7"/>
  <c r="AN53" i="7"/>
  <c r="AN170" i="7"/>
  <c r="AN41" i="7"/>
  <c r="AN111" i="7"/>
  <c r="AN125" i="7"/>
  <c r="AN160" i="7"/>
  <c r="AN226" i="7"/>
  <c r="AN182" i="7"/>
  <c r="AN197" i="7"/>
  <c r="AN223" i="7"/>
  <c r="AN146" i="7"/>
  <c r="AN261" i="7"/>
  <c r="AN249" i="7"/>
  <c r="AN244" i="7"/>
  <c r="AN209" i="7"/>
  <c r="AN177" i="7"/>
  <c r="AN196" i="7"/>
  <c r="AN374" i="7"/>
  <c r="AN176" i="7"/>
  <c r="AN273" i="7"/>
  <c r="AN239" i="7"/>
  <c r="AN355" i="7"/>
  <c r="AN283" i="7"/>
  <c r="AN288" i="7"/>
  <c r="AN277" i="7"/>
  <c r="AN347" i="7"/>
  <c r="AN383" i="7"/>
  <c r="AN272" i="7"/>
  <c r="AN291" i="7"/>
  <c r="AN349" i="7"/>
  <c r="AN344" i="7"/>
  <c r="AN247" i="7"/>
  <c r="AN384" i="7"/>
  <c r="AN348" i="7"/>
  <c r="AN336" i="7"/>
  <c r="AN334" i="7"/>
  <c r="AN284" i="7"/>
  <c r="AN301" i="7"/>
  <c r="AN38" i="7"/>
  <c r="AN27" i="7"/>
  <c r="AN115" i="7"/>
  <c r="AN87" i="7"/>
  <c r="AN101" i="7"/>
  <c r="AN100" i="7"/>
  <c r="AN31" i="7"/>
  <c r="AN56" i="7"/>
  <c r="AN219" i="7"/>
  <c r="AN89" i="7"/>
  <c r="AN82" i="7"/>
  <c r="AN96" i="7"/>
  <c r="AN129" i="7"/>
  <c r="AN210" i="7"/>
  <c r="AN58" i="7"/>
  <c r="AN155" i="7"/>
  <c r="AN66" i="7"/>
  <c r="AN200" i="7"/>
  <c r="AN329" i="7"/>
  <c r="AN168" i="7"/>
  <c r="AN205" i="7"/>
  <c r="AN229" i="7"/>
  <c r="AN183" i="7"/>
  <c r="AN259" i="7"/>
  <c r="AN162" i="7"/>
  <c r="AN204" i="7"/>
  <c r="AN222" i="7"/>
  <c r="AN289" i="7"/>
  <c r="AN394" i="7"/>
  <c r="AN278" i="7"/>
  <c r="AN325" i="7"/>
  <c r="AN390" i="7"/>
  <c r="AN377" i="7"/>
  <c r="AN367" i="7"/>
  <c r="AN279" i="7"/>
  <c r="AN397" i="7"/>
  <c r="AN324" i="7"/>
  <c r="AN327" i="7"/>
  <c r="AN346" i="7"/>
  <c r="AN37" i="7"/>
  <c r="AN4" i="7"/>
  <c r="AN118" i="7"/>
  <c r="AN20" i="7"/>
  <c r="AN26" i="7"/>
  <c r="AN15" i="7"/>
  <c r="AN14" i="7"/>
  <c r="AN7" i="7"/>
  <c r="AN63" i="7"/>
  <c r="AN77" i="7"/>
  <c r="AN36" i="7"/>
  <c r="AN76" i="7"/>
  <c r="AN141" i="7"/>
  <c r="AN103" i="7"/>
  <c r="AN117" i="7"/>
  <c r="AN33" i="7"/>
  <c r="AN12" i="7"/>
  <c r="AN126" i="7"/>
  <c r="AN52" i="7"/>
  <c r="AN72" i="7"/>
  <c r="AN105" i="7"/>
  <c r="AN185" i="7"/>
  <c r="AN163" i="7"/>
  <c r="AN60" i="7"/>
  <c r="AN191" i="7"/>
  <c r="AN285" i="7"/>
  <c r="AN195" i="7"/>
  <c r="AN252" i="7"/>
  <c r="AN373" i="7"/>
  <c r="AN201" i="7"/>
  <c r="AN251" i="7"/>
  <c r="AN232" i="7"/>
  <c r="AN211" i="7"/>
  <c r="AN248" i="7"/>
  <c r="AN242" i="7"/>
  <c r="AN217" i="7"/>
  <c r="AN230" i="7"/>
  <c r="AN228" i="7"/>
  <c r="AN215" i="7"/>
  <c r="AN235" i="7"/>
  <c r="AN368" i="7"/>
  <c r="AN275" i="7"/>
  <c r="AN295" i="7"/>
  <c r="AN350" i="7"/>
  <c r="AN299" i="7"/>
  <c r="AN357" i="7"/>
  <c r="AN337" i="7"/>
  <c r="AN330" i="7"/>
  <c r="AN255" i="7"/>
  <c r="AN274" i="7"/>
  <c r="AN392" i="7"/>
  <c r="AN24" i="7"/>
  <c r="AN3" i="7"/>
  <c r="AN44" i="7"/>
  <c r="AN6" i="7"/>
  <c r="AN145" i="7"/>
  <c r="AN107" i="7"/>
  <c r="AN34" i="7"/>
  <c r="AN9" i="7"/>
  <c r="AN23" i="7"/>
  <c r="AN48" i="7"/>
  <c r="AN81" i="7"/>
  <c r="AN212" i="7"/>
  <c r="AN74" i="7"/>
  <c r="AN120" i="7"/>
  <c r="AN142" i="7"/>
  <c r="AN193" i="7"/>
  <c r="AN147" i="7"/>
  <c r="AN122" i="7"/>
  <c r="AN172" i="7"/>
  <c r="AN78" i="7"/>
  <c r="AN30" i="7"/>
  <c r="AN83" i="7"/>
  <c r="AN79" i="7"/>
  <c r="AN93" i="7"/>
  <c r="AN130" i="7"/>
  <c r="AN186" i="7"/>
  <c r="AN184" i="7"/>
  <c r="AN206" i="7"/>
  <c r="AN256" i="7"/>
  <c r="AN280" i="7"/>
  <c r="AN379" i="7"/>
  <c r="AN208" i="7"/>
  <c r="AN276" i="7"/>
  <c r="AN342" i="7"/>
  <c r="AN268" i="7"/>
  <c r="AN250" i="7"/>
  <c r="AN401" i="7"/>
  <c r="AN154" i="7"/>
  <c r="AN246" i="7"/>
  <c r="AN287" i="7"/>
  <c r="AN300" i="7"/>
  <c r="AN340" i="7"/>
  <c r="AN362" i="7"/>
  <c r="AN258" i="7"/>
  <c r="AN309" i="7"/>
  <c r="AN386" i="7"/>
  <c r="AN351" i="7"/>
  <c r="AN391" i="7"/>
  <c r="AN352" i="7"/>
  <c r="AN286" i="7"/>
  <c r="AN333" i="7"/>
  <c r="AN398" i="7"/>
  <c r="AN269" i="7"/>
  <c r="AN375" i="7"/>
  <c r="AN8" i="7"/>
  <c r="AN17" i="7"/>
  <c r="AN46" i="7"/>
  <c r="AN55" i="7"/>
  <c r="AN69" i="7"/>
  <c r="AN28" i="7"/>
  <c r="AN68" i="7"/>
  <c r="AN57" i="7"/>
  <c r="AN127" i="7"/>
  <c r="AN171" i="7"/>
  <c r="AN143" i="7"/>
  <c r="AN50" i="7"/>
  <c r="AN39" i="7"/>
  <c r="AN64" i="7"/>
  <c r="AN97" i="7"/>
  <c r="AN159" i="7"/>
  <c r="AN70" i="7"/>
  <c r="AN157" i="7"/>
  <c r="AN116" i="7"/>
  <c r="AN158" i="7"/>
  <c r="AN136" i="7"/>
  <c r="AN188" i="7"/>
  <c r="AN124" i="7"/>
  <c r="AN236" i="7"/>
  <c r="AN181" i="7"/>
  <c r="AN318" i="7"/>
  <c r="AN173" i="7"/>
  <c r="AN265" i="7"/>
  <c r="AN264" i="7"/>
  <c r="AN254" i="7"/>
  <c r="AN213" i="7"/>
  <c r="AN202" i="7"/>
  <c r="AN207" i="7"/>
  <c r="AN227" i="7"/>
  <c r="AN308" i="7"/>
  <c r="AN224" i="7"/>
  <c r="AN262" i="7"/>
  <c r="AN233" i="7"/>
  <c r="AN190" i="7"/>
  <c r="AN218" i="7"/>
  <c r="AN290" i="7"/>
  <c r="AN321" i="7"/>
  <c r="AN314" i="7"/>
  <c r="AN302" i="7"/>
  <c r="AN303" i="7"/>
  <c r="AN380" i="7"/>
  <c r="AN358" i="7"/>
  <c r="AN307" i="7"/>
  <c r="AN370" i="7"/>
  <c r="AN365" i="7"/>
  <c r="AN393" i="7"/>
  <c r="AN353" i="7"/>
  <c r="AN338" i="7"/>
  <c r="AN35" i="7"/>
  <c r="AN134" i="7"/>
  <c r="AN91" i="7"/>
  <c r="AN112" i="7"/>
  <c r="AN45" i="7"/>
  <c r="AN179" i="7"/>
  <c r="AN260" i="7"/>
  <c r="AN231" i="7"/>
  <c r="AN199" i="7"/>
  <c r="AN220" i="7"/>
  <c r="AN356" i="7"/>
  <c r="AN267" i="7"/>
  <c r="AN343" i="7"/>
  <c r="AN152" i="7"/>
  <c r="AN174" i="7"/>
  <c r="AN198" i="7"/>
  <c r="AN234" i="7"/>
  <c r="AN310" i="7"/>
  <c r="AN388" i="7"/>
  <c r="AN381" i="7"/>
  <c r="AN376" i="7"/>
  <c r="AN311" i="7"/>
  <c r="AN339" i="7"/>
  <c r="AN298" i="7"/>
  <c r="AN296" i="7"/>
  <c r="AN305" i="7"/>
  <c r="AN372" i="7"/>
  <c r="AN361" i="7"/>
  <c r="AN363" i="7"/>
  <c r="AN364" i="7"/>
  <c r="AN360" i="7"/>
  <c r="AN169" i="7"/>
  <c r="AN110" i="7"/>
  <c r="AN150" i="7"/>
  <c r="AN21" i="7"/>
  <c r="AN137" i="7"/>
  <c r="AN19" i="7"/>
  <c r="AN11" i="7"/>
  <c r="AN29" i="7"/>
  <c r="AN25" i="7"/>
  <c r="AN43" i="7"/>
  <c r="AN49" i="7"/>
  <c r="AN119" i="7"/>
  <c r="AN161" i="7"/>
  <c r="AN133" i="7"/>
  <c r="AN132" i="7"/>
  <c r="AN42" i="7"/>
  <c r="AN88" i="7"/>
  <c r="AN121" i="7"/>
  <c r="AN167" i="7"/>
  <c r="AN114" i="7"/>
  <c r="AN128" i="7"/>
  <c r="AN216" i="7"/>
  <c r="AN90" i="7"/>
  <c r="AN164" i="7"/>
  <c r="AN59" i="7"/>
  <c r="AN47" i="7"/>
  <c r="AN61" i="7"/>
  <c r="AN98" i="7"/>
  <c r="AN294" i="7"/>
  <c r="AN341" i="7"/>
  <c r="AN194" i="7"/>
  <c r="AN245" i="7"/>
  <c r="AN175" i="7"/>
  <c r="AN180" i="7"/>
  <c r="AN266" i="7"/>
  <c r="AN203" i="7"/>
  <c r="AN240" i="7"/>
  <c r="AN225" i="7"/>
  <c r="AN326" i="7"/>
  <c r="AN385" i="7"/>
  <c r="AN345" i="7"/>
  <c r="AN237" i="7"/>
  <c r="AN292" i="7"/>
  <c r="AN332" i="7"/>
  <c r="AN335" i="7"/>
  <c r="AN354" i="7"/>
  <c r="AN297" i="7"/>
  <c r="AN328" i="7"/>
  <c r="AN323" i="7"/>
  <c r="AN359" i="7"/>
  <c r="AN396" i="7"/>
  <c r="AN293" i="7"/>
  <c r="AN399" i="7"/>
  <c r="AN315" i="7"/>
  <c r="AN395" i="7"/>
  <c r="AN369" i="7"/>
  <c r="AN366" i="7"/>
  <c r="AN378" i="7"/>
  <c r="T28" i="1" a="1"/>
  <c r="T28" i="1" s="1"/>
  <c r="S28" i="1" a="1"/>
  <c r="S28" i="1" s="1"/>
  <c r="R28" i="1" a="1"/>
  <c r="R28" i="1" s="1"/>
  <c r="AB28" i="1" a="1"/>
  <c r="AB28" i="1" s="1"/>
  <c r="AA28" i="1" a="1"/>
  <c r="AA28" i="1" s="1"/>
  <c r="Z28" i="1" a="1"/>
  <c r="Z28" i="1" s="1"/>
  <c r="Y28" i="1" a="1"/>
  <c r="Y28" i="1" s="1"/>
  <c r="X28" i="1" a="1"/>
  <c r="X28" i="1" s="1"/>
  <c r="W28" i="1" a="1"/>
  <c r="W28" i="1" s="1"/>
  <c r="V28" i="1" a="1"/>
  <c r="V28" i="1" s="1"/>
  <c r="U28" i="1" a="1"/>
  <c r="U28" i="1" s="1"/>
  <c r="AM2" i="7"/>
  <c r="N43" i="7"/>
  <c r="AM43" i="7"/>
  <c r="N21" i="7"/>
  <c r="AM21" i="7"/>
  <c r="N108" i="7"/>
  <c r="AM108" i="7"/>
  <c r="N125" i="7"/>
  <c r="AM125" i="7"/>
  <c r="N130" i="7"/>
  <c r="AM130" i="7"/>
  <c r="N273" i="7"/>
  <c r="AM273" i="7"/>
  <c r="N222" i="7"/>
  <c r="AM222" i="7"/>
  <c r="N359" i="7"/>
  <c r="AM359" i="7"/>
  <c r="N311" i="7"/>
  <c r="AM311" i="7"/>
  <c r="N401" i="7"/>
  <c r="AM401" i="7"/>
  <c r="N142" i="7"/>
  <c r="AM142" i="7"/>
  <c r="N33" i="7"/>
  <c r="AM33" i="7"/>
  <c r="N26" i="7"/>
  <c r="AM26" i="7"/>
  <c r="N134" i="7"/>
  <c r="AM134" i="7"/>
  <c r="N54" i="7"/>
  <c r="AM54" i="7"/>
  <c r="N70" i="7"/>
  <c r="AM70" i="7"/>
  <c r="N27" i="7"/>
  <c r="AM27" i="7"/>
  <c r="N123" i="7"/>
  <c r="AM123" i="7"/>
  <c r="N59" i="7"/>
  <c r="AM59" i="7"/>
  <c r="N7" i="7"/>
  <c r="AM7" i="7"/>
  <c r="N35" i="7"/>
  <c r="AM35" i="7"/>
  <c r="N158" i="7"/>
  <c r="AM158" i="7"/>
  <c r="N100" i="7"/>
  <c r="AM100" i="7"/>
  <c r="N148" i="7"/>
  <c r="AM148" i="7"/>
  <c r="N86" i="7"/>
  <c r="AM86" i="7"/>
  <c r="N57" i="7"/>
  <c r="AM57" i="7"/>
  <c r="N127" i="7"/>
  <c r="AM127" i="7"/>
  <c r="N143" i="7"/>
  <c r="AM143" i="7"/>
  <c r="N165" i="7"/>
  <c r="AM165" i="7"/>
  <c r="N166" i="7"/>
  <c r="AM166" i="7"/>
  <c r="N82" i="7"/>
  <c r="AM82" i="7"/>
  <c r="N96" i="7"/>
  <c r="AM96" i="7"/>
  <c r="N129" i="7"/>
  <c r="AM129" i="7"/>
  <c r="N203" i="7"/>
  <c r="AM203" i="7"/>
  <c r="N122" i="7"/>
  <c r="AM122" i="7"/>
  <c r="N72" i="7"/>
  <c r="AM72" i="7"/>
  <c r="N105" i="7"/>
  <c r="AM105" i="7"/>
  <c r="N169" i="7"/>
  <c r="AM169" i="7"/>
  <c r="N163" i="7"/>
  <c r="AM163" i="7"/>
  <c r="N80" i="7"/>
  <c r="AM80" i="7"/>
  <c r="N113" i="7"/>
  <c r="AM113" i="7"/>
  <c r="N181" i="7"/>
  <c r="AM181" i="7"/>
  <c r="N208" i="7"/>
  <c r="AM208" i="7"/>
  <c r="N178" i="7"/>
  <c r="AM178" i="7"/>
  <c r="N200" i="7"/>
  <c r="AM200" i="7"/>
  <c r="N213" i="7"/>
  <c r="AM213" i="7"/>
  <c r="N281" i="7"/>
  <c r="AM281" i="7"/>
  <c r="N266" i="7"/>
  <c r="AM266" i="7"/>
  <c r="N212" i="7"/>
  <c r="AM212" i="7"/>
  <c r="N312" i="7"/>
  <c r="AM312" i="7"/>
  <c r="N250" i="7"/>
  <c r="AM250" i="7"/>
  <c r="N215" i="7"/>
  <c r="AM215" i="7"/>
  <c r="N235" i="7"/>
  <c r="AM235" i="7"/>
  <c r="N160" i="7"/>
  <c r="AM160" i="7"/>
  <c r="N182" i="7"/>
  <c r="AM182" i="7"/>
  <c r="N197" i="7"/>
  <c r="AM197" i="7"/>
  <c r="N223" i="7"/>
  <c r="AM223" i="7"/>
  <c r="N383" i="7"/>
  <c r="AM383" i="7"/>
  <c r="N295" i="7"/>
  <c r="AM295" i="7"/>
  <c r="N350" i="7"/>
  <c r="AM350" i="7"/>
  <c r="N390" i="7"/>
  <c r="AM390" i="7"/>
  <c r="N367" i="7"/>
  <c r="AM367" i="7"/>
  <c r="N334" i="7"/>
  <c r="AM334" i="7"/>
  <c r="N324" i="7"/>
  <c r="AM324" i="7"/>
  <c r="N327" i="7"/>
  <c r="AM327" i="7"/>
  <c r="N346" i="7"/>
  <c r="AM346" i="7"/>
  <c r="N309" i="7"/>
  <c r="AM309" i="7"/>
  <c r="N374" i="7"/>
  <c r="AM374" i="7"/>
  <c r="N18" i="7"/>
  <c r="AM18" i="7"/>
  <c r="N4" i="7"/>
  <c r="AM4" i="7"/>
  <c r="N24" i="7"/>
  <c r="AM24" i="7"/>
  <c r="N77" i="7"/>
  <c r="AM77" i="7"/>
  <c r="N41" i="7"/>
  <c r="AM41" i="7"/>
  <c r="N111" i="7"/>
  <c r="AM111" i="7"/>
  <c r="N228" i="7"/>
  <c r="AM228" i="7"/>
  <c r="N191" i="7"/>
  <c r="AM191" i="7"/>
  <c r="N204" i="7"/>
  <c r="AM204" i="7"/>
  <c r="N349" i="7"/>
  <c r="AM349" i="7"/>
  <c r="N373" i="7"/>
  <c r="AM373" i="7"/>
  <c r="N106" i="7"/>
  <c r="AM106" i="7"/>
  <c r="N167" i="7"/>
  <c r="AM167" i="7"/>
  <c r="N53" i="7"/>
  <c r="AM53" i="7"/>
  <c r="N199" i="7"/>
  <c r="AM199" i="7"/>
  <c r="N292" i="7"/>
  <c r="AM292" i="7"/>
  <c r="N259" i="7"/>
  <c r="AM259" i="7"/>
  <c r="N384" i="7"/>
  <c r="AM384" i="7"/>
  <c r="N44" i="7"/>
  <c r="AM44" i="7"/>
  <c r="N29" i="7"/>
  <c r="AM29" i="7"/>
  <c r="N131" i="7"/>
  <c r="AM131" i="7"/>
  <c r="N67" i="7"/>
  <c r="AM67" i="7"/>
  <c r="N5" i="7"/>
  <c r="AM5" i="7"/>
  <c r="N19" i="7"/>
  <c r="AM19" i="7"/>
  <c r="N180" i="7"/>
  <c r="AM180" i="7"/>
  <c r="N45" i="7"/>
  <c r="AM45" i="7"/>
  <c r="N76" i="7"/>
  <c r="AM76" i="7"/>
  <c r="N103" i="7"/>
  <c r="AM103" i="7"/>
  <c r="N117" i="7"/>
  <c r="AM117" i="7"/>
  <c r="N51" i="7"/>
  <c r="AM51" i="7"/>
  <c r="N116" i="7"/>
  <c r="AM116" i="7"/>
  <c r="N30" i="7"/>
  <c r="AM30" i="7"/>
  <c r="N157" i="7"/>
  <c r="AM157" i="7"/>
  <c r="N79" i="7"/>
  <c r="AM79" i="7"/>
  <c r="N93" i="7"/>
  <c r="AM93" i="7"/>
  <c r="N98" i="7"/>
  <c r="AM98" i="7"/>
  <c r="N87" i="7"/>
  <c r="AM87" i="7"/>
  <c r="N101" i="7"/>
  <c r="AM101" i="7"/>
  <c r="N188" i="7"/>
  <c r="AM188" i="7"/>
  <c r="N231" i="7"/>
  <c r="AM231" i="7"/>
  <c r="N218" i="7"/>
  <c r="AM218" i="7"/>
  <c r="N237" i="7"/>
  <c r="AM237" i="7"/>
  <c r="N189" i="7"/>
  <c r="AM189" i="7"/>
  <c r="N268" i="7"/>
  <c r="AM268" i="7"/>
  <c r="N335" i="7"/>
  <c r="AM335" i="7"/>
  <c r="N368" i="7"/>
  <c r="AM368" i="7"/>
  <c r="N253" i="7"/>
  <c r="AM253" i="7"/>
  <c r="N233" i="7"/>
  <c r="AM233" i="7"/>
  <c r="N314" i="7"/>
  <c r="AM314" i="7"/>
  <c r="N372" i="7"/>
  <c r="AM372" i="7"/>
  <c r="N271" i="7"/>
  <c r="AM271" i="7"/>
  <c r="N300" i="7"/>
  <c r="AM300" i="7"/>
  <c r="N340" i="7"/>
  <c r="AM340" i="7"/>
  <c r="N343" i="7"/>
  <c r="AM343" i="7"/>
  <c r="N362" i="7"/>
  <c r="AM362" i="7"/>
  <c r="N337" i="7"/>
  <c r="AM337" i="7"/>
  <c r="N330" i="7"/>
  <c r="AM330" i="7"/>
  <c r="N279" i="7"/>
  <c r="AM279" i="7"/>
  <c r="N397" i="7"/>
  <c r="AM397" i="7"/>
  <c r="N255" i="7"/>
  <c r="AM255" i="7"/>
  <c r="N274" i="7"/>
  <c r="AM274" i="7"/>
  <c r="N392" i="7"/>
  <c r="AM392" i="7"/>
  <c r="N336" i="7"/>
  <c r="AM336" i="7"/>
  <c r="N17" i="7"/>
  <c r="AM17" i="7"/>
  <c r="N75" i="7"/>
  <c r="AM75" i="7"/>
  <c r="N244" i="7"/>
  <c r="AM244" i="7"/>
  <c r="N389" i="7"/>
  <c r="AM389" i="7"/>
  <c r="N8" i="7"/>
  <c r="AM8" i="7"/>
  <c r="N124" i="7"/>
  <c r="AM124" i="7"/>
  <c r="N275" i="7"/>
  <c r="AM275" i="7"/>
  <c r="N332" i="7"/>
  <c r="AM332" i="7"/>
  <c r="N34" i="7"/>
  <c r="AM34" i="7"/>
  <c r="N161" i="7"/>
  <c r="AM161" i="7"/>
  <c r="N22" i="7"/>
  <c r="AM22" i="7"/>
  <c r="N110" i="7"/>
  <c r="AM110" i="7"/>
  <c r="N13" i="7"/>
  <c r="AM13" i="7"/>
  <c r="N149" i="7"/>
  <c r="AM149" i="7"/>
  <c r="N150" i="7"/>
  <c r="AM150" i="7"/>
  <c r="N74" i="7"/>
  <c r="AM74" i="7"/>
  <c r="N88" i="7"/>
  <c r="AM88" i="7"/>
  <c r="N121" i="7"/>
  <c r="AM121" i="7"/>
  <c r="N195" i="7"/>
  <c r="AM195" i="7"/>
  <c r="N201" i="7"/>
  <c r="AM201" i="7"/>
  <c r="N147" i="7"/>
  <c r="AM147" i="7"/>
  <c r="N136" i="7"/>
  <c r="AM136" i="7"/>
  <c r="N159" i="7"/>
  <c r="AM159" i="7"/>
  <c r="N92" i="7"/>
  <c r="AM92" i="7"/>
  <c r="N196" i="7"/>
  <c r="AM196" i="7"/>
  <c r="N175" i="7"/>
  <c r="AM175" i="7"/>
  <c r="N206" i="7"/>
  <c r="AM206" i="7"/>
  <c r="N198" i="7"/>
  <c r="AM198" i="7"/>
  <c r="N226" i="7"/>
  <c r="AM226" i="7"/>
  <c r="N194" i="7"/>
  <c r="AM194" i="7"/>
  <c r="N230" i="7"/>
  <c r="AM230" i="7"/>
  <c r="N225" i="7"/>
  <c r="AM225" i="7"/>
  <c r="N207" i="7"/>
  <c r="AM207" i="7"/>
  <c r="N227" i="7"/>
  <c r="AM227" i="7"/>
  <c r="N396" i="7"/>
  <c r="AM396" i="7"/>
  <c r="N386" i="7"/>
  <c r="AM386" i="7"/>
  <c r="N152" i="7"/>
  <c r="AM152" i="7"/>
  <c r="N174" i="7"/>
  <c r="AM174" i="7"/>
  <c r="N267" i="7"/>
  <c r="AM267" i="7"/>
  <c r="N173" i="7"/>
  <c r="AM173" i="7"/>
  <c r="N193" i="7"/>
  <c r="AM193" i="7"/>
  <c r="N302" i="7"/>
  <c r="AM302" i="7"/>
  <c r="N356" i="7"/>
  <c r="AM356" i="7"/>
  <c r="N290" i="7"/>
  <c r="AM290" i="7"/>
  <c r="N288" i="7"/>
  <c r="AM288" i="7"/>
  <c r="N352" i="7"/>
  <c r="AM352" i="7"/>
  <c r="N339" i="7"/>
  <c r="AM339" i="7"/>
  <c r="N269" i="7"/>
  <c r="AM269" i="7"/>
  <c r="N345" i="7"/>
  <c r="AM345" i="7"/>
  <c r="N353" i="7"/>
  <c r="AM353" i="7"/>
  <c r="N375" i="7"/>
  <c r="AM375" i="7"/>
  <c r="N342" i="7"/>
  <c r="AM342" i="7"/>
  <c r="N63" i="7"/>
  <c r="AM63" i="7"/>
  <c r="N65" i="7"/>
  <c r="AM65" i="7"/>
  <c r="N272" i="7"/>
  <c r="AM272" i="7"/>
  <c r="N303" i="7"/>
  <c r="AM303" i="7"/>
  <c r="N394" i="7"/>
  <c r="AM394" i="7"/>
  <c r="N395" i="7"/>
  <c r="AM395" i="7"/>
  <c r="N304" i="7"/>
  <c r="AM304" i="7"/>
  <c r="N11" i="7"/>
  <c r="AM11" i="7"/>
  <c r="N12" i="7"/>
  <c r="AM12" i="7"/>
  <c r="N155" i="7"/>
  <c r="AM155" i="7"/>
  <c r="N210" i="7"/>
  <c r="AM210" i="7"/>
  <c r="N258" i="7"/>
  <c r="AM258" i="7"/>
  <c r="N192" i="7"/>
  <c r="AM192" i="7"/>
  <c r="N38" i="7"/>
  <c r="AM38" i="7"/>
  <c r="N140" i="7"/>
  <c r="AM140" i="7"/>
  <c r="N14" i="7"/>
  <c r="AM14" i="7"/>
  <c r="N126" i="7"/>
  <c r="AM126" i="7"/>
  <c r="N32" i="7"/>
  <c r="AM32" i="7"/>
  <c r="N28" i="7"/>
  <c r="AM28" i="7"/>
  <c r="N68" i="7"/>
  <c r="AM68" i="7"/>
  <c r="N276" i="7"/>
  <c r="AM276" i="7"/>
  <c r="N95" i="7"/>
  <c r="AM95" i="7"/>
  <c r="N109" i="7"/>
  <c r="AM109" i="7"/>
  <c r="N50" i="7"/>
  <c r="AM50" i="7"/>
  <c r="N39" i="7"/>
  <c r="AM39" i="7"/>
  <c r="N64" i="7"/>
  <c r="AM64" i="7"/>
  <c r="N97" i="7"/>
  <c r="AM97" i="7"/>
  <c r="N153" i="7"/>
  <c r="AM153" i="7"/>
  <c r="N90" i="7"/>
  <c r="AM90" i="7"/>
  <c r="N164" i="7"/>
  <c r="AM164" i="7"/>
  <c r="N46" i="7"/>
  <c r="AM46" i="7"/>
  <c r="N73" i="7"/>
  <c r="AM73" i="7"/>
  <c r="N23" i="7"/>
  <c r="AM23" i="7"/>
  <c r="N48" i="7"/>
  <c r="AM48" i="7"/>
  <c r="N81" i="7"/>
  <c r="AM81" i="7"/>
  <c r="N252" i="7"/>
  <c r="AM252" i="7"/>
  <c r="N179" i="7"/>
  <c r="AM179" i="7"/>
  <c r="N209" i="7"/>
  <c r="AM209" i="7"/>
  <c r="N243" i="7"/>
  <c r="AM243" i="7"/>
  <c r="N263" i="7"/>
  <c r="AM263" i="7"/>
  <c r="N242" i="7"/>
  <c r="AM242" i="7"/>
  <c r="N211" i="7"/>
  <c r="AM211" i="7"/>
  <c r="N144" i="7"/>
  <c r="AM144" i="7"/>
  <c r="N278" i="7"/>
  <c r="AM278" i="7"/>
  <c r="N325" i="7"/>
  <c r="AM325" i="7"/>
  <c r="N186" i="7"/>
  <c r="AM186" i="7"/>
  <c r="N238" i="7"/>
  <c r="AM238" i="7"/>
  <c r="N248" i="7"/>
  <c r="AM248" i="7"/>
  <c r="N214" i="7"/>
  <c r="AM214" i="7"/>
  <c r="N321" i="7"/>
  <c r="AM321" i="7"/>
  <c r="N184" i="7"/>
  <c r="AM184" i="7"/>
  <c r="N323" i="7"/>
  <c r="AM323" i="7"/>
  <c r="N387" i="7"/>
  <c r="AM387" i="7"/>
  <c r="N381" i="7"/>
  <c r="AM381" i="7"/>
  <c r="N257" i="7"/>
  <c r="AM257" i="7"/>
  <c r="N285" i="7"/>
  <c r="AM285" i="7"/>
  <c r="N377" i="7"/>
  <c r="AM377" i="7"/>
  <c r="N391" i="7"/>
  <c r="AM391" i="7"/>
  <c r="N358" i="7"/>
  <c r="AM358" i="7"/>
  <c r="N380" i="7"/>
  <c r="AM380" i="7"/>
  <c r="N370" i="7"/>
  <c r="AM370" i="7"/>
  <c r="N286" i="7"/>
  <c r="AM286" i="7"/>
  <c r="N333" i="7"/>
  <c r="AM333" i="7"/>
  <c r="N398" i="7"/>
  <c r="AM398" i="7"/>
  <c r="N338" i="7"/>
  <c r="AM338" i="7"/>
  <c r="N287" i="7"/>
  <c r="AM287" i="7"/>
  <c r="N355" i="7"/>
  <c r="AM355" i="7"/>
  <c r="N141" i="7"/>
  <c r="AM141" i="7"/>
  <c r="N3" i="7"/>
  <c r="AM3" i="7"/>
  <c r="N115" i="7"/>
  <c r="AM115" i="7"/>
  <c r="N118" i="7"/>
  <c r="AM118" i="7"/>
  <c r="N49" i="7"/>
  <c r="AM49" i="7"/>
  <c r="N119" i="7"/>
  <c r="AM119" i="7"/>
  <c r="N133" i="7"/>
  <c r="AM133" i="7"/>
  <c r="N315" i="7"/>
  <c r="AM315" i="7"/>
  <c r="N202" i="7"/>
  <c r="AM202" i="7"/>
  <c r="N280" i="7"/>
  <c r="AM280" i="7"/>
  <c r="N162" i="7"/>
  <c r="AM162" i="7"/>
  <c r="N291" i="7"/>
  <c r="AM291" i="7"/>
  <c r="N316" i="7"/>
  <c r="AM316" i="7"/>
  <c r="N366" i="7"/>
  <c r="AM366" i="7"/>
  <c r="N313" i="7"/>
  <c r="AM313" i="7"/>
  <c r="N240" i="7"/>
  <c r="AM240" i="7"/>
  <c r="N120" i="7"/>
  <c r="AM120" i="7"/>
  <c r="N307" i="7"/>
  <c r="AM307" i="7"/>
  <c r="N354" i="7"/>
  <c r="AM354" i="7"/>
  <c r="N221" i="7"/>
  <c r="AM221" i="7"/>
  <c r="N351" i="7"/>
  <c r="AM351" i="7"/>
  <c r="N236" i="7"/>
  <c r="AM236" i="7"/>
  <c r="N320" i="7"/>
  <c r="AM320" i="7"/>
  <c r="N138" i="7"/>
  <c r="AM138" i="7"/>
  <c r="N364" i="7"/>
  <c r="AM364" i="7"/>
  <c r="N322" i="7"/>
  <c r="AM322" i="7"/>
  <c r="N62" i="7"/>
  <c r="AM62" i="7"/>
  <c r="N16" i="7"/>
  <c r="AM16" i="7"/>
  <c r="N91" i="7"/>
  <c r="AM91" i="7"/>
  <c r="N6" i="7"/>
  <c r="AM6" i="7"/>
  <c r="N36" i="7"/>
  <c r="AM36" i="7"/>
  <c r="N139" i="7"/>
  <c r="AM139" i="7"/>
  <c r="N71" i="7"/>
  <c r="AM71" i="7"/>
  <c r="N85" i="7"/>
  <c r="AM85" i="7"/>
  <c r="N84" i="7"/>
  <c r="AM84" i="7"/>
  <c r="N47" i="7"/>
  <c r="AM47" i="7"/>
  <c r="N61" i="7"/>
  <c r="AM61" i="7"/>
  <c r="N102" i="7"/>
  <c r="AM102" i="7"/>
  <c r="N107" i="7"/>
  <c r="AM107" i="7"/>
  <c r="N172" i="7"/>
  <c r="AM172" i="7"/>
  <c r="N66" i="7"/>
  <c r="AM66" i="7"/>
  <c r="N187" i="7"/>
  <c r="AM187" i="7"/>
  <c r="N55" i="7"/>
  <c r="AM55" i="7"/>
  <c r="N177" i="7"/>
  <c r="AM177" i="7"/>
  <c r="N69" i="7"/>
  <c r="AM69" i="7"/>
  <c r="N348" i="7"/>
  <c r="AM348" i="7"/>
  <c r="N400" i="7"/>
  <c r="AM400" i="7"/>
  <c r="N146" i="7"/>
  <c r="AM146" i="7"/>
  <c r="N249" i="7"/>
  <c r="AM249" i="7"/>
  <c r="N369" i="7"/>
  <c r="AM369" i="7"/>
  <c r="N254" i="7"/>
  <c r="AM254" i="7"/>
  <c r="N251" i="7"/>
  <c r="AM251" i="7"/>
  <c r="N260" i="7"/>
  <c r="AM260" i="7"/>
  <c r="N265" i="7"/>
  <c r="AM265" i="7"/>
  <c r="N388" i="7"/>
  <c r="AM388" i="7"/>
  <c r="N256" i="7"/>
  <c r="AM256" i="7"/>
  <c r="N229" i="7"/>
  <c r="AM229" i="7"/>
  <c r="N277" i="7"/>
  <c r="AM277" i="7"/>
  <c r="N156" i="7"/>
  <c r="AM156" i="7"/>
  <c r="N170" i="7"/>
  <c r="AM170" i="7"/>
  <c r="N284" i="7"/>
  <c r="AM284" i="7"/>
  <c r="N326" i="7"/>
  <c r="AM326" i="7"/>
  <c r="N331" i="7"/>
  <c r="AM331" i="7"/>
  <c r="N297" i="7"/>
  <c r="AM297" i="7"/>
  <c r="N298" i="7"/>
  <c r="AM298" i="7"/>
  <c r="N296" i="7"/>
  <c r="AM296" i="7"/>
  <c r="N305" i="7"/>
  <c r="AM305" i="7"/>
  <c r="N371" i="7"/>
  <c r="AM371" i="7"/>
  <c r="N361" i="7"/>
  <c r="AM361" i="7"/>
  <c r="N365" i="7"/>
  <c r="AM365" i="7"/>
  <c r="N393" i="7"/>
  <c r="AM393" i="7"/>
  <c r="N363" i="7"/>
  <c r="AM363" i="7"/>
  <c r="N360" i="7"/>
  <c r="AM360" i="7"/>
  <c r="N25" i="7"/>
  <c r="AM25" i="7"/>
  <c r="N78" i="7"/>
  <c r="AM78" i="7"/>
  <c r="N9" i="7"/>
  <c r="AM9" i="7"/>
  <c r="N224" i="7"/>
  <c r="AM224" i="7"/>
  <c r="N135" i="7"/>
  <c r="AM135" i="7"/>
  <c r="N58" i="7"/>
  <c r="AM58" i="7"/>
  <c r="N379" i="7"/>
  <c r="AM379" i="7"/>
  <c r="N308" i="7"/>
  <c r="AM308" i="7"/>
  <c r="N385" i="7"/>
  <c r="AM385" i="7"/>
  <c r="N319" i="7"/>
  <c r="AM319" i="7"/>
  <c r="N347" i="7"/>
  <c r="AM347" i="7"/>
  <c r="N306" i="7"/>
  <c r="AM306" i="7"/>
  <c r="N40" i="7"/>
  <c r="AM40" i="7"/>
  <c r="N52" i="7"/>
  <c r="AM52" i="7"/>
  <c r="N83" i="7"/>
  <c r="AM83" i="7"/>
  <c r="N262" i="7"/>
  <c r="AM262" i="7"/>
  <c r="N154" i="7"/>
  <c r="AM154" i="7"/>
  <c r="N241" i="7"/>
  <c r="AM241" i="7"/>
  <c r="N329" i="7"/>
  <c r="AM329" i="7"/>
  <c r="N247" i="7"/>
  <c r="AM247" i="7"/>
  <c r="N328" i="7"/>
  <c r="AM328" i="7"/>
  <c r="N301" i="7"/>
  <c r="AM301" i="7"/>
  <c r="N99" i="7"/>
  <c r="AM99" i="7"/>
  <c r="N15" i="7"/>
  <c r="AM15" i="7"/>
  <c r="N37" i="7"/>
  <c r="AM37" i="7"/>
  <c r="N10" i="7"/>
  <c r="AM10" i="7"/>
  <c r="N132" i="7"/>
  <c r="AM132" i="7"/>
  <c r="N42" i="7"/>
  <c r="AM42" i="7"/>
  <c r="N31" i="7"/>
  <c r="AM31" i="7"/>
  <c r="N56" i="7"/>
  <c r="AM56" i="7"/>
  <c r="N89" i="7"/>
  <c r="AM89" i="7"/>
  <c r="N114" i="7"/>
  <c r="AM114" i="7"/>
  <c r="N128" i="7"/>
  <c r="AM128" i="7"/>
  <c r="N145" i="7"/>
  <c r="AM145" i="7"/>
  <c r="N94" i="7"/>
  <c r="AM94" i="7"/>
  <c r="N104" i="7"/>
  <c r="AM104" i="7"/>
  <c r="N171" i="7"/>
  <c r="AM171" i="7"/>
  <c r="N137" i="7"/>
  <c r="AM137" i="7"/>
  <c r="N20" i="7"/>
  <c r="AM20" i="7"/>
  <c r="N60" i="7"/>
  <c r="AM60" i="7"/>
  <c r="N112" i="7"/>
  <c r="AM112" i="7"/>
  <c r="N151" i="7"/>
  <c r="AM151" i="7"/>
  <c r="N217" i="7"/>
  <c r="AM217" i="7"/>
  <c r="N261" i="7"/>
  <c r="AM261" i="7"/>
  <c r="N168" i="7"/>
  <c r="AM168" i="7"/>
  <c r="N190" i="7"/>
  <c r="AM190" i="7"/>
  <c r="N205" i="7"/>
  <c r="AM205" i="7"/>
  <c r="N185" i="7"/>
  <c r="AM185" i="7"/>
  <c r="N219" i="7"/>
  <c r="AM219" i="7"/>
  <c r="N183" i="7"/>
  <c r="AM183" i="7"/>
  <c r="N245" i="7"/>
  <c r="AM245" i="7"/>
  <c r="N289" i="7"/>
  <c r="AM289" i="7"/>
  <c r="N234" i="7"/>
  <c r="AM234" i="7"/>
  <c r="N232" i="7"/>
  <c r="AM232" i="7"/>
  <c r="N282" i="7"/>
  <c r="AM282" i="7"/>
  <c r="N220" i="7"/>
  <c r="AM220" i="7"/>
  <c r="N176" i="7"/>
  <c r="AM176" i="7"/>
  <c r="N299" i="7"/>
  <c r="AM299" i="7"/>
  <c r="N357" i="7"/>
  <c r="AM357" i="7"/>
  <c r="N264" i="7"/>
  <c r="AM264" i="7"/>
  <c r="N216" i="7"/>
  <c r="AM216" i="7"/>
  <c r="N246" i="7"/>
  <c r="AM246" i="7"/>
  <c r="N270" i="7"/>
  <c r="AM270" i="7"/>
  <c r="N317" i="7"/>
  <c r="AM317" i="7"/>
  <c r="N382" i="7"/>
  <c r="AM382" i="7"/>
  <c r="N239" i="7"/>
  <c r="AM239" i="7"/>
  <c r="N376" i="7"/>
  <c r="AM376" i="7"/>
  <c r="N344" i="7"/>
  <c r="AM344" i="7"/>
  <c r="N293" i="7"/>
  <c r="AM293" i="7"/>
  <c r="N399" i="7"/>
  <c r="AM399" i="7"/>
  <c r="N318" i="7"/>
  <c r="AM318" i="7"/>
  <c r="N378" i="7"/>
  <c r="AM378" i="7"/>
  <c r="N283" i="7"/>
  <c r="AM283" i="7"/>
  <c r="N294" i="7"/>
  <c r="AM294" i="7"/>
  <c r="N310" i="7"/>
  <c r="AM310" i="7"/>
  <c r="N341" i="7"/>
  <c r="AM341" i="7"/>
  <c r="N2" i="7"/>
  <c r="Z2" i="7" a="1"/>
  <c r="Z2" i="7" s="1"/>
  <c r="T2" i="7"/>
  <c r="I32" i="4"/>
  <c r="O17" i="1" s="1"/>
  <c r="H33" i="4"/>
  <c r="S2" i="7"/>
  <c r="H32" i="4"/>
  <c r="G32" i="4"/>
  <c r="K17" i="1" s="1"/>
  <c r="F33" i="4"/>
  <c r="Q2" i="7"/>
  <c r="F32" i="4"/>
  <c r="P2" i="7"/>
  <c r="E32" i="4"/>
  <c r="G17" i="1" s="1"/>
  <c r="D33" i="4"/>
  <c r="O2" i="7"/>
  <c r="D32" i="4"/>
  <c r="V2" i="7"/>
  <c r="C32" i="4"/>
  <c r="C17" i="1" s="1"/>
  <c r="B33" i="4"/>
  <c r="U2" i="7"/>
  <c r="B32" i="4"/>
  <c r="G3" i="1"/>
  <c r="T5" i="7"/>
  <c r="I8" i="4"/>
  <c r="I6" i="4"/>
  <c r="I5" i="4"/>
  <c r="AL4" i="7" s="1"/>
  <c r="I13" i="4"/>
  <c r="I4" i="4"/>
  <c r="I12" i="4"/>
  <c r="C64" i="5" s="1"/>
  <c r="I7" i="4"/>
  <c r="C59" i="5" s="1"/>
  <c r="I3" i="4"/>
  <c r="AK4" i="7" s="1"/>
  <c r="R5" i="7"/>
  <c r="AD2" i="7" s="1" a="1"/>
  <c r="AD2" i="7" s="1"/>
  <c r="G3" i="4"/>
  <c r="AK3" i="7" s="1"/>
  <c r="G7" i="4"/>
  <c r="C43" i="5" s="1"/>
  <c r="G4" i="4"/>
  <c r="G6" i="4"/>
  <c r="G13" i="4"/>
  <c r="G8" i="4"/>
  <c r="G5" i="4"/>
  <c r="AL3" i="7" s="1"/>
  <c r="G12" i="4"/>
  <c r="C48" i="5" s="1"/>
  <c r="P5" i="7"/>
  <c r="E4" i="4"/>
  <c r="E3" i="4"/>
  <c r="AK2" i="7" s="1"/>
  <c r="E8" i="4"/>
  <c r="E7" i="4"/>
  <c r="C27" i="5" s="1"/>
  <c r="E6" i="4"/>
  <c r="E13" i="4"/>
  <c r="E12" i="4"/>
  <c r="C32" i="5" s="1"/>
  <c r="E5" i="4"/>
  <c r="AL2" i="7" s="1"/>
  <c r="O5" i="7"/>
  <c r="D7" i="4"/>
  <c r="B27" i="5" s="1"/>
  <c r="D8" i="4"/>
  <c r="D6" i="4"/>
  <c r="D4" i="4"/>
  <c r="D3" i="4"/>
  <c r="F45" i="4" s="1"/>
  <c r="F78" i="5" s="1"/>
  <c r="D5" i="4"/>
  <c r="D13" i="4"/>
  <c r="D12" i="4"/>
  <c r="B32" i="5" s="1"/>
  <c r="B6" i="4"/>
  <c r="B5" i="4"/>
  <c r="B4" i="4"/>
  <c r="B8" i="4"/>
  <c r="B7" i="4"/>
  <c r="B11" i="5" s="1"/>
  <c r="B3" i="4"/>
  <c r="F48" i="4" s="1"/>
  <c r="F81" i="5" s="1"/>
  <c r="U5" i="7"/>
  <c r="K2" i="4"/>
  <c r="B35" i="4" s="1" a="1"/>
  <c r="B35" i="4" s="1"/>
  <c r="B13" i="4"/>
  <c r="I33" i="4" s="1"/>
  <c r="B12" i="4"/>
  <c r="B16" i="5" s="1"/>
  <c r="S5" i="7"/>
  <c r="H4" i="4"/>
  <c r="H8" i="4"/>
  <c r="H5" i="4"/>
  <c r="H6" i="4"/>
  <c r="H7" i="4"/>
  <c r="B59" i="5" s="1"/>
  <c r="H3" i="4"/>
  <c r="F47" i="4" s="1"/>
  <c r="F80" i="5" s="1"/>
  <c r="H12" i="4"/>
  <c r="B64" i="5" s="1"/>
  <c r="H13" i="4"/>
  <c r="V5" i="7"/>
  <c r="C7" i="4"/>
  <c r="C11" i="5" s="1"/>
  <c r="C6" i="4"/>
  <c r="C5" i="4"/>
  <c r="X2" i="7"/>
  <c r="C8" i="4"/>
  <c r="C13" i="4"/>
  <c r="C12" i="4"/>
  <c r="C16" i="5" s="1"/>
  <c r="C3" i="4"/>
  <c r="C4" i="4"/>
  <c r="Q5" i="7"/>
  <c r="AC2" i="7" s="1" a="1"/>
  <c r="AC2" i="7" s="1"/>
  <c r="F3" i="4"/>
  <c r="F46" i="4" s="1"/>
  <c r="F79" i="5" s="1"/>
  <c r="F13" i="4"/>
  <c r="F6" i="4"/>
  <c r="F5" i="4"/>
  <c r="F12" i="4"/>
  <c r="B48" i="5" s="1"/>
  <c r="F4" i="4"/>
  <c r="F8" i="4"/>
  <c r="F7" i="4"/>
  <c r="B43" i="5" s="1"/>
  <c r="I15" i="4" l="1"/>
  <c r="C66" i="5" s="1"/>
  <c r="I14" i="4"/>
  <c r="I9" i="4"/>
  <c r="I10" i="4"/>
  <c r="G15" i="4"/>
  <c r="C50" i="5" s="1"/>
  <c r="G33" i="4"/>
  <c r="G14" i="4"/>
  <c r="G9" i="4"/>
  <c r="G10" i="4"/>
  <c r="E15" i="4"/>
  <c r="C34" i="5" s="1"/>
  <c r="E33" i="4"/>
  <c r="E10" i="4"/>
  <c r="E14" i="4"/>
  <c r="C33" i="4"/>
  <c r="E9" i="4"/>
  <c r="C15" i="4"/>
  <c r="C18" i="5" s="1"/>
  <c r="C14" i="4"/>
  <c r="C9" i="4"/>
  <c r="C38" i="4" s="1"/>
  <c r="C10" i="4"/>
  <c r="AN2" i="7"/>
  <c r="AN5" i="7"/>
  <c r="AF2" i="7" a="1"/>
  <c r="AF2" i="7" s="1"/>
  <c r="B50" i="4"/>
  <c r="A83" i="5" s="1"/>
  <c r="AE2" i="7" a="1"/>
  <c r="AE2" i="7" s="1"/>
  <c r="N17" i="1"/>
  <c r="P17" i="1"/>
  <c r="J17" i="1"/>
  <c r="L17" i="1"/>
  <c r="F17" i="1"/>
  <c r="H17" i="1"/>
  <c r="B17" i="1"/>
  <c r="D17" i="1"/>
  <c r="H34" i="4"/>
  <c r="I34" i="4"/>
  <c r="F34" i="4"/>
  <c r="G34" i="4"/>
  <c r="AB2" i="7" a="1"/>
  <c r="AB2" i="7" s="1"/>
  <c r="E34" i="4"/>
  <c r="AA2" i="7" a="1"/>
  <c r="AA2" i="7" s="1"/>
  <c r="D34" i="4"/>
  <c r="AG2" i="7" a="1"/>
  <c r="AG2" i="7" s="1"/>
  <c r="AH2" i="7" a="1"/>
  <c r="AH2" i="7" s="1"/>
  <c r="C34" i="4"/>
  <c r="B34" i="4"/>
  <c r="B40" i="5"/>
  <c r="J10" i="1"/>
  <c r="C7" i="5"/>
  <c r="C9" i="1"/>
  <c r="N10" i="1"/>
  <c r="B56" i="5"/>
  <c r="B12" i="5"/>
  <c r="B16" i="4"/>
  <c r="B13" i="1"/>
  <c r="B24" i="5"/>
  <c r="F10" i="1"/>
  <c r="C26" i="5"/>
  <c r="G12" i="1"/>
  <c r="G16" i="4"/>
  <c r="C44" i="5"/>
  <c r="K13" i="1"/>
  <c r="J11" i="1"/>
  <c r="B41" i="5"/>
  <c r="B11" i="1"/>
  <c r="B9" i="5"/>
  <c r="D16" i="4"/>
  <c r="B28" i="5"/>
  <c r="F13" i="1"/>
  <c r="E16" i="4"/>
  <c r="G13" i="1"/>
  <c r="C28" i="5"/>
  <c r="C42" i="5"/>
  <c r="K12" i="1"/>
  <c r="C56" i="5"/>
  <c r="O10" i="1"/>
  <c r="B26" i="5"/>
  <c r="F12" i="1"/>
  <c r="J12" i="1"/>
  <c r="B42" i="5"/>
  <c r="C12" i="5"/>
  <c r="C13" i="1"/>
  <c r="C16" i="4"/>
  <c r="B55" i="5"/>
  <c r="N9" i="1"/>
  <c r="B15" i="4"/>
  <c r="E6" i="5"/>
  <c r="B17" i="4"/>
  <c r="B14" i="4"/>
  <c r="B9" i="4"/>
  <c r="B10" i="4"/>
  <c r="B10" i="5"/>
  <c r="B12" i="1"/>
  <c r="C23" i="5"/>
  <c r="G9" i="1"/>
  <c r="C40" i="5"/>
  <c r="K10" i="1"/>
  <c r="F9" i="4"/>
  <c r="C40" i="4" s="1"/>
  <c r="F10" i="4"/>
  <c r="E38" i="5"/>
  <c r="F15" i="4"/>
  <c r="F14" i="4"/>
  <c r="G2" i="4" a="1"/>
  <c r="G2" i="4" s="1"/>
  <c r="D2" i="4" a="1"/>
  <c r="D2" i="4" s="1"/>
  <c r="E2" i="4" a="1"/>
  <c r="E2" i="4" s="1"/>
  <c r="B2" i="4" a="1"/>
  <c r="B2" i="4" s="1"/>
  <c r="C2" i="4" a="1"/>
  <c r="C2" i="4" s="1"/>
  <c r="H2" i="4" a="1"/>
  <c r="H2" i="4" s="1"/>
  <c r="I2" i="4" a="1"/>
  <c r="I2" i="4" s="1"/>
  <c r="F2" i="4" a="1"/>
  <c r="F2" i="4" s="1"/>
  <c r="C24" i="5"/>
  <c r="G10" i="1"/>
  <c r="C57" i="5"/>
  <c r="O11" i="1"/>
  <c r="H9" i="4"/>
  <c r="C41" i="4" s="1"/>
  <c r="H10" i="4"/>
  <c r="H14" i="4"/>
  <c r="H15" i="4"/>
  <c r="E54" i="5"/>
  <c r="B39" i="5"/>
  <c r="J9" i="1"/>
  <c r="C11" i="1"/>
  <c r="C9" i="5"/>
  <c r="N12" i="1"/>
  <c r="B58" i="5"/>
  <c r="E22" i="5"/>
  <c r="D14" i="4"/>
  <c r="D15" i="4"/>
  <c r="D10" i="4"/>
  <c r="D9" i="4"/>
  <c r="C39" i="4" s="1"/>
  <c r="C25" i="5"/>
  <c r="G11" i="1"/>
  <c r="C39" i="5"/>
  <c r="K9" i="1"/>
  <c r="O12" i="1"/>
  <c r="C58" i="5"/>
  <c r="B8" i="5"/>
  <c r="B10" i="1"/>
  <c r="C10" i="5"/>
  <c r="C12" i="1"/>
  <c r="B57" i="5"/>
  <c r="N11" i="1"/>
  <c r="B7" i="5"/>
  <c r="B9" i="1"/>
  <c r="B25" i="5"/>
  <c r="F11" i="1"/>
  <c r="C60" i="5"/>
  <c r="I16" i="4"/>
  <c r="O13" i="1"/>
  <c r="F16" i="4"/>
  <c r="B44" i="5"/>
  <c r="J13" i="1"/>
  <c r="C8" i="5"/>
  <c r="C10" i="1"/>
  <c r="H16" i="4"/>
  <c r="B60" i="5"/>
  <c r="N13" i="1"/>
  <c r="B23" i="5"/>
  <c r="B19" i="4"/>
  <c r="B72" i="5" s="1"/>
  <c r="F9" i="1"/>
  <c r="B18" i="4"/>
  <c r="B71" i="5" s="1"/>
  <c r="C41" i="5"/>
  <c r="K11" i="1"/>
  <c r="O9" i="1"/>
  <c r="C55" i="5"/>
  <c r="D41" i="4" l="1"/>
  <c r="F41" i="4" s="1"/>
  <c r="E41" i="4"/>
  <c r="D40" i="4"/>
  <c r="F40" i="4" s="1"/>
  <c r="E40" i="4"/>
  <c r="D39" i="4"/>
  <c r="F39" i="4" s="1"/>
  <c r="E39" i="4"/>
  <c r="D38" i="4"/>
  <c r="F38" i="4" s="1"/>
  <c r="E38" i="4"/>
  <c r="I19" i="1" s="1"/>
  <c r="B66" i="5"/>
  <c r="D66" i="5"/>
  <c r="B18" i="1"/>
  <c r="B19" i="5"/>
  <c r="D19" i="5"/>
  <c r="D18" i="1"/>
  <c r="B50" i="5"/>
  <c r="D50" i="5"/>
  <c r="B62" i="5"/>
  <c r="N15" i="1"/>
  <c r="C13" i="5"/>
  <c r="C14" i="1"/>
  <c r="K18" i="1"/>
  <c r="C51" i="5"/>
  <c r="O14" i="1"/>
  <c r="C61" i="5"/>
  <c r="D65" i="5"/>
  <c r="B65" i="5"/>
  <c r="O18" i="1"/>
  <c r="C67" i="5"/>
  <c r="N14" i="1"/>
  <c r="B61" i="5"/>
  <c r="C11" i="4"/>
  <c r="C8" i="1"/>
  <c r="C6" i="5"/>
  <c r="J15" i="1"/>
  <c r="B46" i="5"/>
  <c r="B74" i="5"/>
  <c r="D51" i="5"/>
  <c r="B51" i="5"/>
  <c r="J18" i="1"/>
  <c r="L18" i="1"/>
  <c r="F14" i="1"/>
  <c r="B29" i="5"/>
  <c r="B11" i="4"/>
  <c r="B8" i="1"/>
  <c r="B6" i="5"/>
  <c r="D8" i="1"/>
  <c r="D6" i="5"/>
  <c r="B45" i="5"/>
  <c r="J14" i="1"/>
  <c r="B18" i="5"/>
  <c r="D18" i="5"/>
  <c r="C35" i="5"/>
  <c r="G18" i="1"/>
  <c r="C17" i="5"/>
  <c r="B49" i="5"/>
  <c r="D49" i="5"/>
  <c r="D17" i="5"/>
  <c r="B17" i="5"/>
  <c r="B30" i="5"/>
  <c r="F15" i="1"/>
  <c r="E11" i="4"/>
  <c r="C22" i="5"/>
  <c r="G8" i="1"/>
  <c r="C65" i="5"/>
  <c r="C15" i="1"/>
  <c r="C14" i="5"/>
  <c r="C54" i="5"/>
  <c r="O8" i="1"/>
  <c r="I11" i="4"/>
  <c r="N8" i="1"/>
  <c r="H11" i="4"/>
  <c r="D54" i="5"/>
  <c r="P8" i="1"/>
  <c r="B54" i="5"/>
  <c r="G14" i="1"/>
  <c r="C29" i="5"/>
  <c r="C49" i="5"/>
  <c r="B34" i="5"/>
  <c r="D34" i="5"/>
  <c r="F8" i="1"/>
  <c r="H8" i="1"/>
  <c r="D22" i="5"/>
  <c r="B22" i="5"/>
  <c r="D11" i="4"/>
  <c r="C45" i="5"/>
  <c r="K14" i="1"/>
  <c r="F11" i="4"/>
  <c r="D38" i="5"/>
  <c r="L8" i="1"/>
  <c r="J8" i="1"/>
  <c r="B38" i="5"/>
  <c r="B14" i="1"/>
  <c r="B13" i="5"/>
  <c r="C30" i="5"/>
  <c r="G15" i="1"/>
  <c r="C33" i="5"/>
  <c r="D67" i="5"/>
  <c r="N18" i="1"/>
  <c r="B67" i="5"/>
  <c r="P18" i="1"/>
  <c r="C46" i="5"/>
  <c r="K15" i="1"/>
  <c r="D33" i="5"/>
  <c r="B33" i="5"/>
  <c r="G11" i="4"/>
  <c r="K8" i="1"/>
  <c r="C38" i="5"/>
  <c r="C62" i="5"/>
  <c r="O15" i="1"/>
  <c r="B14" i="5"/>
  <c r="B15" i="1"/>
  <c r="C18" i="1"/>
  <c r="C19" i="5"/>
  <c r="D35" i="5"/>
  <c r="H18" i="1"/>
  <c r="B35" i="5"/>
  <c r="F18" i="1"/>
  <c r="K16" i="1" l="1"/>
  <c r="C47" i="5"/>
  <c r="B15" i="5"/>
  <c r="D15" i="5"/>
  <c r="D16" i="1"/>
  <c r="B16" i="1"/>
  <c r="G16" i="1"/>
  <c r="C31" i="5"/>
  <c r="C63" i="5"/>
  <c r="O16" i="1"/>
  <c r="D31" i="5"/>
  <c r="B20" i="4"/>
  <c r="B31" i="5"/>
  <c r="H16" i="1"/>
  <c r="F16" i="1"/>
  <c r="L16" i="1"/>
  <c r="B47" i="5"/>
  <c r="J16" i="1"/>
  <c r="D47" i="5"/>
  <c r="N16" i="1"/>
  <c r="P16" i="1"/>
  <c r="D63" i="5"/>
  <c r="B63" i="5"/>
  <c r="C16" i="1"/>
  <c r="C15" i="5"/>
  <c r="B73" i="5" l="1"/>
  <c r="A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Devansh Gohil</author>
  </authors>
  <commentList>
    <comment ref="K2" authorId="0" shapeId="0" xr:uid="{79D18EDC-7E26-40F8-A41C-0CCC55303E90}">
      <text>
        <r>
          <rPr>
            <b/>
            <sz val="9"/>
            <color indexed="81"/>
            <rFont val="Tahoma"/>
            <family val="2"/>
          </rPr>
          <t>Ledger row of the single latest attempted mock (ledger is packed, so = count of completed). All 'Latest' metrics anchor to this one mock; blank source cells stay blank.</t>
        </r>
      </text>
    </comment>
    <comment ref="B31" authorId="0" shapeId="0" xr:uid="{5697B099-FF05-44C5-869B-1E1A374E485E}">
      <text>
        <r>
          <rPr>
            <b/>
            <sz val="9"/>
            <color indexed="81"/>
            <rFont val="Tahoma"/>
            <family val="2"/>
          </rPr>
          <t>Devansh Gohil:</t>
        </r>
        <r>
          <rPr>
            <sz val="9"/>
            <color indexed="81"/>
            <rFont val="Tahoma"/>
            <family val="2"/>
          </rPr>
          <t xml:space="preserve">
Days available per remaining mock = DaysToCAT / Pending. Compare with B17 (actual avg gap).</t>
        </r>
      </text>
    </comment>
    <comment ref="B38" authorId="0" shapeId="0" xr:uid="{8A52DE15-7AC7-4FF0-9CE9-1C0E51D53FAD}">
      <text>
        <r>
          <rPr>
            <b/>
            <sz val="9"/>
            <color indexed="81"/>
            <rFont val="Tahoma"/>
            <family val="2"/>
          </rPr>
          <t>Devansh Gohil:</t>
        </r>
        <r>
          <rPr>
            <sz val="9"/>
            <color indexed="81"/>
            <rFont val="Tahoma"/>
            <family val="2"/>
          </rPr>
          <t xml:space="preserve">
Target input — change freely</t>
        </r>
      </text>
    </comment>
    <comment ref="B39" authorId="0" shapeId="0" xr:uid="{6DAD82BA-F4C0-485F-A3EE-2603EF4A9B3E}">
      <text>
        <r>
          <rPr>
            <b/>
            <sz val="9"/>
            <color indexed="81"/>
            <rFont val="Tahoma"/>
            <family val="2"/>
          </rPr>
          <t>Devansh Gohil:</t>
        </r>
        <r>
          <rPr>
            <sz val="9"/>
            <color indexed="81"/>
            <rFont val="Tahoma"/>
            <family val="2"/>
          </rPr>
          <t xml:space="preserve">
Target input — change freely</t>
        </r>
      </text>
    </comment>
    <comment ref="B40" authorId="0" shapeId="0" xr:uid="{D3511BF2-159F-424F-BB88-FA4AF7808D9F}">
      <text>
        <r>
          <rPr>
            <b/>
            <sz val="9"/>
            <color indexed="81"/>
            <rFont val="Tahoma"/>
            <family val="2"/>
          </rPr>
          <t>Devansh Gohil:</t>
        </r>
        <r>
          <rPr>
            <sz val="9"/>
            <color indexed="81"/>
            <rFont val="Tahoma"/>
            <family val="2"/>
          </rPr>
          <t xml:space="preserve">
Target input — change freely</t>
        </r>
      </text>
    </comment>
    <comment ref="B41" authorId="0" shapeId="0" xr:uid="{050EBD73-8F5C-4875-8882-ACCAE2E3EDFD}">
      <text>
        <r>
          <rPr>
            <b/>
            <sz val="9"/>
            <color indexed="81"/>
            <rFont val="Tahoma"/>
            <family val="2"/>
          </rPr>
          <t>Devansh Gohil:</t>
        </r>
        <r>
          <rPr>
            <sz val="9"/>
            <color indexed="81"/>
            <rFont val="Tahoma"/>
            <family val="2"/>
          </rPr>
          <t xml:space="preserve">
Target input — change freely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Devansh Gohil</author>
  </authors>
  <commentList>
    <comment ref="X2" authorId="0" shapeId="0" xr:uid="{D6772DD4-A197-4021-8007-7402DC2F1063}">
      <text>
        <r>
          <rPr>
            <b/>
            <sz val="9"/>
            <color indexed="81"/>
            <rFont val="Tahoma"/>
            <family val="2"/>
          </rPr>
          <t>Devansh Gohil:</t>
        </r>
        <r>
          <rPr>
            <sz val="9"/>
            <color indexed="81"/>
            <rFont val="Tahoma"/>
            <family val="2"/>
          </rPr>
          <t xml:space="preserve">
Dynamic zoom floor for the Overall Percentile chart. Re-run chart refresh to apply if this changes materially.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<sst xmlns="http://schemas.openxmlformats.org/spreadsheetml/2006/main" count="953" uniqueCount="333">
  <si>
    <t xml:space="preserve">  🎯  CAT 2026  —  Mock Analytics Dashboard</t>
  </si>
  <si>
    <t xml:space="preserve">  IMS SimCAT Schedule  ·  CAT Date: 29 Nov 2026  ·  150 pre-created rows  ·  Formula-driven analytics</t>
  </si>
  <si>
    <t>DAYS TO CAT</t>
  </si>
  <si>
    <t>COMPLETED / PLANNED</t>
  </si>
  <si>
    <t>COMPLETION RATE</t>
  </si>
  <si>
    <t>ANALYSED</t>
  </si>
  <si>
    <t>LAST ATTEMPTED</t>
  </si>
  <si>
    <t xml:space="preserve">  ◈  Overall</t>
  </si>
  <si>
    <t xml:space="preserve">  ◈  VARC</t>
  </si>
  <si>
    <t xml:space="preserve">  ◈  DILR</t>
  </si>
  <si>
    <t xml:space="preserve">  ◈  QA</t>
  </si>
  <si>
    <t>Metric</t>
  </si>
  <si>
    <t>Score</t>
  </si>
  <si>
    <t>%ile</t>
  </si>
  <si>
    <t>Δ</t>
  </si>
  <si>
    <t xml:space="preserve">  Latest</t>
  </si>
  <si>
    <t xml:space="preserve">  Average</t>
  </si>
  <si>
    <t xml:space="preserve">  Median</t>
  </si>
  <si>
    <t xml:space="preserve">  Highest</t>
  </si>
  <si>
    <t xml:space="preserve">  Lowest</t>
  </si>
  <si>
    <t xml:space="preserve">  Std Dev</t>
  </si>
  <si>
    <t xml:space="preserve">  Roll Avg 5</t>
  </si>
  <si>
    <t xml:space="preserve">  Roll Avg 10</t>
  </si>
  <si>
    <t xml:space="preserve">  Improvement</t>
  </si>
  <si>
    <t xml:space="preserve">  Last 5 vs Avg</t>
  </si>
  <si>
    <t xml:space="preserve">  Consistency</t>
  </si>
  <si>
    <t xml:space="preserve">  📊  Preparation Progress</t>
  </si>
  <si>
    <t>ANALYSIS RATE</t>
  </si>
  <si>
    <t>REMAINING MOCKS</t>
  </si>
  <si>
    <t>ANALYSIS PENDING</t>
  </si>
  <si>
    <t xml:space="preserve">  📈  Performance Charts  —  Auto-update as scores are entered  ·  150 rows pre-created</t>
  </si>
  <si>
    <t xml:space="preserve">  ★  Made by Devansh Gohil  ·  CAT 2026 Analytics  ·  Formula-driven  ·  Excel &amp; Google Sheets compatible  ·  150 mock rows pre-created</t>
  </si>
  <si>
    <t>Providers</t>
  </si>
  <si>
    <t>Series</t>
  </si>
  <si>
    <t>MockTypes</t>
  </si>
  <si>
    <t>AnalysisDone</t>
  </si>
  <si>
    <t>IMS</t>
  </si>
  <si>
    <t>SimCAT</t>
  </si>
  <si>
    <t>Proctored</t>
  </si>
  <si>
    <t>Yes</t>
  </si>
  <si>
    <t>Cracku</t>
  </si>
  <si>
    <t>Take Home</t>
  </si>
  <si>
    <t>No</t>
  </si>
  <si>
    <t>Arun Sharma</t>
  </si>
  <si>
    <t>Previous CAT</t>
  </si>
  <si>
    <t>Past CAT Paper</t>
  </si>
  <si>
    <t>TIME</t>
  </si>
  <si>
    <t>DashCAT</t>
  </si>
  <si>
    <t>Career Launcher</t>
  </si>
  <si>
    <t>Headstart CAT</t>
  </si>
  <si>
    <t>Rodha</t>
  </si>
  <si>
    <t>Others</t>
  </si>
  <si>
    <t xml:space="preserve">  CAT 2026 — Mock Database  |  Single Source of Truth  |  Made by Devansh Gohil</t>
  </si>
  <si>
    <t>Mock No</t>
  </si>
  <si>
    <t>Planned Order</t>
  </si>
  <si>
    <t>Attempt Order</t>
  </si>
  <si>
    <t>Test Name</t>
  </si>
  <si>
    <t>Provider</t>
  </si>
  <si>
    <t>Mock Type</t>
  </si>
  <si>
    <t>Planned Date</t>
  </si>
  <si>
    <t>Actual Date</t>
  </si>
  <si>
    <t>Status</t>
  </si>
  <si>
    <t>Analysis Done</t>
  </si>
  <si>
    <t>Notes</t>
  </si>
  <si>
    <t>VARC Score</t>
  </si>
  <si>
    <t>VARC %ile</t>
  </si>
  <si>
    <t>VARC Attempts</t>
  </si>
  <si>
    <t>VARC Correct</t>
  </si>
  <si>
    <t>VARC Incorrect</t>
  </si>
  <si>
    <t>VARC Accuracy</t>
  </si>
  <si>
    <t>DILR Score</t>
  </si>
  <si>
    <t>DILR %ile</t>
  </si>
  <si>
    <t>DILR Attempts</t>
  </si>
  <si>
    <t>DILR Correct</t>
  </si>
  <si>
    <t>DILR Incorrect</t>
  </si>
  <si>
    <t>DILR Accuracy</t>
  </si>
  <si>
    <t>QA Score</t>
  </si>
  <si>
    <t>QA %ile</t>
  </si>
  <si>
    <t>QA Attempts</t>
  </si>
  <si>
    <t>QA Correct</t>
  </si>
  <si>
    <t>QA Incorrect</t>
  </si>
  <si>
    <t>QA Accuracy</t>
  </si>
  <si>
    <t>Ovr Score</t>
  </si>
  <si>
    <t>Ovr %ile</t>
  </si>
  <si>
    <t>Ovr Attempts</t>
  </si>
  <si>
    <t>Ovr Correct</t>
  </si>
  <si>
    <t>Ovr Incorrect</t>
  </si>
  <si>
    <t>Ovr Accuracy</t>
  </si>
  <si>
    <t>SimCAT 1</t>
  </si>
  <si>
    <t>SimCAT 2</t>
  </si>
  <si>
    <t>SimCAT 3</t>
  </si>
  <si>
    <t>Take Home 1</t>
  </si>
  <si>
    <t>SimCAT 4</t>
  </si>
  <si>
    <t>Take Home 2</t>
  </si>
  <si>
    <t>CAT 2021 Slot 1</t>
  </si>
  <si>
    <t>Take Home 3</t>
  </si>
  <si>
    <t>SimCAT 5</t>
  </si>
  <si>
    <t>Take Home 4</t>
  </si>
  <si>
    <t>CAT 2021 Slot 2</t>
  </si>
  <si>
    <t>SimCAT 6</t>
  </si>
  <si>
    <t>Take Home 5</t>
  </si>
  <si>
    <t>SimCAT 7</t>
  </si>
  <si>
    <t>CAT 2021 Slot 3</t>
  </si>
  <si>
    <t>Take Home 6</t>
  </si>
  <si>
    <t>SimCAT 8</t>
  </si>
  <si>
    <t>Take Home 7</t>
  </si>
  <si>
    <t>SimCAT 9</t>
  </si>
  <si>
    <t>CAT 2022 Slot 1</t>
  </si>
  <si>
    <t>Take Home 8</t>
  </si>
  <si>
    <t>CAT 2022 Slot 2</t>
  </si>
  <si>
    <t>SimCAT 10</t>
  </si>
  <si>
    <t>Take Home 9</t>
  </si>
  <si>
    <t>SimCAT 11</t>
  </si>
  <si>
    <t>CAT 2022 Slot 3</t>
  </si>
  <si>
    <t>SimCAT 12</t>
  </si>
  <si>
    <t>Take Home 10</t>
  </si>
  <si>
    <t>SimCAT 13</t>
  </si>
  <si>
    <t>CAT 2023 Slot 1</t>
  </si>
  <si>
    <t>Take Home 11</t>
  </si>
  <si>
    <t>CAT 2023 Slot 2</t>
  </si>
  <si>
    <t>SimCAT 14</t>
  </si>
  <si>
    <t>Take Home 12</t>
  </si>
  <si>
    <t>SimCAT 15</t>
  </si>
  <si>
    <t>CAT 2023 Slot 3</t>
  </si>
  <si>
    <t>Take Home 13</t>
  </si>
  <si>
    <t>CAT 2024 Slot 1</t>
  </si>
  <si>
    <t>Take Home 14</t>
  </si>
  <si>
    <t>SimCAT 16</t>
  </si>
  <si>
    <t>Take Home 15</t>
  </si>
  <si>
    <t>CAT 2024 Slot 2</t>
  </si>
  <si>
    <t>SimCAT 17</t>
  </si>
  <si>
    <t>Take Home 16</t>
  </si>
  <si>
    <t>SimCAT 18</t>
  </si>
  <si>
    <t>Take Home 17</t>
  </si>
  <si>
    <t>CAT 2024 Slot 3</t>
  </si>
  <si>
    <t>Take Home 18</t>
  </si>
  <si>
    <t>CAT 2025 Slot 1</t>
  </si>
  <si>
    <t>Take Home 19</t>
  </si>
  <si>
    <t>SimCAT 19</t>
  </si>
  <si>
    <t>Take Home 20</t>
  </si>
  <si>
    <t>CAT 2025 Slot 2</t>
  </si>
  <si>
    <t>SimCAT 20</t>
  </si>
  <si>
    <t xml:space="preserve">  ★  Made by Devansh Gohil  ·  CAT 2026 Analytics  ·  Formula-driven  ·  Excel &amp; Google Sheets compatible</t>
  </si>
  <si>
    <t>Latest</t>
  </si>
  <si>
    <t>Average</t>
  </si>
  <si>
    <t>Median</t>
  </si>
  <si>
    <t>Highest</t>
  </si>
  <si>
    <t>Lowest</t>
  </si>
  <si>
    <t>Variance</t>
  </si>
  <si>
    <t>StdDev</t>
  </si>
  <si>
    <t>RollAvg5</t>
  </si>
  <si>
    <t>RollAvg10</t>
  </si>
  <si>
    <t>Improvement</t>
  </si>
  <si>
    <t>BestTillDate</t>
  </si>
  <si>
    <t>Count</t>
  </si>
  <si>
    <t>Last5vAvg</t>
  </si>
  <si>
    <t>Last10vAvg</t>
  </si>
  <si>
    <t>ConsistencyIdx</t>
  </si>
  <si>
    <t>AvgDaysBetween</t>
  </si>
  <si>
    <t>StrongestSec</t>
  </si>
  <si>
    <t>WeakestSec</t>
  </si>
  <si>
    <t>MostImprovedSec</t>
  </si>
  <si>
    <t>PlannedTotal</t>
  </si>
  <si>
    <t>Completed</t>
  </si>
  <si>
    <t>Pending</t>
  </si>
  <si>
    <t>CompletionPct</t>
  </si>
  <si>
    <t>AnalysisPending</t>
  </si>
  <si>
    <t>AnalysisPct</t>
  </si>
  <si>
    <t>DaysToCAT</t>
  </si>
  <si>
    <t>LastAttempted</t>
  </si>
  <si>
    <t xml:space="preserve">  CAT 2026 — Section Analysis  |  Made by Devansh Gohil</t>
  </si>
  <si>
    <t xml:space="preserve">  ◆  Overall</t>
  </si>
  <si>
    <t xml:space="preserve">  Metric</t>
  </si>
  <si>
    <t>Percentile</t>
  </si>
  <si>
    <t>Signal</t>
  </si>
  <si>
    <t>n</t>
  </si>
  <si>
    <t xml:space="preserve">  Variance</t>
  </si>
  <si>
    <t xml:space="preserve">  Std Deviation</t>
  </si>
  <si>
    <t xml:space="preserve">  Rolling Avg (5)</t>
  </si>
  <si>
    <t xml:space="preserve">  Rolling Avg (10)</t>
  </si>
  <si>
    <t xml:space="preserve">  Best Till Date</t>
  </si>
  <si>
    <t xml:space="preserve">  Last 10 vs Avg</t>
  </si>
  <si>
    <t xml:space="preserve">  Consistency Index</t>
  </si>
  <si>
    <t xml:space="preserve">  ◆  VARC</t>
  </si>
  <si>
    <t xml:space="preserve">  ◆  DILR</t>
  </si>
  <si>
    <t xml:space="preserve">  ◆  QA</t>
  </si>
  <si>
    <t xml:space="preserve">  ◆  Section Summary</t>
  </si>
  <si>
    <t xml:space="preserve">  Strongest Section</t>
  </si>
  <si>
    <t xml:space="preserve">  Weakest Section</t>
  </si>
  <si>
    <t xml:space="preserve">  Most Improved Section</t>
  </si>
  <si>
    <t xml:space="preserve">  Avg Days Between Mocks</t>
  </si>
  <si>
    <t xml:space="preserve">  CAT 2026 — Provider &amp; Series Analysis  |  Made by Devansh Gohil</t>
  </si>
  <si>
    <t xml:space="preserve">  Average scores by provider, series and mock type — providers in priority order</t>
  </si>
  <si>
    <t xml:space="preserve">  ◆  By Provider</t>
  </si>
  <si>
    <t>Name</t>
  </si>
  <si>
    <t>Cnt</t>
  </si>
  <si>
    <t>Ovr Avg Sc</t>
  </si>
  <si>
    <t>Ovr Avg %</t>
  </si>
  <si>
    <t>VARC Avg Sc</t>
  </si>
  <si>
    <t>VARC Avg %</t>
  </si>
  <si>
    <t>DILR Avg Sc</t>
  </si>
  <si>
    <t>DILR Avg %</t>
  </si>
  <si>
    <t>QA Avg Sc</t>
  </si>
  <si>
    <t>QA Avg %</t>
  </si>
  <si>
    <t xml:space="preserve">  ◆  By Series</t>
  </si>
  <si>
    <t xml:space="preserve">  ◆  By Mock Type</t>
  </si>
  <si>
    <t>VARC Sc</t>
  </si>
  <si>
    <t>VARC %</t>
  </si>
  <si>
    <t>DILR Sc</t>
  </si>
  <si>
    <t>DILR %</t>
  </si>
  <si>
    <t>QA Sc</t>
  </si>
  <si>
    <t>QA %</t>
  </si>
  <si>
    <t>Ovr Sc</t>
  </si>
  <si>
    <t>Ovr %</t>
  </si>
  <si>
    <t>Idx</t>
  </si>
  <si>
    <t>Mock</t>
  </si>
  <si>
    <t>Date</t>
  </si>
  <si>
    <t>cCat</t>
  </si>
  <si>
    <t>cVARCsc</t>
  </si>
  <si>
    <t>cVARCpc</t>
  </si>
  <si>
    <t>cDILRsc</t>
  </si>
  <si>
    <t>cDILRpc</t>
  </si>
  <si>
    <t>cQAsc</t>
  </si>
  <si>
    <t>cQApc</t>
  </si>
  <si>
    <t>cOvrsc</t>
  </si>
  <si>
    <t>cOvrpc</t>
  </si>
  <si>
    <t xml:space="preserve">  All metrics derived from Mock Database · Completed mocks only · blanks safely ignored</t>
  </si>
  <si>
    <t>OvrPct Axis Floor</t>
  </si>
  <si>
    <t>LatestIdx</t>
  </si>
  <si>
    <t>Headstart CAT 1</t>
  </si>
  <si>
    <t>DashCAT 1</t>
  </si>
  <si>
    <t>DashCAT 2</t>
  </si>
  <si>
    <t>CAT 2025 Slot 3</t>
  </si>
  <si>
    <t>c_Cats</t>
  </si>
  <si>
    <t>c_VARCsc</t>
  </si>
  <si>
    <t>c_VARCpc</t>
  </si>
  <si>
    <t>c_DILRsc</t>
  </si>
  <si>
    <t>c_DILRpc</t>
  </si>
  <si>
    <t>c_QAsc</t>
  </si>
  <si>
    <t>c_QApc</t>
  </si>
  <si>
    <t>c_Ovrsc</t>
  </si>
  <si>
    <t>c_Ovrpc</t>
  </si>
  <si>
    <t>Trend (per mock)</t>
  </si>
  <si>
    <t>Projected Next</t>
  </si>
  <si>
    <t>Coeff of Var %</t>
  </si>
  <si>
    <t xml:space="preserve">  Trend / mock</t>
  </si>
  <si>
    <t>Section</t>
  </si>
  <si>
    <t>Avg %ile</t>
  </si>
  <si>
    <t>Best %ile</t>
  </si>
  <si>
    <t>VARC</t>
  </si>
  <si>
    <t>DILR</t>
  </si>
  <si>
    <t>QA</t>
  </si>
  <si>
    <t>🎯 TARGETS &amp; READINESS</t>
  </si>
  <si>
    <t>Target</t>
  </si>
  <si>
    <t>Recent (5)</t>
  </si>
  <si>
    <t>Gap</t>
  </si>
  <si>
    <t>Overall %ile</t>
  </si>
  <si>
    <t>PaceNeeded (days/mock)</t>
  </si>
  <si>
    <t>Mocks @ trend</t>
  </si>
  <si>
    <t>⚙ ATTEMPT EFFICIENCY (completed mocks)</t>
  </si>
  <si>
    <t>Avg Attempts</t>
  </si>
  <si>
    <t>Avg Correct</t>
  </si>
  <si>
    <t>Avg Incorrect</t>
  </si>
  <si>
    <t>Avg Accuracy</t>
  </si>
  <si>
    <t>Marks / Attempt</t>
  </si>
  <si>
    <t>Overall</t>
  </si>
  <si>
    <t>Efficiency Insight</t>
  </si>
  <si>
    <t xml:space="preserve">  ◆  Attempt Efficiency</t>
  </si>
  <si>
    <t xml:space="preserve">  Section</t>
  </si>
  <si>
    <t>Attempts</t>
  </si>
  <si>
    <t>Correct</t>
  </si>
  <si>
    <t>Incorrect</t>
  </si>
  <si>
    <t>Accuracy</t>
  </si>
  <si>
    <t>Marks/Att</t>
  </si>
  <si>
    <t xml:space="preserve">  VARC</t>
  </si>
  <si>
    <t xml:space="preserve">  DILR</t>
  </si>
  <si>
    <t xml:space="preserve">  QA</t>
  </si>
  <si>
    <t xml:space="preserve">  Overall</t>
  </si>
  <si>
    <t>xIdx (NA-guarded)</t>
  </si>
  <si>
    <t>Ovr Sc (xy)</t>
  </si>
  <si>
    <t>#</t>
  </si>
  <si>
    <t xml:space="preserve">  🔎  Mock Index  —  every graphed metric, by attempt #</t>
  </si>
  <si>
    <t>CAT 2020 Slot 1</t>
  </si>
  <si>
    <t>Headstart CAT 2</t>
  </si>
  <si>
    <t>CAT 2020 Slot 2</t>
  </si>
  <si>
    <t>DashCAT 3</t>
  </si>
  <si>
    <t>CAT 2020 Slot 3</t>
  </si>
  <si>
    <t>Arun Sharma Mock 1</t>
  </si>
  <si>
    <t>CAT 2019 Slot 1</t>
  </si>
  <si>
    <t>Headstart CAT 3</t>
  </si>
  <si>
    <t>CAT 2019 Slot 2</t>
  </si>
  <si>
    <t>DashCAT 4</t>
  </si>
  <si>
    <t>DashCAT 5</t>
  </si>
  <si>
    <t>Headstart CAT 4</t>
  </si>
  <si>
    <t>Arun Sharma Mock 3</t>
  </si>
  <si>
    <t>DashCAT 6</t>
  </si>
  <si>
    <t>Career Launcher Free 1</t>
  </si>
  <si>
    <t>DashCAT 7</t>
  </si>
  <si>
    <t>TIME Free 1</t>
  </si>
  <si>
    <t>DashCAT 8</t>
  </si>
  <si>
    <t>Arun Sharma Mock 6</t>
  </si>
  <si>
    <t>Headstart CAT 5</t>
  </si>
  <si>
    <t>DashCAT 9</t>
  </si>
  <si>
    <t>Rodha Free 1</t>
  </si>
  <si>
    <t>Arun Sharma Mock 7</t>
  </si>
  <si>
    <t>Career Launcher Free 2</t>
  </si>
  <si>
    <t>Arun Sharma Mock 10</t>
  </si>
  <si>
    <t>DashCAT 10</t>
  </si>
  <si>
    <t>DashCAT 11</t>
  </si>
  <si>
    <t>DashCAT 12</t>
  </si>
  <si>
    <t>DashCAT 13</t>
  </si>
  <si>
    <t>DashCAT 14</t>
  </si>
  <si>
    <t>DashCAT 15</t>
  </si>
  <si>
    <t>DashCAT 16</t>
  </si>
  <si>
    <t>DashCAT 17</t>
  </si>
  <si>
    <t>DashCAT 18</t>
  </si>
  <si>
    <t>DashCAT 19</t>
  </si>
  <si>
    <t>DashCAT 20</t>
  </si>
  <si>
    <t>DashCAT 21</t>
  </si>
  <si>
    <t>DashCAT 22</t>
  </si>
  <si>
    <t>Cracku Free 1</t>
  </si>
  <si>
    <t>Cracku Free 2</t>
  </si>
  <si>
    <t>Cracku Free 3</t>
  </si>
  <si>
    <t>iQuanta Free 1</t>
  </si>
  <si>
    <t xml:space="preserve">  🗓  Planned Mocks by Month</t>
  </si>
  <si>
    <t>Month</t>
  </si>
  <si>
    <t>Planned</t>
  </si>
  <si>
    <t>Done</t>
  </si>
  <si>
    <t>% Done</t>
  </si>
  <si>
    <t xml:space="preserve">  Total</t>
  </si>
  <si>
    <t>GP Weighted Avg (Overall Sc)</t>
  </si>
  <si>
    <t>GP decay ratio r (0.50–0.99)</t>
  </si>
  <si>
    <t>✦ Made by Devansh Gohil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</si>
</sst>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+0.00;\-0.00;0.00"/>
    <numFmt numFmtId="165" formatCode="d\-mmm"/>
    <numFmt numFmtId="166" formatCode="0.0%"/>
    <numFmt numFmtId="167" formatCode="0.0"/>
    <numFmt numFmtId="168" formatCode="dd\-mmm\-yyyy"/>
    <numFmt numFmtId="169" formatCode="\+0.00;\-0.00"/>
    <numFmt numFmtId="170" formatCode="\+0.0;\-0.0"/>
    <numFmt numFmtId="171" formatCode="0.000"/>
  </numFmts>
  <fonts count="35" x14ac:knownFonts="1">
    <font>
      <sz val="11"/>
      <color theme="1"/>
      <name val="Calibri"/>
      <family val="2"/>
      <charset val="1"/>
    </font>
    <font>
      <b/>
      <sz val="18"/>
      <color rgb="FFFFFFFF"/>
      <name val="Calibri"/>
      <family val="2"/>
      <charset val="1"/>
    </font>
    <font>
      <b/>
      <sz val="11"/>
      <color rgb="FF0D1B2A"/>
      <name val="Calibri"/>
      <family val="2"/>
      <charset val="1"/>
    </font>
    <font>
      <i/>
      <sz val="8"/>
      <color rgb="FF90A4AE"/>
      <name val="Calibri"/>
      <family val="2"/>
      <charset val="1"/>
    </font>
    <font>
      <b/>
      <sz val="17"/>
      <color rgb="FFFFFFFF"/>
      <name val="Calibri"/>
      <family val="2"/>
      <charset val="1"/>
    </font>
    <font>
      <b/>
      <sz val="7"/>
      <color rgb="FF90A4AE"/>
      <name val="Calibri"/>
      <family val="2"/>
      <charset val="1"/>
    </font>
    <font>
      <b/>
      <sz val="13"/>
      <color rgb="FFFFFFFF"/>
      <name val="Calibri"/>
      <family val="2"/>
      <charset val="1"/>
    </font>
    <font>
      <b/>
      <sz val="8"/>
      <color rgb="FFFFFFFF"/>
      <name val="Calibri"/>
      <family val="2"/>
      <charset val="1"/>
    </font>
    <font>
      <b/>
      <sz val="9"/>
      <color rgb="FF0D1B2A"/>
      <name val="Calibri"/>
      <family val="2"/>
      <charset val="1"/>
    </font>
    <font>
      <b/>
      <sz val="10"/>
      <color rgb="FF0D1B2A"/>
      <name val="Calibri"/>
      <family val="2"/>
      <charset val="1"/>
    </font>
    <font>
      <b/>
      <sz val="14"/>
      <name val="Calibri"/>
      <family val="2"/>
      <charset val="1"/>
    </font>
    <font>
      <sz val="9"/>
      <color rgb="FF0D1B2A"/>
      <name val="Calibri"/>
      <family val="2"/>
      <charset val="1"/>
    </font>
    <font>
      <sz val="10"/>
      <color rgb="FF0D1B2A"/>
      <name val="Calibri"/>
      <family val="2"/>
      <charset val="1"/>
    </font>
    <font>
      <b/>
      <sz val="10"/>
      <name val="Calibri"/>
      <family val="2"/>
      <charset val="1"/>
    </font>
    <font>
      <b/>
      <i/>
      <sz val="9"/>
      <color rgb="FFFFFFFF"/>
      <name val="Calibri"/>
      <family val="2"/>
      <charset val="1"/>
    </font>
    <font>
      <i/>
      <sz val="9"/>
      <color rgb="FFFF8F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rgb="FFFFFFFF"/>
      <name val="Calibri"/>
      <family val="2"/>
      <charset val="1"/>
    </font>
    <font>
      <i/>
      <sz val="8"/>
      <color rgb="FFF9A825"/>
      <name val="Calibri"/>
      <family val="2"/>
      <charset val="1"/>
    </font>
    <font>
      <b/>
      <sz val="9"/>
      <color rgb="FFFFFFFF"/>
      <name val="Calibri"/>
      <family val="2"/>
      <charset val="1"/>
    </font>
    <font>
      <i/>
      <sz val="9"/>
      <color rgb="FF90A4AE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9"/>
      <color rgb="FF90A4AE"/>
      <name val="Calibri"/>
      <family val="2"/>
      <charset val="1"/>
    </font>
    <font>
      <b/>
      <sz val="10"/>
      <color rgb="FF1565C0"/>
      <name val="Calibri"/>
      <family val="2"/>
      <charset val="1"/>
    </font>
    <font>
      <b/>
      <sz val="11"/>
      <color rgb="FF555555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555555"/>
      <name val="Calibri"/>
      <family val="2"/>
      <charset val="1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sz val="10"/>
      <color rgb="FF0D1B2A"/>
      <name val="Calibri"/>
      <family val="2"/>
    </font>
    <font>
      <b/>
      <sz val="10"/>
      <color rgb="FF0D1B2A"/>
      <name val="Calibri"/>
      <family val="2"/>
    </font>
    <font>
      <i/>
      <sz val="9"/>
      <color rgb="FF37474F"/>
      <name val="Calibri"/>
      <family val="2"/>
    </font>
    <font>
      <b/>
      <sz val="10"/>
      <color rgb="FF0000FF"/>
      <name val="Calibri"/>
      <family val="2"/>
    </font>
    <font>
      <b/>
      <i/>
      <sz val="9"/>
      <color rgb="FF37474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0D1B2A"/>
        <bgColor rgb="FF0A1628"/>
      </patternFill>
    </fill>
    <fill>
      <patternFill patternType="solid">
        <fgColor rgb="FFF9A825"/>
        <bgColor rgb="FFFF8F00"/>
      </patternFill>
    </fill>
    <fill>
      <patternFill patternType="solid">
        <fgColor rgb="FF0A1628"/>
        <bgColor rgb="FF0D1B2A"/>
      </patternFill>
    </fill>
    <fill>
      <patternFill patternType="solid">
        <fgColor rgb="FF003580"/>
        <bgColor rgb="FF1A3A6B"/>
      </patternFill>
    </fill>
    <fill>
      <patternFill patternType="solid">
        <fgColor rgb="FF1B5E20"/>
        <bgColor rgb="FF0A4B3B"/>
      </patternFill>
    </fill>
    <fill>
      <patternFill patternType="solid">
        <fgColor rgb="FF1565C0"/>
        <bgColor rgb="FF00695C"/>
      </patternFill>
    </fill>
    <fill>
      <patternFill patternType="solid">
        <fgColor rgb="FF2E7D32"/>
        <bgColor rgb="FF1B5E20"/>
      </patternFill>
    </fill>
    <fill>
      <patternFill patternType="solid">
        <fgColor rgb="FF37474F"/>
        <bgColor rgb="FF1E3A5F"/>
      </patternFill>
    </fill>
    <fill>
      <patternFill patternType="solid">
        <fgColor rgb="FF2196F3"/>
        <bgColor rgb="FF4F81BD"/>
      </patternFill>
    </fill>
    <fill>
      <patternFill patternType="solid">
        <fgColor rgb="FF6A1B9A"/>
        <bgColor rgb="FF3D1A6B"/>
      </patternFill>
    </fill>
    <fill>
      <patternFill patternType="solid">
        <fgColor rgb="FF00695C"/>
        <bgColor rgb="FF0A4B3B"/>
      </patternFill>
    </fill>
    <fill>
      <patternFill patternType="solid">
        <fgColor rgb="FF1E3A5F"/>
        <bgColor rgb="FF1A3A6B"/>
      </patternFill>
    </fill>
    <fill>
      <patternFill patternType="solid">
        <fgColor rgb="FFE3F2FD"/>
        <bgColor rgb="FFE8EAF6"/>
      </patternFill>
    </fill>
    <fill>
      <patternFill patternType="solid">
        <fgColor rgb="FFFFFFFF"/>
        <bgColor rgb="FFFFF3E0"/>
      </patternFill>
    </fill>
    <fill>
      <patternFill patternType="solid">
        <fgColor rgb="FF1A2F45"/>
        <bgColor rgb="FF1E3A5F"/>
      </patternFill>
    </fill>
    <fill>
      <patternFill patternType="solid">
        <fgColor rgb="FFB71C1C"/>
        <bgColor rgb="FF800000"/>
      </patternFill>
    </fill>
    <fill>
      <patternFill patternType="solid">
        <fgColor rgb="FFE65100"/>
        <bgColor rgb="FFC0504D"/>
      </patternFill>
    </fill>
    <fill>
      <patternFill patternType="solid">
        <fgColor rgb="FF070F1A"/>
        <bgColor rgb="FF0A1628"/>
      </patternFill>
    </fill>
    <fill>
      <patternFill patternType="solid">
        <fgColor rgb="FF1A3A6B"/>
        <bgColor rgb="FF1E3A5F"/>
      </patternFill>
    </fill>
    <fill>
      <patternFill patternType="solid">
        <fgColor rgb="FF3D1A6B"/>
        <bgColor rgb="FF2C2C2C"/>
      </patternFill>
    </fill>
    <fill>
      <patternFill patternType="solid">
        <fgColor rgb="FF0A4B3B"/>
        <bgColor rgb="FF1B5E20"/>
      </patternFill>
    </fill>
    <fill>
      <patternFill patternType="solid">
        <fgColor rgb="FF2C2C2C"/>
        <bgColor rgb="FF1A2F45"/>
      </patternFill>
    </fill>
    <fill>
      <patternFill patternType="solid">
        <fgColor rgb="FF1F2A44"/>
        <bgColor indexed="64"/>
      </patternFill>
    </fill>
    <fill>
      <patternFill patternType="solid">
        <fgColor rgb="FF3A3A3A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0D1B2A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27A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9" fillId="2" borderId="2" xfId="0" applyFont="1" applyFill="1" applyBorder="1" applyAlignment="1">
      <alignment horizontal="center" vertical="center" wrapText="1"/>
    </xf>
    <xf numFmtId="0" fontId="19" fillId="20" borderId="2" xfId="0" applyFont="1" applyFill="1" applyBorder="1" applyAlignment="1">
      <alignment horizontal="center" vertical="center" wrapText="1"/>
    </xf>
    <xf numFmtId="0" fontId="19" fillId="21" borderId="2" xfId="0" applyFont="1" applyFill="1" applyBorder="1" applyAlignment="1">
      <alignment horizontal="center" vertical="center" wrapText="1"/>
    </xf>
    <xf numFmtId="0" fontId="19" fillId="22" borderId="2" xfId="0" applyFont="1" applyFill="1" applyBorder="1" applyAlignment="1">
      <alignment horizontal="center" vertical="center" wrapText="1"/>
    </xf>
    <xf numFmtId="0" fontId="19" fillId="23" borderId="2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/>
    </xf>
    <xf numFmtId="166" fontId="0" fillId="15" borderId="2" xfId="0" applyNumberForma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166" fontId="0" fillId="14" borderId="2" xfId="0" applyNumberFormat="1" applyFill="1" applyBorder="1" applyAlignment="1">
      <alignment horizontal="center" vertical="center"/>
    </xf>
    <xf numFmtId="0" fontId="0" fillId="15" borderId="2" xfId="0" applyFill="1" applyBorder="1" applyAlignment="1" applyProtection="1">
      <alignment horizontal="center" vertical="center"/>
      <protection locked="0"/>
    </xf>
    <xf numFmtId="0" fontId="0" fillId="14" borderId="2" xfId="0" applyFill="1" applyBorder="1" applyAlignment="1" applyProtection="1">
      <alignment horizontal="center" vertical="center"/>
      <protection locked="0"/>
    </xf>
    <xf numFmtId="0" fontId="0" fillId="15" borderId="2" xfId="0" applyFill="1" applyBorder="1" applyAlignment="1" applyProtection="1">
      <alignment horizontal="left" vertical="center" wrapText="1"/>
      <protection locked="0"/>
    </xf>
    <xf numFmtId="0" fontId="0" fillId="14" borderId="2" xfId="0" applyFill="1" applyBorder="1" applyAlignment="1" applyProtection="1">
      <alignment horizontal="left" vertical="center" wrapText="1"/>
      <protection locked="0"/>
    </xf>
    <xf numFmtId="165" fontId="0" fillId="15" borderId="2" xfId="0" applyNumberFormat="1" applyFill="1" applyBorder="1" applyAlignment="1" applyProtection="1">
      <alignment horizontal="center" vertical="center"/>
      <protection locked="0"/>
    </xf>
    <xf numFmtId="165" fontId="0" fillId="14" borderId="2" xfId="0" applyNumberFormat="1" applyFill="1" applyBorder="1" applyAlignment="1" applyProtection="1">
      <alignment horizontal="center" vertical="center"/>
      <protection locked="0"/>
    </xf>
    <xf numFmtId="0" fontId="19" fillId="2" borderId="0" xfId="0" applyFont="1" applyFill="1"/>
    <xf numFmtId="0" fontId="0" fillId="0" borderId="0" xfId="0" applyProtection="1">
      <protection locked="0"/>
    </xf>
    <xf numFmtId="0" fontId="19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11" fillId="0" borderId="0" xfId="0" applyFont="1"/>
    <xf numFmtId="2" fontId="0" fillId="0" borderId="0" xfId="0" applyNumberFormat="1"/>
    <xf numFmtId="167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28" fillId="27" borderId="4" xfId="0" applyFont="1" applyFill="1" applyBorder="1" applyAlignment="1">
      <alignment horizontal="left"/>
    </xf>
    <xf numFmtId="0" fontId="29" fillId="28" borderId="0" xfId="0" applyFont="1" applyFill="1" applyAlignment="1">
      <alignment horizontal="center"/>
    </xf>
    <xf numFmtId="0" fontId="30" fillId="0" borderId="2" xfId="0" applyFont="1" applyBorder="1" applyAlignment="1">
      <alignment horizontal="left"/>
    </xf>
    <xf numFmtId="167" fontId="30" fillId="0" borderId="2" xfId="0" applyNumberFormat="1" applyFont="1" applyBorder="1" applyAlignment="1">
      <alignment horizontal="center"/>
    </xf>
    <xf numFmtId="170" fontId="30" fillId="0" borderId="2" xfId="0" applyNumberFormat="1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166" fontId="30" fillId="0" borderId="2" xfId="0" applyNumberFormat="1" applyFont="1" applyBorder="1" applyAlignment="1">
      <alignment horizontal="center"/>
    </xf>
    <xf numFmtId="2" fontId="30" fillId="0" borderId="2" xfId="0" applyNumberFormat="1" applyFont="1" applyBorder="1" applyAlignment="1">
      <alignment horizontal="center"/>
    </xf>
    <xf numFmtId="0" fontId="31" fillId="0" borderId="2" xfId="0" applyFont="1" applyBorder="1" applyAlignment="1">
      <alignment horizontal="left"/>
    </xf>
    <xf numFmtId="167" fontId="31" fillId="0" borderId="2" xfId="0" applyNumberFormat="1" applyFont="1" applyBorder="1" applyAlignment="1">
      <alignment horizontal="center"/>
    </xf>
    <xf numFmtId="166" fontId="31" fillId="0" borderId="2" xfId="0" applyNumberFormat="1" applyFont="1" applyBorder="1" applyAlignment="1">
      <alignment horizontal="center"/>
    </xf>
    <xf numFmtId="2" fontId="31" fillId="0" borderId="2" xfId="0" applyNumberFormat="1" applyFont="1" applyBorder="1" applyAlignment="1">
      <alignment horizontal="center"/>
    </xf>
    <xf numFmtId="0" fontId="34" fillId="31" borderId="0" xfId="0" applyFont="1" applyFill="1"/>
    <xf numFmtId="0" fontId="32" fillId="31" borderId="0" xfId="0" applyFont="1" applyFill="1"/>
    <xf numFmtId="167" fontId="33" fillId="26" borderId="2" xfId="0" applyNumberFormat="1" applyFont="1" applyFill="1" applyBorder="1" applyAlignment="1" applyProtection="1">
      <alignment horizontal="center"/>
      <protection locked="0"/>
    </xf>
    <xf numFmtId="1" fontId="33" fillId="26" borderId="2" xfId="0" applyNumberFormat="1" applyFont="1" applyFill="1" applyBorder="1" applyAlignment="1" applyProtection="1">
      <alignment horizontal="center"/>
      <protection locked="0"/>
    </xf>
    <xf numFmtId="0" fontId="7" fillId="13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left" vertical="center"/>
    </xf>
    <xf numFmtId="2" fontId="9" fillId="14" borderId="2" xfId="0" applyNumberFormat="1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left" vertical="center"/>
    </xf>
    <xf numFmtId="2" fontId="12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left" vertical="center"/>
    </xf>
    <xf numFmtId="2" fontId="12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 vertical="center"/>
    </xf>
    <xf numFmtId="2" fontId="9" fillId="15" borderId="2" xfId="0" applyNumberFormat="1" applyFont="1" applyFill="1" applyBorder="1" applyAlignment="1">
      <alignment horizontal="center" vertical="center"/>
    </xf>
    <xf numFmtId="164" fontId="12" fillId="14" borderId="2" xfId="0" applyNumberFormat="1" applyFont="1" applyFill="1" applyBorder="1" applyAlignment="1">
      <alignment horizontal="center" vertical="center"/>
    </xf>
    <xf numFmtId="169" fontId="12" fillId="15" borderId="2" xfId="0" applyNumberFormat="1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15" fontId="30" fillId="0" borderId="0" xfId="0" applyNumberFormat="1" applyFont="1" applyAlignment="1">
      <alignment horizontal="center"/>
    </xf>
    <xf numFmtId="1" fontId="30" fillId="0" borderId="0" xfId="0" applyNumberFormat="1" applyFont="1" applyAlignment="1">
      <alignment horizontal="center"/>
    </xf>
    <xf numFmtId="2" fontId="30" fillId="0" borderId="0" xfId="0" applyNumberFormat="1" applyFont="1" applyAlignment="1">
      <alignment horizontal="center"/>
    </xf>
    <xf numFmtId="0" fontId="19" fillId="13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left" vertical="center"/>
    </xf>
    <xf numFmtId="0" fontId="12" fillId="15" borderId="2" xfId="0" applyFont="1" applyFill="1" applyBorder="1" applyAlignment="1">
      <alignment horizontal="left" vertical="center"/>
    </xf>
    <xf numFmtId="0" fontId="22" fillId="15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left" vertical="center"/>
    </xf>
    <xf numFmtId="0" fontId="22" fillId="14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left" vertical="center"/>
    </xf>
    <xf numFmtId="164" fontId="12" fillId="15" borderId="2" xfId="0" applyNumberFormat="1" applyFont="1" applyFill="1" applyBorder="1" applyAlignment="1">
      <alignment horizontal="center" vertical="center"/>
    </xf>
    <xf numFmtId="0" fontId="28" fillId="27" borderId="0" xfId="0" applyFont="1" applyFill="1" applyAlignment="1">
      <alignment horizontal="left"/>
    </xf>
    <xf numFmtId="0" fontId="29" fillId="28" borderId="2" xfId="0" applyFont="1" applyFill="1" applyBorder="1" applyAlignment="1">
      <alignment horizontal="center"/>
    </xf>
    <xf numFmtId="0" fontId="30" fillId="29" borderId="2" xfId="0" applyFont="1" applyFill="1" applyBorder="1" applyAlignment="1">
      <alignment horizontal="left"/>
    </xf>
    <xf numFmtId="167" fontId="30" fillId="29" borderId="2" xfId="0" applyNumberFormat="1" applyFont="1" applyFill="1" applyBorder="1" applyAlignment="1">
      <alignment horizontal="center"/>
    </xf>
    <xf numFmtId="166" fontId="30" fillId="29" borderId="2" xfId="0" applyNumberFormat="1" applyFont="1" applyFill="1" applyBorder="1" applyAlignment="1">
      <alignment horizontal="center"/>
    </xf>
    <xf numFmtId="2" fontId="30" fillId="29" borderId="2" xfId="0" applyNumberFormat="1" applyFont="1" applyFill="1" applyBorder="1" applyAlignment="1">
      <alignment horizontal="center"/>
    </xf>
    <xf numFmtId="0" fontId="31" fillId="30" borderId="2" xfId="0" applyFont="1" applyFill="1" applyBorder="1" applyAlignment="1">
      <alignment horizontal="left"/>
    </xf>
    <xf numFmtId="167" fontId="31" fillId="30" borderId="2" xfId="0" applyNumberFormat="1" applyFont="1" applyFill="1" applyBorder="1" applyAlignment="1">
      <alignment horizontal="center"/>
    </xf>
    <xf numFmtId="166" fontId="31" fillId="30" borderId="2" xfId="0" applyNumberFormat="1" applyFont="1" applyFill="1" applyBorder="1" applyAlignment="1">
      <alignment horizontal="center"/>
    </xf>
    <xf numFmtId="2" fontId="31" fillId="30" borderId="2" xfId="0" applyNumberFormat="1" applyFont="1" applyFill="1" applyBorder="1" applyAlignment="1">
      <alignment horizontal="center"/>
    </xf>
    <xf numFmtId="0" fontId="32" fillId="31" borderId="0" xfId="0" applyFont="1" applyFill="1" applyAlignment="1">
      <alignment horizontal="left"/>
    </xf>
    <xf numFmtId="2" fontId="0" fillId="14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>
      <alignment horizontal="center" vertical="center"/>
    </xf>
    <xf numFmtId="0" fontId="16" fillId="24" borderId="0" xfId="0" applyFont="1" applyFill="1" applyAlignment="1">
      <alignment horizontal="center"/>
    </xf>
    <xf numFmtId="0" fontId="16" fillId="24" borderId="0" xfId="0" applyFont="1" applyFill="1"/>
    <xf numFmtId="0" fontId="16" fillId="25" borderId="0" xfId="0" applyFont="1" applyFill="1"/>
    <xf numFmtId="0" fontId="24" fillId="25" borderId="0" xfId="0" applyFont="1" applyFill="1"/>
    <xf numFmtId="0" fontId="0" fillId="0" borderId="0" xfId="0" applyAlignment="1">
      <alignment horizontal="center"/>
    </xf>
    <xf numFmtId="16" fontId="0" fillId="0" borderId="0" xfId="0" applyNumberFormat="1"/>
    <xf numFmtId="1" fontId="0" fillId="0" borderId="0" xfId="0" applyNumberFormat="1"/>
    <xf numFmtId="0" fontId="31" fillId="0" borderId="0" xfId="0" applyFont="1" applyAlignment="1">
      <alignment horizontal="left"/>
    </xf>
    <xf numFmtId="171" fontId="33" fillId="37" borderId="0" xfId="0" applyNumberFormat="1" applyFont="1" applyFill="1" applyAlignment="1" applyProtection="1">
      <alignment horizontal="center"/>
      <protection locked="0"/>
    </xf>
    <xf numFmtId="17" fontId="30" fillId="29" borderId="2" xfId="0" applyNumberFormat="1" applyFont="1" applyFill="1" applyBorder="1" applyAlignment="1">
      <alignment horizontal="center" vertical="center"/>
    </xf>
    <xf numFmtId="1" fontId="30" fillId="29" borderId="2" xfId="0" applyNumberFormat="1" applyFont="1" applyFill="1" applyBorder="1" applyAlignment="1">
      <alignment horizontal="center" vertical="center"/>
    </xf>
    <xf numFmtId="9" fontId="30" fillId="29" borderId="2" xfId="0" applyNumberFormat="1" applyFont="1" applyFill="1" applyBorder="1" applyAlignment="1">
      <alignment horizontal="center" vertical="center"/>
    </xf>
    <xf numFmtId="0" fontId="31" fillId="30" borderId="2" xfId="0" applyFont="1" applyFill="1" applyBorder="1" applyAlignment="1">
      <alignment horizontal="left" vertical="center"/>
    </xf>
    <xf numFmtId="1" fontId="31" fillId="30" borderId="2" xfId="0" applyNumberFormat="1" applyFont="1" applyFill="1" applyBorder="1" applyAlignment="1">
      <alignment horizontal="center" vertical="center"/>
    </xf>
    <xf numFmtId="9" fontId="31" fillId="30" borderId="2" xfId="0" applyNumberFormat="1" applyFont="1" applyFill="1" applyBorder="1" applyAlignment="1">
      <alignment horizontal="center" vertical="center"/>
    </xf>
    <xf numFmtId="0" fontId="29" fillId="28" borderId="5" xfId="0" applyFont="1" applyFill="1" applyBorder="1" applyAlignment="1">
      <alignment horizontal="center" vertical="center"/>
    </xf>
    <xf numFmtId="1" fontId="22" fillId="14" borderId="2" xfId="0" applyNumberFormat="1" applyFont="1" applyFill="1" applyBorder="1" applyAlignment="1">
      <alignment horizontal="center" vertical="center"/>
    </xf>
    <xf numFmtId="0" fontId="28" fillId="27" borderId="4" xfId="0" applyFont="1" applyFill="1" applyBorder="1" applyAlignment="1">
      <alignment horizontal="left" vertical="center"/>
    </xf>
    <xf numFmtId="0" fontId="29" fillId="32" borderId="0" xfId="0" applyFont="1" applyFill="1" applyAlignment="1">
      <alignment horizontal="center"/>
    </xf>
    <xf numFmtId="0" fontId="29" fillId="33" borderId="0" xfId="0" applyFont="1" applyFill="1" applyAlignment="1">
      <alignment horizontal="center"/>
    </xf>
    <xf numFmtId="0" fontId="29" fillId="34" borderId="0" xfId="0" applyFont="1" applyFill="1" applyAlignment="1">
      <alignment horizontal="center"/>
    </xf>
    <xf numFmtId="0" fontId="29" fillId="35" borderId="0" xfId="0" applyFont="1" applyFill="1" applyAlignment="1">
      <alignment horizontal="center"/>
    </xf>
    <xf numFmtId="0" fontId="29" fillId="36" borderId="0" xfId="0" applyFont="1" applyFill="1" applyAlignment="1">
      <alignment horizontal="center"/>
    </xf>
    <xf numFmtId="0" fontId="28" fillId="27" borderId="4" xfId="0" applyFont="1" applyFill="1" applyBorder="1" applyAlignment="1">
      <alignment horizontal="left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10" borderId="0" xfId="0" applyFill="1"/>
    <xf numFmtId="0" fontId="6" fillId="2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14" fillId="13" borderId="0" xfId="0" applyFont="1" applyFill="1" applyAlignment="1">
      <alignment horizontal="left" vertical="center"/>
    </xf>
    <xf numFmtId="0" fontId="15" fillId="16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left" vertical="center"/>
    </xf>
    <xf numFmtId="0" fontId="18" fillId="19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20" fillId="16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21" fillId="7" borderId="0" xfId="0" applyFont="1" applyFill="1" applyAlignment="1">
      <alignment horizontal="left" vertical="center"/>
    </xf>
    <xf numFmtId="0" fontId="21" fillId="11" borderId="0" xfId="0" applyFont="1" applyFill="1" applyAlignment="1">
      <alignment horizontal="left" vertical="center"/>
    </xf>
    <xf numFmtId="0" fontId="23" fillId="14" borderId="3" xfId="0" applyFont="1" applyFill="1" applyBorder="1" applyAlignment="1">
      <alignment horizontal="center" vertical="center"/>
    </xf>
    <xf numFmtId="0" fontId="21" fillId="12" borderId="0" xfId="0" applyFont="1" applyFill="1" applyAlignment="1">
      <alignment horizontal="left" vertical="center"/>
    </xf>
    <xf numFmtId="0" fontId="16" fillId="13" borderId="0" xfId="0" applyFont="1" applyFill="1" applyAlignment="1">
      <alignment horizontal="left" vertical="center"/>
    </xf>
    <xf numFmtId="0" fontId="23" fillId="15" borderId="3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left" vertical="center"/>
    </xf>
    <xf numFmtId="0" fontId="16" fillId="11" borderId="0" xfId="0" applyFont="1" applyFill="1" applyAlignment="1">
      <alignment horizontal="left" vertical="center"/>
    </xf>
  </cellXfs>
  <cellStyles count="1">
    <cellStyle name="Normal" xfId="0" builtinId="0"/>
  </cellStyles>
  <dxfs count="104">
    <dxf>
      <font>
        <b/>
        <sz val="9"/>
        <color rgb="FFB71C1C"/>
      </font>
    </dxf>
    <dxf>
      <font>
        <b/>
        <sz val="9"/>
        <color rgb="FF1B5E20"/>
      </font>
    </dxf>
    <dxf>
      <font>
        <b/>
        <sz val="9"/>
        <color rgb="FFB71C1C"/>
      </font>
    </dxf>
    <dxf>
      <font>
        <b/>
        <sz val="9"/>
        <color rgb="FF1B5E20"/>
      </font>
    </dxf>
    <dxf>
      <font>
        <b/>
        <sz val="9"/>
        <color rgb="FFB71C1C"/>
      </font>
    </dxf>
    <dxf>
      <font>
        <b/>
        <sz val="9"/>
        <color rgb="FF1B5E20"/>
      </font>
    </dxf>
    <dxf>
      <font>
        <b/>
        <sz val="9"/>
        <color rgb="FFB71C1C"/>
      </font>
    </dxf>
    <dxf>
      <font>
        <b/>
        <sz val="9"/>
        <color rgb="FF1B5E20"/>
      </font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color rgb="FF616161"/>
      </font>
      <fill>
        <patternFill patternType="solid">
          <fgColor indexed="64"/>
          <bgColor rgb="FFFFF9C4"/>
        </patternFill>
      </fill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FFFFFF"/>
      </font>
      <fill>
        <patternFill patternType="solid">
          <fgColor indexed="64"/>
          <bgColor rgb="FFEF5350"/>
        </patternFill>
      </fill>
    </dxf>
    <dxf>
      <font>
        <color rgb="FFFFFFFF"/>
      </font>
      <fill>
        <patternFill patternType="solid">
          <fgColor indexed="64"/>
          <bgColor rgb="FF43A047"/>
        </patternFill>
      </fill>
    </dxf>
    <dxf>
      <font>
        <b/>
        <i val="0"/>
        <color rgb="FFFFFFFF"/>
      </font>
      <fill>
        <patternFill patternType="solid">
          <fgColor indexed="64"/>
          <bgColor rgb="FFB71C1C"/>
        </patternFill>
      </fill>
    </dxf>
    <dxf>
      <font>
        <b/>
        <i val="0"/>
        <color rgb="FFFFFFFF"/>
      </font>
      <fill>
        <patternFill patternType="solid">
          <fgColor indexed="64"/>
          <bgColor rgb="FF1B5E20"/>
        </patternFill>
      </fill>
    </dxf>
    <dxf>
      <font>
        <color rgb="FFE65100"/>
      </font>
      <fill>
        <patternFill patternType="solid">
          <fgColor indexed="64"/>
          <bgColor rgb="FFFFF3E0"/>
        </patternFill>
      </fill>
    </dxf>
    <dxf>
      <font>
        <color rgb="FF9E9E9E"/>
      </font>
      <fill>
        <patternFill patternType="solid">
          <fgColor indexed="64"/>
          <bgColor rgb="FFF5F5F5"/>
        </patternFill>
      </fill>
    </dxf>
    <dxf>
      <fill>
        <patternFill patternType="solid">
          <fgColor indexed="64"/>
          <bgColor rgb="FFFFFFFF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b/>
        <i val="0"/>
      </font>
      <fill>
        <patternFill patternType="solid">
          <fgColor indexed="64"/>
          <bgColor rgb="FFE3F2FD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b/>
        <sz val="14"/>
        <color rgb="FFB71C1C"/>
      </font>
    </dxf>
    <dxf>
      <font>
        <b/>
        <sz val="14"/>
        <color rgb="FF1B5E20"/>
      </font>
    </dxf>
    <dxf>
      <font>
        <b/>
        <sz val="14"/>
        <color rgb="FFB71C1C"/>
      </font>
    </dxf>
    <dxf>
      <font>
        <b/>
        <sz val="14"/>
        <color rgb="FF1B5E20"/>
      </font>
    </dxf>
    <dxf>
      <font>
        <b/>
        <sz val="14"/>
        <color rgb="FFB71C1C"/>
      </font>
    </dxf>
    <dxf>
      <font>
        <b/>
        <sz val="14"/>
        <color rgb="FF1B5E20"/>
      </font>
    </dxf>
    <dxf>
      <font>
        <b/>
        <sz val="14"/>
        <color rgb="FFB71C1C"/>
      </font>
    </dxf>
    <dxf>
      <font>
        <b/>
        <sz val="14"/>
        <color rgb="FF1B5E2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A1628"/>
      <rgbColor rgb="FF808000"/>
      <rgbColor rgb="FF6A1B9A"/>
      <rgbColor rgb="FF00695C"/>
      <rgbColor rgb="FFB3B3B3"/>
      <rgbColor rgb="FF808080"/>
      <rgbColor rgb="FF90A4AE"/>
      <rgbColor rgb="FFC0504D"/>
      <rgbColor rgb="FFFFF9C4"/>
      <rgbColor rgb="FFE3F2FD"/>
      <rgbColor rgb="FF3D1A6B"/>
      <rgbColor rgb="FFFF8080"/>
      <rgbColor rgb="FF1565C0"/>
      <rgbColor rgb="FFD0D0D0"/>
      <rgbColor rgb="FF070F1A"/>
      <rgbColor rgb="FFFF00FF"/>
      <rgbColor rgb="FFFFFF00"/>
      <rgbColor rgb="FF00FFFF"/>
      <rgbColor rgb="FF1E3A5F"/>
      <rgbColor rgb="FF800000"/>
      <rgbColor rgb="FF0A4B3B"/>
      <rgbColor rgb="FF0000FF"/>
      <rgbColor rgb="FF00CCFF"/>
      <rgbColor rgb="FFE8EAF6"/>
      <rgbColor rgb="FFC8E6C9"/>
      <rgbColor rgb="FFFFF3E0"/>
      <rgbColor rgb="FFD9D9D9"/>
      <rgbColor rgb="FFFFCDD2"/>
      <rgbColor rgb="FFEEEEEE"/>
      <rgbColor rgb="FFFFE0B2"/>
      <rgbColor rgb="FF2196F3"/>
      <rgbColor rgb="FF33CCCC"/>
      <rgbColor rgb="FF9BBB59"/>
      <rgbColor rgb="FFF9A825"/>
      <rgbColor rgb="FFFF8F00"/>
      <rgbColor rgb="FFE65100"/>
      <rgbColor rgb="FF4F81BD"/>
      <rgbColor rgb="FF9E9E9E"/>
      <rgbColor rgb="FF003580"/>
      <rgbColor rgb="FF2E7D32"/>
      <rgbColor rgb="FF0D1B2A"/>
      <rgbColor rgb="FF1A2F45"/>
      <rgbColor rgb="FFB71C1C"/>
      <rgbColor rgb="FF37474F"/>
      <rgbColor rgb="FF1A3A6B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Sectional Balance — Avg vs Best Percentile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Chart_Data!$AK$1</c:f>
              <c:strCache>
                <c:ptCount val="1"/>
                <c:pt idx="0">
                  <c:v>Avg %ile</c:v>
                </c:pt>
              </c:strCache>
            </c:strRef>
          </c:tx>
          <c:spPr>
            <a:ln w="31750" cap="rnd">
              <a:solidFill>
                <a:srgbClr val="4527A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4527A0"/>
              </a:solidFill>
              <a:ln w="9525">
                <a:solidFill>
                  <a:srgbClr val="4527A0"/>
                </a:solidFill>
                <a:prstDash val="solid"/>
              </a:ln>
              <a:effectLst/>
            </c:spPr>
          </c:marker>
          <c:cat>
            <c:strRef>
              <c:f>Chart_Data!$AJ$2:$AJ$4</c:f>
              <c:strCache>
                <c:ptCount val="3"/>
                <c:pt idx="0">
                  <c:v>VARC</c:v>
                </c:pt>
                <c:pt idx="1">
                  <c:v>DILR</c:v>
                </c:pt>
                <c:pt idx="2">
                  <c:v>QA</c:v>
                </c:pt>
              </c:strCache>
            </c:strRef>
          </c:cat>
          <c:val>
            <c:numRef>
              <c:f>Chart_Data!$AK$2:$AK$4</c:f>
              <c:numCache>
                <c:formatCode>General</c:formatCode>
                <c:ptCount val="3"/>
                <c:pt idx="0">
                  <c:v>92.475555555555559</c:v>
                </c:pt>
                <c:pt idx="1">
                  <c:v>77.814444444444447</c:v>
                </c:pt>
                <c:pt idx="2">
                  <c:v>71.315555555555548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F-48A0-870C-106121A83290}"/>
            </c:ext>
          </c:extLst>
        </c:ser>
        <c:ser>
          <c:idx val="1"/>
          <c:order val="1"/>
          <c:tx>
            <c:strRef>
              <c:f>Chart_Data!$AL$1</c:f>
              <c:strCache>
                <c:ptCount val="1"/>
                <c:pt idx="0">
                  <c:v>Best %ile</c:v>
                </c:pt>
              </c:strCache>
            </c:strRef>
          </c:tx>
          <c:spPr>
            <a:ln w="25400" cap="rnd">
              <a:solidFill>
                <a:srgbClr val="B0BEC5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B0BEC5"/>
              </a:solidFill>
              <a:ln w="9525">
                <a:solidFill>
                  <a:srgbClr val="B0BEC5"/>
                </a:solidFill>
                <a:prstDash val="solid"/>
              </a:ln>
              <a:effectLst/>
            </c:spPr>
          </c:marker>
          <c:cat>
            <c:strRef>
              <c:f>Chart_Data!$AJ$2:$AJ$4</c:f>
              <c:strCache>
                <c:ptCount val="3"/>
                <c:pt idx="0">
                  <c:v>VARC</c:v>
                </c:pt>
                <c:pt idx="1">
                  <c:v>DILR</c:v>
                </c:pt>
                <c:pt idx="2">
                  <c:v>QA</c:v>
                </c:pt>
              </c:strCache>
            </c:strRef>
          </c:cat>
          <c:val>
            <c:numRef>
              <c:f>Chart_Data!$AL$2:$AL$4</c:f>
              <c:numCache>
                <c:formatCode>General</c:formatCode>
                <c:ptCount val="3"/>
                <c:pt idx="0">
                  <c:v>99.91</c:v>
                </c:pt>
                <c:pt idx="1">
                  <c:v>94.69</c:v>
                </c:pt>
                <c:pt idx="2">
                  <c:v>96.81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EF-48A0-870C-106121A83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7765855"/>
        <c:axId val="1095572911"/>
      </c:radarChart>
      <c:catAx>
        <c:axId val="136776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72911"/>
        <c:crosses val="autoZero"/>
        <c:auto val="1"/>
        <c:lblAlgn val="ctr"/>
        <c:lblOffset val="100"/>
        <c:noMultiLvlLbl val="0"/>
      </c:catAx>
      <c:valAx>
        <c:axId val="1095572911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76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Score —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Chart_Data!$AN$1</c:f>
              <c:strCache>
                <c:ptCount val="1"/>
                <c:pt idx="0">
                  <c:v>Ovr Sc (xy)</c:v>
                </c:pt>
              </c:strCache>
            </c:strRef>
          </c:tx>
          <c:spPr>
            <a:ln w="28575" cap="rnd">
              <a:solidFill>
                <a:srgbClr val="4527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527A0"/>
              </a:solidFill>
              <a:ln w="9525">
                <a:solidFill>
                  <a:srgbClr val="4527A0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Chart_Data!$AN$2:$AN$401</c:f>
              <c:numCache>
                <c:formatCode>General</c:formatCode>
                <c:ptCount val="400"/>
                <c:pt idx="0">
                  <c:v>76</c:v>
                </c:pt>
                <c:pt idx="1">
                  <c:v>95</c:v>
                </c:pt>
                <c:pt idx="2">
                  <c:v>83</c:v>
                </c:pt>
                <c:pt idx="3">
                  <c:v>70</c:v>
                </c:pt>
                <c:pt idx="4">
                  <c:v>88</c:v>
                </c:pt>
                <c:pt idx="5">
                  <c:v>83</c:v>
                </c:pt>
                <c:pt idx="6">
                  <c:v>68</c:v>
                </c:pt>
                <c:pt idx="7">
                  <c:v>91</c:v>
                </c:pt>
                <c:pt idx="8">
                  <c:v>82</c:v>
                </c:pt>
                <c:pt idx="9">
                  <c:v>55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0B-4302-B7A7-1169C18C7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68847"/>
        <c:axId val="1095575311"/>
      </c:scatterChart>
      <c:valAx>
        <c:axId val="136116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75311"/>
        <c:crosses val="autoZero"/>
        <c:crossBetween val="midCat"/>
      </c:valAx>
      <c:valAx>
        <c:axId val="109557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16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Percentile —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Overall Percentile</c:v>
          </c:tx>
          <c:spPr>
            <a:ln w="28575" cap="rnd">
              <a:solidFill>
                <a:srgbClr val="EF6C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F6C00"/>
              </a:solidFill>
              <a:ln w="9525">
                <a:solidFill>
                  <a:srgbClr val="EF6C00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Chart_Data!$V$2:$V$401</c:f>
              <c:numCache>
                <c:formatCode>0.0</c:formatCode>
                <c:ptCount val="400"/>
                <c:pt idx="0">
                  <c:v>88.92</c:v>
                </c:pt>
                <c:pt idx="1">
                  <c:v>94.98</c:v>
                </c:pt>
                <c:pt idx="2">
                  <c:v>95.61</c:v>
                </c:pt>
                <c:pt idx="3">
                  <c:v>84.3</c:v>
                </c:pt>
                <c:pt idx="4">
                  <c:v>94.82</c:v>
                </c:pt>
                <c:pt idx="5">
                  <c:v>94.57</c:v>
                </c:pt>
                <c:pt idx="6">
                  <c:v>98.37</c:v>
                </c:pt>
                <c:pt idx="7">
                  <c:v>97.35</c:v>
                </c:pt>
                <c:pt idx="8">
                  <c:v>#N/A</c:v>
                </c:pt>
                <c:pt idx="9">
                  <c:v>79.22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0C-4F2B-AC27-36C8EFB38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89727"/>
        <c:axId val="1095498031"/>
      </c:scatterChart>
      <c:valAx>
        <c:axId val="136118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Mock (attempt order)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498031"/>
        <c:crosses val="autoZero"/>
        <c:crossBetween val="midCat"/>
      </c:valAx>
      <c:valAx>
        <c:axId val="1095498031"/>
        <c:scaling>
          <c:orientation val="minMax"/>
          <c:max val="100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189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Section Scores — VARC · DILR · QA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VARC</c:v>
          </c:tx>
          <c:spPr>
            <a:ln w="28575" cap="rnd">
              <a:solidFill>
                <a:srgbClr val="2E7D3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E7D32"/>
              </a:solidFill>
              <a:ln w="9525">
                <a:solidFill>
                  <a:srgbClr val="2E7D32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Chart_Data!$O$2:$O$401</c:f>
              <c:numCache>
                <c:formatCode>0</c:formatCode>
                <c:ptCount val="400"/>
                <c:pt idx="0">
                  <c:v>31</c:v>
                </c:pt>
                <c:pt idx="1">
                  <c:v>35</c:v>
                </c:pt>
                <c:pt idx="2">
                  <c:v>49</c:v>
                </c:pt>
                <c:pt idx="3">
                  <c:v>34</c:v>
                </c:pt>
                <c:pt idx="4">
                  <c:v>49</c:v>
                </c:pt>
                <c:pt idx="5">
                  <c:v>50</c:v>
                </c:pt>
                <c:pt idx="6">
                  <c:v>45</c:v>
                </c:pt>
                <c:pt idx="7">
                  <c:v>40</c:v>
                </c:pt>
                <c:pt idx="8">
                  <c:v>31</c:v>
                </c:pt>
                <c:pt idx="9">
                  <c:v>20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38-4F1F-B014-D91D91FA4F70}"/>
            </c:ext>
          </c:extLst>
        </c:ser>
        <c:ser>
          <c:idx val="1"/>
          <c:order val="1"/>
          <c:tx>
            <c:v>DILR</c:v>
          </c:tx>
          <c:spPr>
            <a:ln w="28575" cap="rnd">
              <a:solidFill>
                <a:srgbClr val="1565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565C0"/>
              </a:solidFill>
              <a:ln w="9525">
                <a:solidFill>
                  <a:srgbClr val="1565C0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Chart_Data!$Q$2:$Q$401</c:f>
              <c:numCache>
                <c:formatCode>0</c:formatCode>
                <c:ptCount val="400"/>
                <c:pt idx="0">
                  <c:v>24</c:v>
                </c:pt>
                <c:pt idx="1">
                  <c:v>36</c:v>
                </c:pt>
                <c:pt idx="2">
                  <c:v>21</c:v>
                </c:pt>
                <c:pt idx="3">
                  <c:v>13</c:v>
                </c:pt>
                <c:pt idx="4">
                  <c:v>29</c:v>
                </c:pt>
                <c:pt idx="5">
                  <c:v>23</c:v>
                </c:pt>
                <c:pt idx="6">
                  <c:v>3</c:v>
                </c:pt>
                <c:pt idx="7">
                  <c:v>15</c:v>
                </c:pt>
                <c:pt idx="8">
                  <c:v>27</c:v>
                </c:pt>
                <c:pt idx="9">
                  <c:v>16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38-4F1F-B014-D91D91FA4F70}"/>
            </c:ext>
          </c:extLst>
        </c:ser>
        <c:ser>
          <c:idx val="2"/>
          <c:order val="2"/>
          <c:tx>
            <c:v>QA</c:v>
          </c:tx>
          <c:spPr>
            <a:ln w="28575" cap="rnd">
              <a:solidFill>
                <a:srgbClr val="C6282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62828"/>
              </a:solidFill>
              <a:ln w="9525">
                <a:solidFill>
                  <a:srgbClr val="C62828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Chart_Data!$S$2:$S$401</c:f>
              <c:numCache>
                <c:formatCode>0</c:formatCode>
                <c:ptCount val="400"/>
                <c:pt idx="0">
                  <c:v>21</c:v>
                </c:pt>
                <c:pt idx="1">
                  <c:v>24</c:v>
                </c:pt>
                <c:pt idx="2">
                  <c:v>13</c:v>
                </c:pt>
                <c:pt idx="3">
                  <c:v>23</c:v>
                </c:pt>
                <c:pt idx="4">
                  <c:v>10</c:v>
                </c:pt>
                <c:pt idx="5">
                  <c:v>10</c:v>
                </c:pt>
                <c:pt idx="6">
                  <c:v>20</c:v>
                </c:pt>
                <c:pt idx="7">
                  <c:v>36</c:v>
                </c:pt>
                <c:pt idx="8">
                  <c:v>24</c:v>
                </c:pt>
                <c:pt idx="9">
                  <c:v>19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38-4F1F-B014-D91D91FA4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231983"/>
        <c:axId val="1095450031"/>
      </c:scatterChart>
      <c:valAx>
        <c:axId val="136523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Mock (attempt order)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450031"/>
        <c:crosses val="autoZero"/>
        <c:crossBetween val="midCat"/>
      </c:valAx>
      <c:valAx>
        <c:axId val="109545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231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Section Percentiles — VARC · DILR · QA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VARC</c:v>
          </c:tx>
          <c:spPr>
            <a:ln w="28575" cap="rnd">
              <a:solidFill>
                <a:srgbClr val="2E7D3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E7D32"/>
              </a:solidFill>
              <a:ln w="9525">
                <a:solidFill>
                  <a:srgbClr val="2E7D32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Chart_Data!$P$2:$P$401</c:f>
              <c:numCache>
                <c:formatCode>0.0</c:formatCode>
                <c:ptCount val="400"/>
                <c:pt idx="0">
                  <c:v>88.02</c:v>
                </c:pt>
                <c:pt idx="1">
                  <c:v>92.72</c:v>
                </c:pt>
                <c:pt idx="2">
                  <c:v>99.09</c:v>
                </c:pt>
                <c:pt idx="3">
                  <c:v>90.5</c:v>
                </c:pt>
                <c:pt idx="4">
                  <c:v>98.79</c:v>
                </c:pt>
                <c:pt idx="5">
                  <c:v>99.62</c:v>
                </c:pt>
                <c:pt idx="6">
                  <c:v>99.91</c:v>
                </c:pt>
                <c:pt idx="7">
                  <c:v>98.12</c:v>
                </c:pt>
                <c:pt idx="8">
                  <c:v>#N/A</c:v>
                </c:pt>
                <c:pt idx="9">
                  <c:v>65.510000000000005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F0-448A-85CD-C152E468A694}"/>
            </c:ext>
          </c:extLst>
        </c:ser>
        <c:ser>
          <c:idx val="1"/>
          <c:order val="1"/>
          <c:tx>
            <c:v>DILR</c:v>
          </c:tx>
          <c:spPr>
            <a:ln w="28575" cap="rnd">
              <a:solidFill>
                <a:srgbClr val="1565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565C0"/>
              </a:solidFill>
              <a:ln w="9525">
                <a:solidFill>
                  <a:srgbClr val="1565C0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Chart_Data!$R$2:$R$401</c:f>
              <c:numCache>
                <c:formatCode>0.0</c:formatCode>
                <c:ptCount val="400"/>
                <c:pt idx="0">
                  <c:v>90.04</c:v>
                </c:pt>
                <c:pt idx="1">
                  <c:v>94.69</c:v>
                </c:pt>
                <c:pt idx="2">
                  <c:v>91.49</c:v>
                </c:pt>
                <c:pt idx="3">
                  <c:v>62.87</c:v>
                </c:pt>
                <c:pt idx="4">
                  <c:v>91.89</c:v>
                </c:pt>
                <c:pt idx="5">
                  <c:v>75.739999999999995</c:v>
                </c:pt>
                <c:pt idx="6">
                  <c:v>33.840000000000003</c:v>
                </c:pt>
                <c:pt idx="7">
                  <c:v>76.03</c:v>
                </c:pt>
                <c:pt idx="8">
                  <c:v>#N/A</c:v>
                </c:pt>
                <c:pt idx="9">
                  <c:v>83.74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F0-448A-85CD-C152E468A694}"/>
            </c:ext>
          </c:extLst>
        </c:ser>
        <c:ser>
          <c:idx val="2"/>
          <c:order val="2"/>
          <c:tx>
            <c:v>QA</c:v>
          </c:tx>
          <c:spPr>
            <a:ln w="28575" cap="rnd">
              <a:solidFill>
                <a:srgbClr val="C6282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62828"/>
              </a:solidFill>
              <a:ln w="9525">
                <a:solidFill>
                  <a:srgbClr val="C62828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Chart_Data!$T$2:$T$401</c:f>
              <c:numCache>
                <c:formatCode>0.0</c:formatCode>
                <c:ptCount val="400"/>
                <c:pt idx="0">
                  <c:v>69.81</c:v>
                </c:pt>
                <c:pt idx="1">
                  <c:v>85.41</c:v>
                </c:pt>
                <c:pt idx="2">
                  <c:v>62.2</c:v>
                </c:pt>
                <c:pt idx="3">
                  <c:v>74.39</c:v>
                </c:pt>
                <c:pt idx="4">
                  <c:v>54.89</c:v>
                </c:pt>
                <c:pt idx="5">
                  <c:v>45.38</c:v>
                </c:pt>
                <c:pt idx="6">
                  <c:v>83.13</c:v>
                </c:pt>
                <c:pt idx="7">
                  <c:v>96.81</c:v>
                </c:pt>
                <c:pt idx="8">
                  <c:v>#N/A</c:v>
                </c:pt>
                <c:pt idx="9">
                  <c:v>69.819999999999993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F0-448A-85CD-C152E468A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82303"/>
        <c:axId val="1095449071"/>
      </c:scatterChart>
      <c:valAx>
        <c:axId val="136118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Mock (attempt order)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449071"/>
        <c:crosses val="autoZero"/>
        <c:crossBetween val="midCat"/>
      </c:valAx>
      <c:valAx>
        <c:axId val="1095449071"/>
        <c:scaling>
          <c:orientation val="minMax"/>
          <c:max val="10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182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VARC — Score &amp; Percentile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VARC Score</c:v>
          </c:tx>
          <c:spPr>
            <a:ln w="28575" cap="rnd">
              <a:solidFill>
                <a:srgbClr val="2E7D3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E7D32"/>
              </a:solidFill>
              <a:ln w="9525">
                <a:solidFill>
                  <a:srgbClr val="2E7D32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Chart_Data!$O$2:$O$401</c:f>
              <c:numCache>
                <c:formatCode>0</c:formatCode>
                <c:ptCount val="400"/>
                <c:pt idx="0">
                  <c:v>31</c:v>
                </c:pt>
                <c:pt idx="1">
                  <c:v>35</c:v>
                </c:pt>
                <c:pt idx="2">
                  <c:v>49</c:v>
                </c:pt>
                <c:pt idx="3">
                  <c:v>34</c:v>
                </c:pt>
                <c:pt idx="4">
                  <c:v>49</c:v>
                </c:pt>
                <c:pt idx="5">
                  <c:v>50</c:v>
                </c:pt>
                <c:pt idx="6">
                  <c:v>45</c:v>
                </c:pt>
                <c:pt idx="7">
                  <c:v>40</c:v>
                </c:pt>
                <c:pt idx="8">
                  <c:v>31</c:v>
                </c:pt>
                <c:pt idx="9">
                  <c:v>20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71-4653-BC6E-A113C64F7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082255"/>
        <c:axId val="1095565711"/>
      </c:scatterChart>
      <c:scatterChart>
        <c:scatterStyle val="lineMarker"/>
        <c:varyColors val="0"/>
        <c:ser>
          <c:idx val="1"/>
          <c:order val="1"/>
          <c:tx>
            <c:v>VARC %ile</c:v>
          </c:tx>
          <c:spPr>
            <a:ln w="25400" cap="rnd">
              <a:solidFill>
                <a:srgbClr val="EF6C00"/>
              </a:solidFill>
              <a:prstDash val="lgDash"/>
              <a:round/>
            </a:ln>
            <a:effectLst/>
          </c:spPr>
          <c:marker>
            <c:symbol val="circle"/>
            <c:size val="4"/>
            <c:spPr>
              <a:solidFill>
                <a:srgbClr val="EF6C00"/>
              </a:solidFill>
              <a:ln w="9525">
                <a:solidFill>
                  <a:srgbClr val="EF6C00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Chart_Data!$P$2:$P$401</c:f>
              <c:numCache>
                <c:formatCode>0.0</c:formatCode>
                <c:ptCount val="400"/>
                <c:pt idx="0">
                  <c:v>88.02</c:v>
                </c:pt>
                <c:pt idx="1">
                  <c:v>92.72</c:v>
                </c:pt>
                <c:pt idx="2">
                  <c:v>99.09</c:v>
                </c:pt>
                <c:pt idx="3">
                  <c:v>90.5</c:v>
                </c:pt>
                <c:pt idx="4">
                  <c:v>98.79</c:v>
                </c:pt>
                <c:pt idx="5">
                  <c:v>99.62</c:v>
                </c:pt>
                <c:pt idx="6">
                  <c:v>99.91</c:v>
                </c:pt>
                <c:pt idx="7">
                  <c:v>98.12</c:v>
                </c:pt>
                <c:pt idx="8">
                  <c:v>#N/A</c:v>
                </c:pt>
                <c:pt idx="9">
                  <c:v>65.510000000000005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71-4653-BC6E-A113C64F7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482191"/>
        <c:axId val="1095477391"/>
      </c:scatterChart>
      <c:valAx>
        <c:axId val="1297082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Mock (attempt order)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65711"/>
        <c:crosses val="autoZero"/>
        <c:crossBetween val="midCat"/>
      </c:valAx>
      <c:valAx>
        <c:axId val="109556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82255"/>
        <c:crosses val="autoZero"/>
        <c:crossBetween val="midCat"/>
      </c:valAx>
      <c:valAx>
        <c:axId val="1095477391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482191"/>
        <c:crosses val="max"/>
        <c:crossBetween val="midCat"/>
      </c:valAx>
      <c:valAx>
        <c:axId val="10954821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5477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DILR — Score &amp; Percentile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DILR Score</c:v>
          </c:tx>
          <c:spPr>
            <a:ln w="28575" cap="rnd">
              <a:solidFill>
                <a:srgbClr val="1565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565C0"/>
              </a:solidFill>
              <a:ln w="9525">
                <a:solidFill>
                  <a:srgbClr val="1565C0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Chart_Data!$Q$2:$Q$401</c:f>
              <c:numCache>
                <c:formatCode>0</c:formatCode>
                <c:ptCount val="400"/>
                <c:pt idx="0">
                  <c:v>24</c:v>
                </c:pt>
                <c:pt idx="1">
                  <c:v>36</c:v>
                </c:pt>
                <c:pt idx="2">
                  <c:v>21</c:v>
                </c:pt>
                <c:pt idx="3">
                  <c:v>13</c:v>
                </c:pt>
                <c:pt idx="4">
                  <c:v>29</c:v>
                </c:pt>
                <c:pt idx="5">
                  <c:v>23</c:v>
                </c:pt>
                <c:pt idx="6">
                  <c:v>3</c:v>
                </c:pt>
                <c:pt idx="7">
                  <c:v>15</c:v>
                </c:pt>
                <c:pt idx="8">
                  <c:v>27</c:v>
                </c:pt>
                <c:pt idx="9">
                  <c:v>16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3C-4E09-AFEF-3D0CDA8A4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275231"/>
        <c:axId val="1095557071"/>
      </c:scatterChart>
      <c:scatterChart>
        <c:scatterStyle val="lineMarker"/>
        <c:varyColors val="0"/>
        <c:ser>
          <c:idx val="1"/>
          <c:order val="1"/>
          <c:tx>
            <c:v>DILR %ile</c:v>
          </c:tx>
          <c:spPr>
            <a:ln w="25400" cap="rnd">
              <a:solidFill>
                <a:srgbClr val="EF6C00"/>
              </a:solidFill>
              <a:prstDash val="lgDash"/>
              <a:round/>
            </a:ln>
            <a:effectLst/>
          </c:spPr>
          <c:marker>
            <c:symbol val="circle"/>
            <c:size val="4"/>
            <c:spPr>
              <a:solidFill>
                <a:srgbClr val="EF6C00"/>
              </a:solidFill>
              <a:ln w="9525">
                <a:solidFill>
                  <a:srgbClr val="EF6C00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Chart_Data!$R$2:$R$401</c:f>
              <c:numCache>
                <c:formatCode>0.0</c:formatCode>
                <c:ptCount val="400"/>
                <c:pt idx="0">
                  <c:v>90.04</c:v>
                </c:pt>
                <c:pt idx="1">
                  <c:v>94.69</c:v>
                </c:pt>
                <c:pt idx="2">
                  <c:v>91.49</c:v>
                </c:pt>
                <c:pt idx="3">
                  <c:v>62.87</c:v>
                </c:pt>
                <c:pt idx="4">
                  <c:v>91.89</c:v>
                </c:pt>
                <c:pt idx="5">
                  <c:v>75.739999999999995</c:v>
                </c:pt>
                <c:pt idx="6">
                  <c:v>33.840000000000003</c:v>
                </c:pt>
                <c:pt idx="7">
                  <c:v>76.03</c:v>
                </c:pt>
                <c:pt idx="8">
                  <c:v>#N/A</c:v>
                </c:pt>
                <c:pt idx="9">
                  <c:v>83.74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3C-4E09-AFEF-3D0CDA8A4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400591"/>
        <c:axId val="1095398191"/>
      </c:scatterChart>
      <c:valAx>
        <c:axId val="130227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Mock (attempt order)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57071"/>
        <c:crosses val="autoZero"/>
        <c:crossBetween val="midCat"/>
      </c:valAx>
      <c:valAx>
        <c:axId val="109555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275231"/>
        <c:crosses val="autoZero"/>
        <c:crossBetween val="midCat"/>
      </c:valAx>
      <c:valAx>
        <c:axId val="1095398191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400591"/>
        <c:crosses val="max"/>
        <c:crossBetween val="midCat"/>
      </c:valAx>
      <c:valAx>
        <c:axId val="10954005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5398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QA — Score &amp; Percentile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QA Score</c:v>
          </c:tx>
          <c:spPr>
            <a:ln w="28575" cap="rnd">
              <a:solidFill>
                <a:srgbClr val="C6282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62828"/>
              </a:solidFill>
              <a:ln w="9525">
                <a:solidFill>
                  <a:srgbClr val="C62828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Chart_Data!$S$2:$S$401</c:f>
              <c:numCache>
                <c:formatCode>0</c:formatCode>
                <c:ptCount val="400"/>
                <c:pt idx="0">
                  <c:v>21</c:v>
                </c:pt>
                <c:pt idx="1">
                  <c:v>24</c:v>
                </c:pt>
                <c:pt idx="2">
                  <c:v>13</c:v>
                </c:pt>
                <c:pt idx="3">
                  <c:v>23</c:v>
                </c:pt>
                <c:pt idx="4">
                  <c:v>10</c:v>
                </c:pt>
                <c:pt idx="5">
                  <c:v>10</c:v>
                </c:pt>
                <c:pt idx="6">
                  <c:v>20</c:v>
                </c:pt>
                <c:pt idx="7">
                  <c:v>36</c:v>
                </c:pt>
                <c:pt idx="8">
                  <c:v>24</c:v>
                </c:pt>
                <c:pt idx="9">
                  <c:v>19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7A-4A8C-8A7E-B1BE17857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893759"/>
        <c:axId val="1095542671"/>
      </c:scatterChart>
      <c:scatterChart>
        <c:scatterStyle val="lineMarker"/>
        <c:varyColors val="0"/>
        <c:ser>
          <c:idx val="1"/>
          <c:order val="1"/>
          <c:tx>
            <c:v>QA %ile</c:v>
          </c:tx>
          <c:spPr>
            <a:ln w="25400" cap="rnd">
              <a:solidFill>
                <a:srgbClr val="EF6C00"/>
              </a:solidFill>
              <a:prstDash val="lgDash"/>
              <a:round/>
            </a:ln>
            <a:effectLst/>
          </c:spPr>
          <c:marker>
            <c:symbol val="circle"/>
            <c:size val="4"/>
            <c:spPr>
              <a:solidFill>
                <a:srgbClr val="EF6C00"/>
              </a:solidFill>
              <a:ln w="9525">
                <a:solidFill>
                  <a:srgbClr val="EF6C00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Chart_Data!$T$2:$T$401</c:f>
              <c:numCache>
                <c:formatCode>0.0</c:formatCode>
                <c:ptCount val="400"/>
                <c:pt idx="0">
                  <c:v>69.81</c:v>
                </c:pt>
                <c:pt idx="1">
                  <c:v>85.41</c:v>
                </c:pt>
                <c:pt idx="2">
                  <c:v>62.2</c:v>
                </c:pt>
                <c:pt idx="3">
                  <c:v>74.39</c:v>
                </c:pt>
                <c:pt idx="4">
                  <c:v>54.89</c:v>
                </c:pt>
                <c:pt idx="5">
                  <c:v>45.38</c:v>
                </c:pt>
                <c:pt idx="6">
                  <c:v>83.13</c:v>
                </c:pt>
                <c:pt idx="7">
                  <c:v>96.81</c:v>
                </c:pt>
                <c:pt idx="8">
                  <c:v>#N/A</c:v>
                </c:pt>
                <c:pt idx="9">
                  <c:v>69.819999999999993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7A-4A8C-8A7E-B1BE17857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651631"/>
        <c:axId val="1095656431"/>
      </c:scatterChart>
      <c:valAx>
        <c:axId val="75089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Mock (attempt order)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42671"/>
        <c:crosses val="autoZero"/>
        <c:crossBetween val="midCat"/>
      </c:valAx>
      <c:valAx>
        <c:axId val="109554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893759"/>
        <c:crosses val="autoZero"/>
        <c:crossBetween val="midCat"/>
      </c:valAx>
      <c:valAx>
        <c:axId val="1095656431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651631"/>
        <c:crosses val="max"/>
        <c:crossBetween val="midCat"/>
      </c:valAx>
      <c:valAx>
        <c:axId val="1095651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5656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Sections — Score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VARC</c:v>
          </c:tx>
          <c:spPr>
            <a:ln w="28575" cap="rnd">
              <a:solidFill>
                <a:srgbClr val="2E7D3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E7D32"/>
              </a:solidFill>
              <a:ln w="9525">
                <a:solidFill>
                  <a:srgbClr val="2E7D32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Chart_Data!$O$2:$O$401</c:f>
              <c:numCache>
                <c:formatCode>0</c:formatCode>
                <c:ptCount val="400"/>
                <c:pt idx="0">
                  <c:v>31</c:v>
                </c:pt>
                <c:pt idx="1">
                  <c:v>35</c:v>
                </c:pt>
                <c:pt idx="2">
                  <c:v>49</c:v>
                </c:pt>
                <c:pt idx="3">
                  <c:v>34</c:v>
                </c:pt>
                <c:pt idx="4">
                  <c:v>49</c:v>
                </c:pt>
                <c:pt idx="5">
                  <c:v>50</c:v>
                </c:pt>
                <c:pt idx="6">
                  <c:v>45</c:v>
                </c:pt>
                <c:pt idx="7">
                  <c:v>40</c:v>
                </c:pt>
                <c:pt idx="8">
                  <c:v>31</c:v>
                </c:pt>
                <c:pt idx="9">
                  <c:v>20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84-4862-A9CE-FA1FF6E4EE19}"/>
            </c:ext>
          </c:extLst>
        </c:ser>
        <c:ser>
          <c:idx val="1"/>
          <c:order val="1"/>
          <c:tx>
            <c:v>DILR</c:v>
          </c:tx>
          <c:spPr>
            <a:ln w="28575" cap="rnd">
              <a:solidFill>
                <a:srgbClr val="1565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565C0"/>
              </a:solidFill>
              <a:ln w="9525">
                <a:solidFill>
                  <a:srgbClr val="1565C0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Chart_Data!$Q$2:$Q$401</c:f>
              <c:numCache>
                <c:formatCode>0</c:formatCode>
                <c:ptCount val="400"/>
                <c:pt idx="0">
                  <c:v>24</c:v>
                </c:pt>
                <c:pt idx="1">
                  <c:v>36</c:v>
                </c:pt>
                <c:pt idx="2">
                  <c:v>21</c:v>
                </c:pt>
                <c:pt idx="3">
                  <c:v>13</c:v>
                </c:pt>
                <c:pt idx="4">
                  <c:v>29</c:v>
                </c:pt>
                <c:pt idx="5">
                  <c:v>23</c:v>
                </c:pt>
                <c:pt idx="6">
                  <c:v>3</c:v>
                </c:pt>
                <c:pt idx="7">
                  <c:v>15</c:v>
                </c:pt>
                <c:pt idx="8">
                  <c:v>27</c:v>
                </c:pt>
                <c:pt idx="9">
                  <c:v>16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84-4862-A9CE-FA1FF6E4EE19}"/>
            </c:ext>
          </c:extLst>
        </c:ser>
        <c:ser>
          <c:idx val="2"/>
          <c:order val="2"/>
          <c:tx>
            <c:v>QA</c:v>
          </c:tx>
          <c:spPr>
            <a:ln w="28575" cap="rnd">
              <a:solidFill>
                <a:srgbClr val="C6282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62828"/>
              </a:solidFill>
              <a:ln w="9525">
                <a:solidFill>
                  <a:srgbClr val="C62828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Chart_Data!$S$2:$S$401</c:f>
              <c:numCache>
                <c:formatCode>0</c:formatCode>
                <c:ptCount val="400"/>
                <c:pt idx="0">
                  <c:v>21</c:v>
                </c:pt>
                <c:pt idx="1">
                  <c:v>24</c:v>
                </c:pt>
                <c:pt idx="2">
                  <c:v>13</c:v>
                </c:pt>
                <c:pt idx="3">
                  <c:v>23</c:v>
                </c:pt>
                <c:pt idx="4">
                  <c:v>10</c:v>
                </c:pt>
                <c:pt idx="5">
                  <c:v>10</c:v>
                </c:pt>
                <c:pt idx="6">
                  <c:v>20</c:v>
                </c:pt>
                <c:pt idx="7">
                  <c:v>36</c:v>
                </c:pt>
                <c:pt idx="8">
                  <c:v>24</c:v>
                </c:pt>
                <c:pt idx="9">
                  <c:v>19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84-4862-A9CE-FA1FF6E4EE19}"/>
            </c:ext>
          </c:extLst>
        </c:ser>
        <c:ser>
          <c:idx val="3"/>
          <c:order val="3"/>
          <c:tx>
            <c:v>Overall</c:v>
          </c:tx>
          <c:spPr>
            <a:ln w="41275" cap="rnd">
              <a:solidFill>
                <a:srgbClr val="4527A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4527A0"/>
              </a:solidFill>
              <a:ln w="9525">
                <a:solidFill>
                  <a:srgbClr val="4527A0"/>
                </a:solidFill>
                <a:prstDash val="solid"/>
              </a:ln>
              <a:effectLst/>
            </c:spPr>
          </c:marker>
          <c:xVal>
            <c:numRef>
              <c:f>Chart_Data!$AM$2:$AM$401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xVal>
          <c:yVal>
            <c:numRef>
              <c:f>Chart_Data!$U$2:$U$401</c:f>
              <c:numCache>
                <c:formatCode>0</c:formatCode>
                <c:ptCount val="400"/>
                <c:pt idx="0">
                  <c:v>76</c:v>
                </c:pt>
                <c:pt idx="1">
                  <c:v>95</c:v>
                </c:pt>
                <c:pt idx="2">
                  <c:v>83</c:v>
                </c:pt>
                <c:pt idx="3">
                  <c:v>70</c:v>
                </c:pt>
                <c:pt idx="4">
                  <c:v>88</c:v>
                </c:pt>
                <c:pt idx="5">
                  <c:v>83</c:v>
                </c:pt>
                <c:pt idx="6">
                  <c:v>68</c:v>
                </c:pt>
                <c:pt idx="7">
                  <c:v>91</c:v>
                </c:pt>
                <c:pt idx="8">
                  <c:v>82</c:v>
                </c:pt>
                <c:pt idx="9">
                  <c:v>55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84-4862-A9CE-FA1FF6E4E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294831"/>
        <c:axId val="1095546991"/>
      </c:scatterChart>
      <c:valAx>
        <c:axId val="153929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Mock (attempt order)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46991"/>
        <c:crosses val="autoZero"/>
        <c:crossBetween val="midCat"/>
      </c:valAx>
      <c:valAx>
        <c:axId val="109554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294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219</xdr:row>
      <xdr:rowOff>162560</xdr:rowOff>
    </xdr:from>
    <xdr:to>
      <xdr:col>8</xdr:col>
      <xdr:colOff>650240</xdr:colOff>
      <xdr:row>247</xdr:row>
      <xdr:rowOff>121920</xdr:rowOff>
    </xdr:to>
    <xdr:graphicFrame macro="">
      <xdr:nvGraphicFramePr>
        <xdr:cNvPr id="10" name="ChartRadar">
          <a:extLst>
            <a:ext uri="{FF2B5EF4-FFF2-40B4-BE49-F238E27FC236}">
              <a16:creationId xmlns:a16="http://schemas.microsoft.com/office/drawing/2014/main" id="{2B38DDB1-1BFA-52B9-1A14-667E24274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14</xdr:col>
      <xdr:colOff>806196</xdr:colOff>
      <xdr:row>49</xdr:row>
      <xdr:rowOff>180721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A00F1E9-77B6-C2D5-F4F1-BD99464DA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51</xdr:row>
      <xdr:rowOff>177800</xdr:rowOff>
    </xdr:from>
    <xdr:to>
      <xdr:col>15</xdr:col>
      <xdr:colOff>0</xdr:colOff>
      <xdr:row>73</xdr:row>
      <xdr:rowOff>180340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FEEBD913-3032-E53B-03F8-D16B9850B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76</xdr:row>
      <xdr:rowOff>0</xdr:rowOff>
    </xdr:from>
    <xdr:to>
      <xdr:col>15</xdr:col>
      <xdr:colOff>0</xdr:colOff>
      <xdr:row>98</xdr:row>
      <xdr:rowOff>2540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66ACEDCA-F941-FBF1-E8D3-6510A8B79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100</xdr:row>
      <xdr:rowOff>5080</xdr:rowOff>
    </xdr:from>
    <xdr:to>
      <xdr:col>15</xdr:col>
      <xdr:colOff>0</xdr:colOff>
      <xdr:row>122</xdr:row>
      <xdr:rowOff>7620</xdr:rowOff>
    </xdr:to>
    <xdr:graphicFrame macro="">
      <xdr:nvGraphicFramePr>
        <xdr:cNvPr id="14" name="Chart 4">
          <a:extLst>
            <a:ext uri="{FF2B5EF4-FFF2-40B4-BE49-F238E27FC236}">
              <a16:creationId xmlns:a16="http://schemas.microsoft.com/office/drawing/2014/main" id="{926915C1-55F8-208E-11E1-5DD313A83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123</xdr:row>
      <xdr:rowOff>180340</xdr:rowOff>
    </xdr:from>
    <xdr:to>
      <xdr:col>15</xdr:col>
      <xdr:colOff>0</xdr:colOff>
      <xdr:row>146</xdr:row>
      <xdr:rowOff>0</xdr:rowOff>
    </xdr:to>
    <xdr:graphicFrame macro="">
      <xdr:nvGraphicFramePr>
        <xdr:cNvPr id="15" name="Chart 5">
          <a:extLst>
            <a:ext uri="{FF2B5EF4-FFF2-40B4-BE49-F238E27FC236}">
              <a16:creationId xmlns:a16="http://schemas.microsoft.com/office/drawing/2014/main" id="{7919E650-AE02-1F2F-E5DD-DEF322AA7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148</xdr:row>
      <xdr:rowOff>2540</xdr:rowOff>
    </xdr:from>
    <xdr:to>
      <xdr:col>15</xdr:col>
      <xdr:colOff>0</xdr:colOff>
      <xdr:row>170</xdr:row>
      <xdr:rowOff>5080</xdr:rowOff>
    </xdr:to>
    <xdr:graphicFrame macro="">
      <xdr:nvGraphicFramePr>
        <xdr:cNvPr id="16" name="Chart 6">
          <a:extLst>
            <a:ext uri="{FF2B5EF4-FFF2-40B4-BE49-F238E27FC236}">
              <a16:creationId xmlns:a16="http://schemas.microsoft.com/office/drawing/2014/main" id="{291EAAE9-C2BF-3F11-5C77-8BF3D2642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171</xdr:row>
      <xdr:rowOff>177800</xdr:rowOff>
    </xdr:from>
    <xdr:to>
      <xdr:col>15</xdr:col>
      <xdr:colOff>0</xdr:colOff>
      <xdr:row>193</xdr:row>
      <xdr:rowOff>180340</xdr:rowOff>
    </xdr:to>
    <xdr:graphicFrame macro="">
      <xdr:nvGraphicFramePr>
        <xdr:cNvPr id="17" name="Chart 7">
          <a:extLst>
            <a:ext uri="{FF2B5EF4-FFF2-40B4-BE49-F238E27FC236}">
              <a16:creationId xmlns:a16="http://schemas.microsoft.com/office/drawing/2014/main" id="{B5793BC3-1C7C-CF1D-2709-61203B431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196</xdr:row>
      <xdr:rowOff>0</xdr:rowOff>
    </xdr:from>
    <xdr:to>
      <xdr:col>15</xdr:col>
      <xdr:colOff>0</xdr:colOff>
      <xdr:row>218</xdr:row>
      <xdr:rowOff>2540</xdr:rowOff>
    </xdr:to>
    <xdr:graphicFrame macro="">
      <xdr:nvGraphicFramePr>
        <xdr:cNvPr id="18" name="Chart 8">
          <a:extLst>
            <a:ext uri="{FF2B5EF4-FFF2-40B4-BE49-F238E27FC236}">
              <a16:creationId xmlns:a16="http://schemas.microsoft.com/office/drawing/2014/main" id="{08552D34-AA99-5BBE-7456-51A35D11D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A50C2D-C001-4489-AF6C-328F96A50072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586ad7d3-1dc5-4e4f-9377-669de9fc4c1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A1:AB401"/>
  <sheetViews>
    <sheetView showGridLines="0" topLeftCell="L1" zoomScaleNormal="100" workbookViewId="0">
      <selection activeCell="Y7" sqref="Y7"/>
    </sheetView>
  </sheetViews>
  <sheetFormatPr defaultColWidth="8.6640625" defaultRowHeight="14.4" x14ac:dyDescent="0.3"/>
  <cols>
    <col min="1" max="16" width="11.77734375" customWidth="1"/>
    <col min="18" max="18" width="11.44140625" customWidth="1"/>
    <col min="19" max="19" width="15.5546875" customWidth="1"/>
    <col min="20" max="20" width="13" customWidth="1"/>
    <col min="21" max="22" width="9.6640625" customWidth="1"/>
    <col min="23" max="23" width="8.109375" customWidth="1"/>
    <col min="24" max="24" width="9.21875" customWidth="1"/>
    <col min="25" max="25" width="8.109375" customWidth="1"/>
    <col min="26" max="26" width="9.21875" customWidth="1"/>
    <col min="27" max="27" width="8.109375" customWidth="1"/>
    <col min="28" max="28" width="9.21875" customWidth="1"/>
  </cols>
  <sheetData>
    <row r="1" spans="1:22" ht="43.5" customHeight="1" x14ac:dyDescent="0.3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8" t="s">
        <v>332</v>
      </c>
      <c r="P1" s="108"/>
    </row>
    <row r="2" spans="1:22" ht="15.75" customHeight="1" x14ac:dyDescent="0.3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</row>
    <row r="3" spans="1:22" ht="37.5" customHeight="1" x14ac:dyDescent="0.3">
      <c r="A3" s="110">
        <f ca="1">Calculations!B29</f>
        <v>111</v>
      </c>
      <c r="B3" s="110"/>
      <c r="C3" s="110"/>
      <c r="D3" s="111" t="str">
        <f>TEXT(Calculations!B23,"0")&amp;" / "&amp;TEXT(Calculations!B22,"0")</f>
        <v>10 / 100</v>
      </c>
      <c r="E3" s="111"/>
      <c r="F3" s="111"/>
      <c r="G3" s="112" t="str">
        <f>TEXT(Calculations!B25,"0.0%")</f>
        <v>10.0%</v>
      </c>
      <c r="H3" s="112"/>
      <c r="I3" s="112"/>
      <c r="J3" s="113" t="str">
        <f>TEXT(Calculations!B26,"0")&amp;" / "&amp;TEXT(Calculations!B23,"0")</f>
        <v>10 / 10</v>
      </c>
      <c r="K3" s="113"/>
      <c r="L3" s="113"/>
      <c r="M3" s="114" t="str">
        <f>TEXT(Calculations!B30,"DD-MMM-YYYY")</f>
        <v>13-Jul-2026</v>
      </c>
      <c r="N3" s="114"/>
      <c r="O3" s="114"/>
      <c r="P3" s="114"/>
    </row>
    <row r="4" spans="1:22" ht="12.75" customHeight="1" x14ac:dyDescent="0.3">
      <c r="A4" s="115" t="s">
        <v>2</v>
      </c>
      <c r="B4" s="115"/>
      <c r="C4" s="115"/>
      <c r="D4" s="115" t="s">
        <v>3</v>
      </c>
      <c r="E4" s="115"/>
      <c r="F4" s="115"/>
      <c r="G4" s="115" t="s">
        <v>4</v>
      </c>
      <c r="H4" s="115"/>
      <c r="I4" s="115"/>
      <c r="J4" s="115" t="s">
        <v>5</v>
      </c>
      <c r="K4" s="115"/>
      <c r="L4" s="115"/>
      <c r="M4" s="115" t="s">
        <v>6</v>
      </c>
      <c r="N4" s="115"/>
      <c r="O4" s="115"/>
      <c r="P4" s="115"/>
    </row>
    <row r="5" spans="1:22" ht="4.5" customHeight="1" x14ac:dyDescent="0.3">
      <c r="A5" s="116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</row>
    <row r="6" spans="1:22" ht="21.75" customHeight="1" x14ac:dyDescent="0.3">
      <c r="A6" s="117" t="s">
        <v>7</v>
      </c>
      <c r="B6" s="117"/>
      <c r="C6" s="117"/>
      <c r="D6" s="117"/>
      <c r="E6" s="118" t="s">
        <v>8</v>
      </c>
      <c r="F6" s="118"/>
      <c r="G6" s="118"/>
      <c r="H6" s="118"/>
      <c r="I6" s="119" t="s">
        <v>9</v>
      </c>
      <c r="J6" s="119"/>
      <c r="K6" s="119"/>
      <c r="L6" s="119"/>
      <c r="M6" s="120" t="s">
        <v>10</v>
      </c>
      <c r="N6" s="120"/>
      <c r="O6" s="120"/>
      <c r="P6" s="120"/>
    </row>
    <row r="7" spans="1:22" ht="12.75" customHeight="1" x14ac:dyDescent="0.3">
      <c r="A7" s="41" t="s">
        <v>11</v>
      </c>
      <c r="B7" s="41" t="s">
        <v>12</v>
      </c>
      <c r="C7" s="41" t="s">
        <v>13</v>
      </c>
      <c r="D7" s="41" t="s">
        <v>14</v>
      </c>
      <c r="E7" s="41" t="s">
        <v>11</v>
      </c>
      <c r="F7" s="41" t="s">
        <v>12</v>
      </c>
      <c r="G7" s="41" t="s">
        <v>13</v>
      </c>
      <c r="H7" s="41" t="s">
        <v>14</v>
      </c>
      <c r="I7" s="41" t="s">
        <v>11</v>
      </c>
      <c r="J7" s="41" t="s">
        <v>12</v>
      </c>
      <c r="K7" s="41" t="s">
        <v>13</v>
      </c>
      <c r="L7" s="41" t="s">
        <v>14</v>
      </c>
      <c r="M7" s="41" t="s">
        <v>11</v>
      </c>
      <c r="N7" s="41" t="s">
        <v>12</v>
      </c>
      <c r="O7" s="41" t="s">
        <v>13</v>
      </c>
      <c r="P7" s="41" t="s">
        <v>14</v>
      </c>
    </row>
    <row r="8" spans="1:22" ht="16.5" customHeight="1" x14ac:dyDescent="0.3">
      <c r="A8" s="42" t="s">
        <v>15</v>
      </c>
      <c r="B8" s="43">
        <f ca="1">IFERROR(Calculations!B2,"—")</f>
        <v>55</v>
      </c>
      <c r="C8" s="43">
        <f ca="1">IFERROR(Calculations!C2,"—")</f>
        <v>79.22</v>
      </c>
      <c r="D8" s="44" t="str">
        <f ca="1">IFERROR(IF(Calculations!B2&gt;=Calculations!B3,"▲","▼"),"—")</f>
        <v>▼</v>
      </c>
      <c r="E8" s="42" t="s">
        <v>15</v>
      </c>
      <c r="F8" s="43">
        <f ca="1">IFERROR(Calculations!D2,"—")</f>
        <v>20</v>
      </c>
      <c r="G8" s="43">
        <f ca="1">IFERROR(Calculations!E2,"—")</f>
        <v>65.510000000000005</v>
      </c>
      <c r="H8" s="44" t="str">
        <f ca="1">IFERROR(IF(Calculations!D2&gt;=Calculations!D3,"▲","▼"),"—")</f>
        <v>▼</v>
      </c>
      <c r="I8" s="42" t="s">
        <v>15</v>
      </c>
      <c r="J8" s="43">
        <f ca="1">IFERROR(Calculations!F2,"—")</f>
        <v>16</v>
      </c>
      <c r="K8" s="43">
        <f ca="1">IFERROR(Calculations!G2,"—")</f>
        <v>83.74</v>
      </c>
      <c r="L8" s="44" t="str">
        <f ca="1">IFERROR(IF(Calculations!F2&gt;=Calculations!F3,"▲","▼"),"—")</f>
        <v>▼</v>
      </c>
      <c r="M8" s="42" t="s">
        <v>15</v>
      </c>
      <c r="N8" s="43">
        <f ca="1">IFERROR(Calculations!H2,"—")</f>
        <v>19</v>
      </c>
      <c r="O8" s="43">
        <f ca="1">IFERROR(Calculations!I2,"—")</f>
        <v>69.819999999999993</v>
      </c>
      <c r="P8" s="44" t="str">
        <f ca="1">IFERROR(IF(Calculations!H2&gt;=Calculations!H3,"▲","▼"),"—")</f>
        <v>▼</v>
      </c>
      <c r="R8" s="100" t="s">
        <v>324</v>
      </c>
      <c r="S8" s="100"/>
      <c r="T8" s="100"/>
      <c r="U8" s="100"/>
      <c r="V8" s="100"/>
    </row>
    <row r="9" spans="1:22" ht="16.5" customHeight="1" x14ac:dyDescent="0.3">
      <c r="A9" s="45" t="s">
        <v>16</v>
      </c>
      <c r="B9" s="46">
        <f ca="1">IFERROR(Calculations!B3,"—")</f>
        <v>79.099999999999994</v>
      </c>
      <c r="C9" s="46">
        <f ca="1">IFERROR(Calculations!C3,"—")</f>
        <v>92.015555555555565</v>
      </c>
      <c r="D9" s="47"/>
      <c r="E9" s="45" t="s">
        <v>16</v>
      </c>
      <c r="F9" s="46">
        <f ca="1">IFERROR(Calculations!D3,"—")</f>
        <v>38.4</v>
      </c>
      <c r="G9" s="46">
        <f ca="1">IFERROR(Calculations!E3,"—")</f>
        <v>92.475555555555559</v>
      </c>
      <c r="H9" s="47"/>
      <c r="I9" s="45" t="s">
        <v>16</v>
      </c>
      <c r="J9" s="46">
        <f ca="1">IFERROR(Calculations!F3,"—")</f>
        <v>20.7</v>
      </c>
      <c r="K9" s="46">
        <f ca="1">IFERROR(Calculations!G3,"—")</f>
        <v>77.814444444444447</v>
      </c>
      <c r="L9" s="47"/>
      <c r="M9" s="45" t="s">
        <v>16</v>
      </c>
      <c r="N9" s="46">
        <f ca="1">IFERROR(Calculations!H3,"—")</f>
        <v>20</v>
      </c>
      <c r="O9" s="46">
        <f ca="1">IFERROR(Calculations!I3,"—")</f>
        <v>71.315555555555548</v>
      </c>
      <c r="P9" s="47"/>
      <c r="R9" s="98" t="s">
        <v>325</v>
      </c>
      <c r="S9" s="98" t="s">
        <v>326</v>
      </c>
      <c r="T9" s="98" t="s">
        <v>327</v>
      </c>
      <c r="U9" s="98" t="s">
        <v>164</v>
      </c>
      <c r="V9" s="98" t="s">
        <v>328</v>
      </c>
    </row>
    <row r="10" spans="1:22" ht="16.5" customHeight="1" x14ac:dyDescent="0.3">
      <c r="A10" s="48" t="s">
        <v>17</v>
      </c>
      <c r="B10" s="49">
        <f ca="1">IFERROR(Calculations!B4,"—")</f>
        <v>82.5</v>
      </c>
      <c r="C10" s="49">
        <f ca="1">IFERROR(Calculations!C4,"—")</f>
        <v>94.82</v>
      </c>
      <c r="D10" s="50"/>
      <c r="E10" s="48" t="s">
        <v>17</v>
      </c>
      <c r="F10" s="49">
        <f ca="1">IFERROR(Calculations!D4,"—")</f>
        <v>37.5</v>
      </c>
      <c r="G10" s="49">
        <f ca="1">IFERROR(Calculations!E4,"—")</f>
        <v>98.12</v>
      </c>
      <c r="H10" s="50"/>
      <c r="I10" s="48" t="s">
        <v>17</v>
      </c>
      <c r="J10" s="49">
        <f ca="1">IFERROR(Calculations!F4,"—")</f>
        <v>22</v>
      </c>
      <c r="K10" s="49">
        <f ca="1">IFERROR(Calculations!G4,"—")</f>
        <v>83.74</v>
      </c>
      <c r="L10" s="50"/>
      <c r="M10" s="48" t="s">
        <v>17</v>
      </c>
      <c r="N10" s="49">
        <f ca="1">IFERROR(Calculations!H4,"—")</f>
        <v>20.5</v>
      </c>
      <c r="O10" s="49">
        <f ca="1">IFERROR(Calculations!I4,"—")</f>
        <v>69.819999999999993</v>
      </c>
      <c r="P10" s="50"/>
      <c r="R10" s="92">
        <f>IFERROR(EOMONTH(_xlfn.MINIFS('Mock Database'!$H$3:$H$152,'Mock Database'!$D$3:$D$152,"&lt;&gt;",'Mock Database'!$H$3:$H$152,"&gt;0"),-1)+1,"")</f>
        <v>46113</v>
      </c>
      <c r="S10" s="93">
        <f>IF($R10="","",COUNTIFS('Mock Database'!$D$3:$D$152,"&lt;&gt;",'Mock Database'!$H$3:$H$152,"&gt;="&amp;$R10,'Mock Database'!$H$3:$H$152,"&lt;="&amp;EOMONTH($R10,0)))</f>
        <v>1</v>
      </c>
      <c r="T10" s="93">
        <f>IF($R10="","",COUNTIFS('Mock Database'!$D$3:$D$152,"&lt;&gt;",'Mock Database'!$H$3:$H$152,"&gt;="&amp;$R10,'Mock Database'!$H$3:$H$152,"&lt;="&amp;EOMONTH($R10,0),'Mock Database'!$J$3:$J$152,"Completed"))</f>
        <v>1</v>
      </c>
      <c r="U10" s="93">
        <f t="shared" ref="U10:U18" si="0">IF($R10="","",$S10-$T10)</f>
        <v>0</v>
      </c>
      <c r="V10" s="94">
        <f t="shared" ref="V10:V18" si="1">IF($R10="","",IF($S10=0,"",$T10/$S10))</f>
        <v>1</v>
      </c>
    </row>
    <row r="11" spans="1:22" ht="16.5" customHeight="1" x14ac:dyDescent="0.3">
      <c r="A11" s="51" t="s">
        <v>18</v>
      </c>
      <c r="B11" s="52">
        <f ca="1">IFERROR(Calculations!B5,"—")</f>
        <v>95</v>
      </c>
      <c r="C11" s="52">
        <f ca="1">IFERROR(Calculations!C5,"—")</f>
        <v>98.37</v>
      </c>
      <c r="D11" s="47"/>
      <c r="E11" s="51" t="s">
        <v>18</v>
      </c>
      <c r="F11" s="52">
        <f ca="1">IFERROR(Calculations!D5,"—")</f>
        <v>50</v>
      </c>
      <c r="G11" s="52">
        <f ca="1">IFERROR(Calculations!E5,"—")</f>
        <v>99.91</v>
      </c>
      <c r="H11" s="47"/>
      <c r="I11" s="51" t="s">
        <v>18</v>
      </c>
      <c r="J11" s="52">
        <f ca="1">IFERROR(Calculations!F5,"—")</f>
        <v>36</v>
      </c>
      <c r="K11" s="52">
        <f ca="1">IFERROR(Calculations!G5,"—")</f>
        <v>94.69</v>
      </c>
      <c r="L11" s="47"/>
      <c r="M11" s="51" t="s">
        <v>18</v>
      </c>
      <c r="N11" s="52">
        <f ca="1">IFERROR(Calculations!H5,"—")</f>
        <v>36</v>
      </c>
      <c r="O11" s="52">
        <f ca="1">IFERROR(Calculations!I5,"—")</f>
        <v>96.81</v>
      </c>
      <c r="P11" s="47"/>
      <c r="R11" s="92">
        <f>IF($R10="","",IF(EOMONTH($R10,0)+1&gt;_xlfn.MAXIFS('Mock Database'!$H$3:$H$152,'Mock Database'!$D$3:$D$152,"&lt;&gt;",'Mock Database'!$H$3:$H$152,"&gt;0"),"",EOMONTH($R10,0)+1))</f>
        <v>46143</v>
      </c>
      <c r="S11" s="93">
        <f>IF($R11="","",COUNTIFS('Mock Database'!$D$3:$D$152,"&lt;&gt;",'Mock Database'!$H$3:$H$152,"&gt;="&amp;$R11,'Mock Database'!$H$3:$H$152,"&lt;="&amp;EOMONTH($R11,0)))</f>
        <v>2</v>
      </c>
      <c r="T11" s="93">
        <f>IF($R11="","",COUNTIFS('Mock Database'!$D$3:$D$152,"&lt;&gt;",'Mock Database'!$H$3:$H$152,"&gt;="&amp;$R11,'Mock Database'!$H$3:$H$152,"&lt;="&amp;EOMONTH($R11,0),'Mock Database'!$J$3:$J$152,"Completed"))</f>
        <v>2</v>
      </c>
      <c r="U11" s="93">
        <f t="shared" si="0"/>
        <v>0</v>
      </c>
      <c r="V11" s="94">
        <f t="shared" si="1"/>
        <v>1</v>
      </c>
    </row>
    <row r="12" spans="1:22" ht="16.5" customHeight="1" x14ac:dyDescent="0.3">
      <c r="A12" s="48" t="s">
        <v>19</v>
      </c>
      <c r="B12" s="49">
        <f ca="1">IFERROR(Calculations!B6,"—")</f>
        <v>55</v>
      </c>
      <c r="C12" s="49">
        <f ca="1">IFERROR(Calculations!C6,"—")</f>
        <v>79.22</v>
      </c>
      <c r="D12" s="50"/>
      <c r="E12" s="48" t="s">
        <v>19</v>
      </c>
      <c r="F12" s="49">
        <f ca="1">IFERROR(Calculations!D6,"—")</f>
        <v>20</v>
      </c>
      <c r="G12" s="49">
        <f ca="1">IFERROR(Calculations!E6,"—")</f>
        <v>65.510000000000005</v>
      </c>
      <c r="H12" s="50"/>
      <c r="I12" s="48" t="s">
        <v>19</v>
      </c>
      <c r="J12" s="49">
        <f ca="1">IFERROR(Calculations!F6,"—")</f>
        <v>3</v>
      </c>
      <c r="K12" s="49">
        <f ca="1">IFERROR(Calculations!G6,"—")</f>
        <v>33.840000000000003</v>
      </c>
      <c r="L12" s="50"/>
      <c r="M12" s="48" t="s">
        <v>19</v>
      </c>
      <c r="N12" s="49">
        <f ca="1">IFERROR(Calculations!H6,"—")</f>
        <v>10</v>
      </c>
      <c r="O12" s="49">
        <f ca="1">IFERROR(Calculations!I6,"—")</f>
        <v>45.38</v>
      </c>
      <c r="P12" s="50"/>
      <c r="R12" s="92">
        <f>IF($R11="","",IF(EOMONTH($R11,0)+1&gt;_xlfn.MAXIFS('Mock Database'!$H$3:$H$152,'Mock Database'!$D$3:$D$152,"&lt;&gt;",'Mock Database'!$H$3:$H$152,"&gt;0"),"",EOMONTH($R11,0)+1))</f>
        <v>46174</v>
      </c>
      <c r="S12" s="93">
        <f>IF($R12="","",COUNTIFS('Mock Database'!$D$3:$D$152,"&lt;&gt;",'Mock Database'!$H$3:$H$152,"&gt;="&amp;$R12,'Mock Database'!$H$3:$H$152,"&lt;="&amp;EOMONTH($R12,0)))</f>
        <v>6</v>
      </c>
      <c r="T12" s="93">
        <f>IF($R12="","",COUNTIFS('Mock Database'!$D$3:$D$152,"&lt;&gt;",'Mock Database'!$H$3:$H$152,"&gt;="&amp;$R12,'Mock Database'!$H$3:$H$152,"&lt;="&amp;EOMONTH($R12,0),'Mock Database'!$J$3:$J$152,"Completed"))</f>
        <v>6</v>
      </c>
      <c r="U12" s="93">
        <f t="shared" si="0"/>
        <v>0</v>
      </c>
      <c r="V12" s="94">
        <f t="shared" si="1"/>
        <v>1</v>
      </c>
    </row>
    <row r="13" spans="1:22" ht="16.5" customHeight="1" x14ac:dyDescent="0.3">
      <c r="A13" s="45" t="s">
        <v>20</v>
      </c>
      <c r="B13" s="46">
        <f ca="1">IFERROR(Calculations!B8,"—")</f>
        <v>12.059574342958109</v>
      </c>
      <c r="C13" s="46">
        <f ca="1">IFERROR(Calculations!C8,"—")</f>
        <v>6.4978056124954815</v>
      </c>
      <c r="D13" s="47"/>
      <c r="E13" s="45" t="s">
        <v>20</v>
      </c>
      <c r="F13" s="46">
        <f ca="1">IFERROR(Calculations!D8,"—")</f>
        <v>9.9129544872690012</v>
      </c>
      <c r="G13" s="46">
        <f ca="1">IFERROR(Calculations!E8,"—")</f>
        <v>11.026970471429566</v>
      </c>
      <c r="H13" s="47"/>
      <c r="I13" s="45" t="s">
        <v>20</v>
      </c>
      <c r="J13" s="46">
        <f ca="1">IFERROR(Calculations!F8,"—")</f>
        <v>9.3458249739894281</v>
      </c>
      <c r="K13" s="46">
        <f ca="1">IFERROR(Calculations!G8,"—")</f>
        <v>19.426395130795079</v>
      </c>
      <c r="L13" s="47"/>
      <c r="M13" s="45" t="s">
        <v>20</v>
      </c>
      <c r="N13" s="46">
        <f ca="1">IFERROR(Calculations!H8,"—")</f>
        <v>7.8031332738130832</v>
      </c>
      <c r="O13" s="46">
        <f ca="1">IFERROR(Calculations!I8,"—")</f>
        <v>15.92051358398278</v>
      </c>
      <c r="P13" s="47"/>
      <c r="R13" s="92">
        <f>IF($R12="","",IF(EOMONTH($R12,0)+1&gt;_xlfn.MAXIFS('Mock Database'!$H$3:$H$152,'Mock Database'!$D$3:$D$152,"&lt;&gt;",'Mock Database'!$H$3:$H$152,"&gt;0"),"",EOMONTH($R12,0)+1))</f>
        <v>46204</v>
      </c>
      <c r="S13" s="93">
        <f>IF($R13="","",COUNTIFS('Mock Database'!$D$3:$D$152,"&lt;&gt;",'Mock Database'!$H$3:$H$152,"&gt;="&amp;$R13,'Mock Database'!$H$3:$H$152,"&lt;="&amp;EOMONTH($R13,0)))</f>
        <v>11</v>
      </c>
      <c r="T13" s="93">
        <f>IF($R13="","",COUNTIFS('Mock Database'!$D$3:$D$152,"&lt;&gt;",'Mock Database'!$H$3:$H$152,"&gt;="&amp;$R13,'Mock Database'!$H$3:$H$152,"&lt;="&amp;EOMONTH($R13,0),'Mock Database'!$J$3:$J$152,"Completed"))</f>
        <v>1</v>
      </c>
      <c r="U13" s="93">
        <f t="shared" si="0"/>
        <v>10</v>
      </c>
      <c r="V13" s="94">
        <f t="shared" si="1"/>
        <v>9.0909090909090912E-2</v>
      </c>
    </row>
    <row r="14" spans="1:22" ht="16.5" customHeight="1" x14ac:dyDescent="0.3">
      <c r="A14" s="42" t="s">
        <v>21</v>
      </c>
      <c r="B14" s="43">
        <f ca="1">IFERROR(Calculations!B9,"—")</f>
        <v>75.8</v>
      </c>
      <c r="C14" s="43">
        <f ca="1">IFERROR(Calculations!C9,"—")</f>
        <v>92.377499999999998</v>
      </c>
      <c r="D14" s="50"/>
      <c r="E14" s="42" t="s">
        <v>21</v>
      </c>
      <c r="F14" s="43">
        <f ca="1">IFERROR(Calculations!D9,"—")</f>
        <v>37.200000000000003</v>
      </c>
      <c r="G14" s="43">
        <f ca="1">IFERROR(Calculations!E9,"—")</f>
        <v>90.789999999999992</v>
      </c>
      <c r="H14" s="50"/>
      <c r="I14" s="42" t="s">
        <v>21</v>
      </c>
      <c r="J14" s="43">
        <f ca="1">IFERROR(Calculations!F9,"—")</f>
        <v>16.8</v>
      </c>
      <c r="K14" s="43">
        <f ca="1">IFERROR(Calculations!G9,"—")</f>
        <v>67.337500000000006</v>
      </c>
      <c r="L14" s="50"/>
      <c r="M14" s="42" t="s">
        <v>21</v>
      </c>
      <c r="N14" s="43">
        <f ca="1">IFERROR(Calculations!H9,"—")</f>
        <v>21.8</v>
      </c>
      <c r="O14" s="43">
        <f ca="1">IFERROR(Calculations!I9,"—")</f>
        <v>73.784999999999997</v>
      </c>
      <c r="P14" s="50"/>
      <c r="R14" s="92">
        <f>IF($R13="","",IF(EOMONTH($R13,0)+1&gt;_xlfn.MAXIFS('Mock Database'!$H$3:$H$152,'Mock Database'!$D$3:$D$152,"&lt;&gt;",'Mock Database'!$H$3:$H$152,"&gt;0"),"",EOMONTH($R13,0)+1))</f>
        <v>46235</v>
      </c>
      <c r="S14" s="93">
        <f>IF($R14="","",COUNTIFS('Mock Database'!$D$3:$D$152,"&lt;&gt;",'Mock Database'!$H$3:$H$152,"&gt;="&amp;$R14,'Mock Database'!$H$3:$H$152,"&lt;="&amp;EOMONTH($R14,0)))</f>
        <v>19</v>
      </c>
      <c r="T14" s="93">
        <f>IF($R14="","",COUNTIFS('Mock Database'!$D$3:$D$152,"&lt;&gt;",'Mock Database'!$H$3:$H$152,"&gt;="&amp;$R14,'Mock Database'!$H$3:$H$152,"&lt;="&amp;EOMONTH($R14,0),'Mock Database'!$J$3:$J$152,"Completed"))</f>
        <v>0</v>
      </c>
      <c r="U14" s="93">
        <f t="shared" si="0"/>
        <v>19</v>
      </c>
      <c r="V14" s="94">
        <f t="shared" si="1"/>
        <v>0</v>
      </c>
    </row>
    <row r="15" spans="1:22" ht="16.5" customHeight="1" x14ac:dyDescent="0.3">
      <c r="A15" s="45" t="s">
        <v>22</v>
      </c>
      <c r="B15" s="46">
        <f ca="1">IFERROR(Calculations!B10,"—")</f>
        <v>79.099999999999994</v>
      </c>
      <c r="C15" s="46">
        <f ca="1">IFERROR(Calculations!C10,"—")</f>
        <v>92.015555555555565</v>
      </c>
      <c r="D15" s="47"/>
      <c r="E15" s="45" t="s">
        <v>22</v>
      </c>
      <c r="F15" s="46">
        <f ca="1">IFERROR(Calculations!D10,"—")</f>
        <v>38.4</v>
      </c>
      <c r="G15" s="46">
        <f ca="1">IFERROR(Calculations!E10,"—")</f>
        <v>92.475555555555559</v>
      </c>
      <c r="H15" s="47"/>
      <c r="I15" s="45" t="s">
        <v>22</v>
      </c>
      <c r="J15" s="46">
        <f ca="1">IFERROR(Calculations!F10,"—")</f>
        <v>20.7</v>
      </c>
      <c r="K15" s="46">
        <f ca="1">IFERROR(Calculations!G10,"—")</f>
        <v>77.814444444444447</v>
      </c>
      <c r="L15" s="47"/>
      <c r="M15" s="45" t="s">
        <v>22</v>
      </c>
      <c r="N15" s="46">
        <f ca="1">IFERROR(Calculations!H10,"—")</f>
        <v>20</v>
      </c>
      <c r="O15" s="46">
        <f ca="1">IFERROR(Calculations!I10,"—")</f>
        <v>71.315555555555548</v>
      </c>
      <c r="P15" s="47"/>
      <c r="R15" s="92">
        <f>IF($R14="","",IF(EOMONTH($R14,0)+1&gt;_xlfn.MAXIFS('Mock Database'!$H$3:$H$152,'Mock Database'!$D$3:$D$152,"&lt;&gt;",'Mock Database'!$H$3:$H$152,"&gt;0"),"",EOMONTH($R14,0)+1))</f>
        <v>46266</v>
      </c>
      <c r="S15" s="93">
        <f>IF($R15="","",COUNTIFS('Mock Database'!$D$3:$D$152,"&lt;&gt;",'Mock Database'!$H$3:$H$152,"&gt;="&amp;$R15,'Mock Database'!$H$3:$H$152,"&lt;="&amp;EOMONTH($R15,0)))</f>
        <v>13</v>
      </c>
      <c r="T15" s="93">
        <f>IF($R15="","",COUNTIFS('Mock Database'!$D$3:$D$152,"&lt;&gt;",'Mock Database'!$H$3:$H$152,"&gt;="&amp;$R15,'Mock Database'!$H$3:$H$152,"&lt;="&amp;EOMONTH($R15,0),'Mock Database'!$J$3:$J$152,"Completed"))</f>
        <v>0</v>
      </c>
      <c r="U15" s="93">
        <f t="shared" si="0"/>
        <v>13</v>
      </c>
      <c r="V15" s="94">
        <f t="shared" si="1"/>
        <v>0</v>
      </c>
    </row>
    <row r="16" spans="1:22" ht="16.5" customHeight="1" x14ac:dyDescent="0.3">
      <c r="A16" s="48" t="s">
        <v>23</v>
      </c>
      <c r="B16" s="53">
        <f ca="1">IFERROR(Calculations!B11,"—")</f>
        <v>-21</v>
      </c>
      <c r="C16" s="53">
        <f ca="1">IFERROR(Calculations!C11,"—")</f>
        <v>-9.7000000000000028</v>
      </c>
      <c r="D16" s="44" t="str">
        <f ca="1">IFERROR(IF(Calculations!B11&gt;=0,"▲","▼"),"—")</f>
        <v>▼</v>
      </c>
      <c r="E16" s="48" t="s">
        <v>23</v>
      </c>
      <c r="F16" s="53">
        <f ca="1">IFERROR(Calculations!D11,"—")</f>
        <v>-11</v>
      </c>
      <c r="G16" s="53">
        <f ca="1">IFERROR(Calculations!E11,"—")</f>
        <v>-22.509999999999991</v>
      </c>
      <c r="H16" s="44" t="str">
        <f ca="1">IFERROR(IF(Calculations!D11&gt;=0,"▲","▼"),"—")</f>
        <v>▼</v>
      </c>
      <c r="I16" s="48" t="s">
        <v>23</v>
      </c>
      <c r="J16" s="53">
        <f ca="1">IFERROR(Calculations!F11,"—")</f>
        <v>-8</v>
      </c>
      <c r="K16" s="53">
        <f ca="1">IFERROR(Calculations!G11,"—")</f>
        <v>-6.3000000000000114</v>
      </c>
      <c r="L16" s="44" t="str">
        <f ca="1">IFERROR(IF(Calculations!F11&gt;=0,"▲","▼"),"—")</f>
        <v>▼</v>
      </c>
      <c r="M16" s="48" t="s">
        <v>23</v>
      </c>
      <c r="N16" s="53">
        <f ca="1">IFERROR(Calculations!H11,"—")</f>
        <v>-2</v>
      </c>
      <c r="O16" s="53">
        <f ca="1">IFERROR(Calculations!I11,"—")</f>
        <v>9.9999999999909051E-3</v>
      </c>
      <c r="P16" s="44" t="str">
        <f ca="1">IFERROR(IF(Calculations!H11&gt;=0,"▲","▼"),"—")</f>
        <v>▼</v>
      </c>
      <c r="R16" s="92">
        <f>IF($R15="","",IF(EOMONTH($R15,0)+1&gt;_xlfn.MAXIFS('Mock Database'!$H$3:$H$152,'Mock Database'!$D$3:$D$152,"&lt;&gt;",'Mock Database'!$H$3:$H$152,"&gt;0"),"",EOMONTH($R15,0)+1))</f>
        <v>46296</v>
      </c>
      <c r="S16" s="93">
        <f>IF($R16="","",COUNTIFS('Mock Database'!$D$3:$D$152,"&lt;&gt;",'Mock Database'!$H$3:$H$152,"&gt;="&amp;$R16,'Mock Database'!$H$3:$H$152,"&lt;="&amp;EOMONTH($R16,0)))</f>
        <v>25</v>
      </c>
      <c r="T16" s="93">
        <f>IF($R16="","",COUNTIFS('Mock Database'!$D$3:$D$152,"&lt;&gt;",'Mock Database'!$H$3:$H$152,"&gt;="&amp;$R16,'Mock Database'!$H$3:$H$152,"&lt;="&amp;EOMONTH($R16,0),'Mock Database'!$J$3:$J$152,"Completed"))</f>
        <v>0</v>
      </c>
      <c r="U16" s="93">
        <f t="shared" si="0"/>
        <v>25</v>
      </c>
      <c r="V16" s="94">
        <f t="shared" si="1"/>
        <v>0</v>
      </c>
    </row>
    <row r="17" spans="1:28" ht="16.5" customHeight="1" x14ac:dyDescent="0.3">
      <c r="A17" s="45" t="s">
        <v>245</v>
      </c>
      <c r="B17" s="54">
        <f ca="1">IFERROR(Calculations!B32,"—")</f>
        <v>-1.5212121212121212</v>
      </c>
      <c r="C17" s="54">
        <f ca="1">IFERROR(Calculations!C32,"—")</f>
        <v>-0.41654838709677455</v>
      </c>
      <c r="D17" s="55" t="str">
        <f ca="1">IFERROR(IF(Calculations!B32&gt;=0,"▲","▼"),"—")</f>
        <v>▼</v>
      </c>
      <c r="E17" s="45" t="s">
        <v>245</v>
      </c>
      <c r="F17" s="54">
        <f ca="1">IFERROR(Calculations!D32,"—")</f>
        <v>-0.83636363636363631</v>
      </c>
      <c r="G17" s="54">
        <f ca="1">IFERROR(Calculations!E32,"—")</f>
        <v>-1.3071129032258053</v>
      </c>
      <c r="H17" s="55" t="str">
        <f ca="1">IFERROR(IF(Calculations!D32&gt;=0,"▲","▼"),"—")</f>
        <v>▼</v>
      </c>
      <c r="I17" s="45" t="s">
        <v>245</v>
      </c>
      <c r="J17" s="54">
        <f ca="1">IFERROR(Calculations!F32,"—")</f>
        <v>-1.2181818181818183</v>
      </c>
      <c r="K17" s="54">
        <f ca="1">IFERROR(Calculations!G32,"—")</f>
        <v>-2.5792903225806447</v>
      </c>
      <c r="L17" s="55" t="str">
        <f ca="1">IFERROR(IF(Calculations!F32&gt;=0,"▲","▼"),"—")</f>
        <v>▼</v>
      </c>
      <c r="M17" s="45" t="s">
        <v>245</v>
      </c>
      <c r="N17" s="54">
        <f ca="1">IFERROR(Calculations!H32,"—")</f>
        <v>0.53333333333333333</v>
      </c>
      <c r="O17" s="54">
        <f ca="1">IFERROR(Calculations!I32,"—")</f>
        <v>0.66185483870967676</v>
      </c>
      <c r="P17" s="55" t="str">
        <f ca="1">IFERROR(IF(Calculations!H32&gt;=0,"▲","▼"),"—")</f>
        <v>▲</v>
      </c>
      <c r="R17" s="92">
        <f>IF($R16="","",IF(EOMONTH($R16,0)+1&gt;_xlfn.MAXIFS('Mock Database'!$H$3:$H$152,'Mock Database'!$D$3:$D$152,"&lt;&gt;",'Mock Database'!$H$3:$H$152,"&gt;0"),"",EOMONTH($R16,0)+1))</f>
        <v>46327</v>
      </c>
      <c r="S17" s="93">
        <f>IF($R17="","",COUNTIFS('Mock Database'!$D$3:$D$152,"&lt;&gt;",'Mock Database'!$H$3:$H$152,"&gt;="&amp;$R17,'Mock Database'!$H$3:$H$152,"&lt;="&amp;EOMONTH($R17,0)))</f>
        <v>23</v>
      </c>
      <c r="T17" s="93">
        <f>IF($R17="","",COUNTIFS('Mock Database'!$D$3:$D$152,"&lt;&gt;",'Mock Database'!$H$3:$H$152,"&gt;="&amp;$R17,'Mock Database'!$H$3:$H$152,"&lt;="&amp;EOMONTH($R17,0),'Mock Database'!$J$3:$J$152,"Completed"))</f>
        <v>0</v>
      </c>
      <c r="U17" s="93">
        <f t="shared" si="0"/>
        <v>23</v>
      </c>
      <c r="V17" s="94">
        <f t="shared" si="1"/>
        <v>0</v>
      </c>
    </row>
    <row r="18" spans="1:28" ht="16.5" customHeight="1" x14ac:dyDescent="0.3">
      <c r="A18" s="48" t="s">
        <v>25</v>
      </c>
      <c r="B18" s="49">
        <f ca="1">IFERROR(Calculations!B16,"—")</f>
        <v>84.754014737094678</v>
      </c>
      <c r="C18" s="49">
        <f ca="1">IFERROR(Calculations!C16,"—")</f>
        <v>92.938361809300446</v>
      </c>
      <c r="D18" s="56" t="str">
        <f ca="1">IFERROR(IF(Calculations!B16&gt;=90,"●●●",IF(Calculations!B16&gt;=75,"●●○","●○○")),"—")</f>
        <v>●●○</v>
      </c>
      <c r="E18" s="48" t="s">
        <v>25</v>
      </c>
      <c r="F18" s="49">
        <f ca="1">IFERROR(Calculations!D16,"—")</f>
        <v>74.185014356070297</v>
      </c>
      <c r="G18" s="49">
        <f ca="1">IFERROR(Calculations!E16,"—")</f>
        <v>88.075799701678989</v>
      </c>
      <c r="H18" s="56" t="str">
        <f ca="1">IFERROR(IF(Calculations!D16&gt;=90,"●●●",IF(Calculations!D16&gt;=75,"●●○","●○○")),"—")</f>
        <v>●○○</v>
      </c>
      <c r="I18" s="48" t="s">
        <v>25</v>
      </c>
      <c r="J18" s="49">
        <f ca="1">IFERROR(Calculations!F16,"—")</f>
        <v>54.851087082176676</v>
      </c>
      <c r="K18" s="49">
        <f ca="1">IFERROR(Calculations!G16,"—")</f>
        <v>75.034975486248527</v>
      </c>
      <c r="L18" s="56" t="str">
        <f ca="1">IFERROR(IF(Calculations!F16&gt;=90,"●●●",IF(Calculations!F16&gt;=75,"●●○","●○○")),"—")</f>
        <v>●○○</v>
      </c>
      <c r="M18" s="48" t="s">
        <v>25</v>
      </c>
      <c r="N18" s="49">
        <f ca="1">IFERROR(Calculations!H16,"—")</f>
        <v>60.984333630934586</v>
      </c>
      <c r="O18" s="49">
        <f ca="1">IFERROR(Calculations!I16,"—")</f>
        <v>77.675959389280038</v>
      </c>
      <c r="P18" s="56" t="str">
        <f ca="1">IFERROR(IF(Calculations!H16&gt;=90,"●●●",IF(Calculations!H16&gt;=75,"●●○","●○○")),"—")</f>
        <v>●○○</v>
      </c>
      <c r="R18" s="92" t="str">
        <f>IF($R17="","",IF(EOMONTH($R17,0)+1&gt;_xlfn.MAXIFS('Mock Database'!$H$3:$H$152,'Mock Database'!$D$3:$D$152,"&lt;&gt;",'Mock Database'!$H$3:$H$152,"&gt;0"),"",EOMONTH($R17,0)+1))</f>
        <v/>
      </c>
      <c r="S18" s="93" t="str">
        <f>IF($R18="","",COUNTIFS('Mock Database'!$D$3:$D$152,"&lt;&gt;",'Mock Database'!$H$3:$H$152,"&gt;="&amp;$R18,'Mock Database'!$H$3:$H$152,"&lt;="&amp;EOMONTH($R18,0)))</f>
        <v/>
      </c>
      <c r="T18" s="93" t="str">
        <f>IF($R18="","",COUNTIFS('Mock Database'!$D$3:$D$152,"&lt;&gt;",'Mock Database'!$H$3:$H$152,"&gt;="&amp;$R18,'Mock Database'!$H$3:$H$152,"&lt;="&amp;EOMONTH($R18,0),'Mock Database'!$J$3:$J$152,"Completed"))</f>
        <v/>
      </c>
      <c r="U18" s="93" t="str">
        <f t="shared" si="0"/>
        <v/>
      </c>
      <c r="V18" s="94" t="str">
        <f t="shared" si="1"/>
        <v/>
      </c>
    </row>
    <row r="19" spans="1:28" ht="19.5" customHeight="1" x14ac:dyDescent="0.3">
      <c r="A19" s="121" t="str">
        <f ca="1">IFERROR("  ◈  Strongest: "&amp;Calculations!B18&amp;"   ·   Weakest: "&amp;Calculations!B19&amp;"   ·   Most Improved: "&amp;Calculations!B20,"  Enter scores to see section insights")</f>
        <v xml:space="preserve">  ◈  Strongest: VARC   ·   Weakest: QA   ·   Most Improved: QA</v>
      </c>
      <c r="B19" s="121"/>
      <c r="C19" s="121"/>
      <c r="D19" s="121"/>
      <c r="E19" s="121"/>
      <c r="F19" s="121"/>
      <c r="G19" s="121"/>
      <c r="H19" s="121"/>
      <c r="I19" s="122" t="str">
        <f ca="1">IFERROR("  ◈  Projected next overall: "&amp;ROUND(Calculations!B33,0)&amp;"   ·   Trend "&amp;TEXT(Calculations!B32,"+0.0;-0.0")&amp;" pts/mock   ·   Target "&amp;TEXT(Calculations!B38,"0.0")&amp;" %ile: "&amp;Calculations!E38&amp;"   ·   GP Avg (r="&amp;TEXT(Calculations!B42,"0.000")&amp;"): "&amp;TEXT(Calculations!B35,"0.0"),"  —")</f>
        <v xml:space="preserve">  ◈  Projected next overall: 71   ·   Trend -1.5 pts/mock   ·   Target 99.9 %ile: Behind   ·   GP Avg (r=0.945): 78.4</v>
      </c>
      <c r="J19" s="122"/>
      <c r="K19" s="122"/>
      <c r="L19" s="122"/>
      <c r="M19" s="122"/>
      <c r="N19" s="122"/>
      <c r="O19" s="122"/>
      <c r="P19" s="122"/>
      <c r="R19" s="95" t="s">
        <v>329</v>
      </c>
      <c r="S19" s="96">
        <f>SUM($S$10:$S$18)</f>
        <v>100</v>
      </c>
      <c r="T19" s="96">
        <f>SUM($T$10:$T$18)</f>
        <v>10</v>
      </c>
      <c r="U19" s="96">
        <f>SUM($U$10:$U$18)</f>
        <v>90</v>
      </c>
      <c r="V19" s="97">
        <f>IF($S$19=0,"",$T$19/$S$19)</f>
        <v>0.1</v>
      </c>
    </row>
    <row r="20" spans="1:28" ht="4.5" customHeight="1" x14ac:dyDescent="0.3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</row>
    <row r="21" spans="1:28" ht="21.75" customHeight="1" x14ac:dyDescent="0.3">
      <c r="A21" s="123" t="s">
        <v>26</v>
      </c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</row>
    <row r="22" spans="1:28" ht="37.5" customHeight="1" x14ac:dyDescent="0.3">
      <c r="A22" s="124" t="str">
        <f>TEXT(Calculations!B25,"0.0%")</f>
        <v>10.0%</v>
      </c>
      <c r="B22" s="124"/>
      <c r="C22" s="124"/>
      <c r="D22" s="124"/>
      <c r="E22" s="125" t="str">
        <f>TEXT(Calculations!B28,"0.0%")</f>
        <v>100.0%</v>
      </c>
      <c r="F22" s="125"/>
      <c r="G22" s="125"/>
      <c r="H22" s="125"/>
      <c r="I22" s="126">
        <f>Calculations!B24</f>
        <v>90</v>
      </c>
      <c r="J22" s="126"/>
      <c r="K22" s="126"/>
      <c r="L22" s="126"/>
      <c r="M22" s="127">
        <f>Calculations!B27</f>
        <v>0</v>
      </c>
      <c r="N22" s="127"/>
      <c r="O22" s="127"/>
      <c r="P22" s="127"/>
    </row>
    <row r="23" spans="1:28" ht="12.75" customHeight="1" x14ac:dyDescent="0.3">
      <c r="A23" s="115" t="s">
        <v>4</v>
      </c>
      <c r="B23" s="115"/>
      <c r="C23" s="115"/>
      <c r="D23" s="115"/>
      <c r="E23" s="115" t="s">
        <v>27</v>
      </c>
      <c r="F23" s="115"/>
      <c r="G23" s="115"/>
      <c r="H23" s="115"/>
      <c r="I23" s="115" t="s">
        <v>28</v>
      </c>
      <c r="J23" s="115"/>
      <c r="K23" s="115"/>
      <c r="L23" s="115"/>
      <c r="M23" s="115" t="s">
        <v>29</v>
      </c>
      <c r="N23" s="115"/>
      <c r="O23" s="115"/>
      <c r="P23" s="115"/>
    </row>
    <row r="24" spans="1:28" ht="4.5" customHeight="1" x14ac:dyDescent="0.3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</row>
    <row r="25" spans="1:28" ht="19.5" customHeight="1" x14ac:dyDescent="0.3">
      <c r="A25" s="128" t="s">
        <v>30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R25" s="106" t="s">
        <v>281</v>
      </c>
      <c r="S25" s="106"/>
      <c r="T25" s="106"/>
      <c r="U25" s="106"/>
      <c r="V25" s="106"/>
      <c r="W25" s="106"/>
      <c r="X25" s="106"/>
      <c r="Y25" s="106"/>
      <c r="Z25" s="106"/>
      <c r="AA25" s="106"/>
      <c r="AB25" s="106"/>
    </row>
    <row r="26" spans="1:28" ht="12.75" customHeight="1" x14ac:dyDescent="0.3">
      <c r="A26" s="129" t="s">
        <v>31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R26" s="101" t="s">
        <v>215</v>
      </c>
      <c r="S26" s="101"/>
      <c r="T26" s="101"/>
      <c r="U26" s="102" t="s">
        <v>249</v>
      </c>
      <c r="V26" s="102"/>
      <c r="W26" s="103" t="s">
        <v>250</v>
      </c>
      <c r="X26" s="103"/>
      <c r="Y26" s="104" t="s">
        <v>251</v>
      </c>
      <c r="Z26" s="104"/>
      <c r="AA26" s="105" t="s">
        <v>265</v>
      </c>
      <c r="AB26" s="105"/>
    </row>
    <row r="27" spans="1:28" x14ac:dyDescent="0.3">
      <c r="R27" s="26" t="s">
        <v>280</v>
      </c>
      <c r="S27" s="26" t="s">
        <v>215</v>
      </c>
      <c r="T27" s="26" t="s">
        <v>216</v>
      </c>
      <c r="U27" s="26" t="s">
        <v>12</v>
      </c>
      <c r="V27" s="26" t="s">
        <v>13</v>
      </c>
      <c r="W27" s="26" t="s">
        <v>12</v>
      </c>
      <c r="X27" s="26" t="s">
        <v>13</v>
      </c>
      <c r="Y27" s="26" t="s">
        <v>12</v>
      </c>
      <c r="Z27" s="26" t="s">
        <v>13</v>
      </c>
      <c r="AA27" s="26" t="s">
        <v>12</v>
      </c>
      <c r="AB27" s="26" t="s">
        <v>13</v>
      </c>
    </row>
    <row r="28" spans="1:28" x14ac:dyDescent="0.3">
      <c r="R28" s="57" cm="1">
        <f t="array" ref="R28:R37">_xlfn._xlws.FILTER(Chart_Data!$A$2:$A$401,Chart_Data!$B$2:$B$401&lt;&gt;"","")</f>
        <v>1</v>
      </c>
      <c r="S28" s="58" t="str" cm="1">
        <f t="array" ref="S28:S37">_xlfn._xlws.FILTER(Chart_Data!$B$2:$B$401,Chart_Data!$B$2:$B$401&lt;&gt;"","")</f>
        <v>SimCAT 1</v>
      </c>
      <c r="T28" s="59" cm="1">
        <f t="array" ref="T28:T37">_xlfn._xlws.FILTER(Chart_Data!$C$2:$C$401,Chart_Data!$B$2:$B$401&lt;&gt;"","")</f>
        <v>46137</v>
      </c>
      <c r="U28" s="60" cm="1">
        <f t="array" aca="1" ref="U28:U37" ca="1">_xlfn._xlws.FILTER(Chart_Data!$D$2:$D$401,Chart_Data!$B$2:$B$401&lt;&gt;"","")</f>
        <v>31</v>
      </c>
      <c r="V28" s="61" cm="1">
        <f t="array" aca="1" ref="V28:V37" ca="1">_xlfn._xlws.FILTER(Chart_Data!$E$2:$E$401,Chart_Data!$B$2:$B$401&lt;&gt;"","")</f>
        <v>88.02</v>
      </c>
      <c r="W28" s="60" cm="1">
        <f t="array" aca="1" ref="W28:W37" ca="1">_xlfn._xlws.FILTER(Chart_Data!$F$2:$F$401,Chart_Data!$B$2:$B$401&lt;&gt;"","")</f>
        <v>24</v>
      </c>
      <c r="X28" s="61" cm="1">
        <f t="array" aca="1" ref="X28:X37" ca="1">_xlfn._xlws.FILTER(Chart_Data!$G$2:$G$401,Chart_Data!$B$2:$B$401&lt;&gt;"","")</f>
        <v>90.04</v>
      </c>
      <c r="Y28" s="60" cm="1">
        <f t="array" aca="1" ref="Y28:Y37" ca="1">_xlfn._xlws.FILTER(Chart_Data!$H$2:$H$401,Chart_Data!$B$2:$B$401&lt;&gt;"","")</f>
        <v>21</v>
      </c>
      <c r="Z28" s="61" cm="1">
        <f t="array" aca="1" ref="Z28:Z37" ca="1">_xlfn._xlws.FILTER(Chart_Data!$I$2:$I$401,Chart_Data!$B$2:$B$401&lt;&gt;"","")</f>
        <v>69.81</v>
      </c>
      <c r="AA28" s="60" cm="1">
        <f t="array" aca="1" ref="AA28:AA37" ca="1">_xlfn._xlws.FILTER(Chart_Data!$J$2:$J$401,Chart_Data!$B$2:$B$401&lt;&gt;"","")</f>
        <v>76</v>
      </c>
      <c r="AB28" s="61" cm="1">
        <f t="array" aca="1" ref="AB28:AB37" ca="1">_xlfn._xlws.FILTER(Chart_Data!$K$2:$K$401,Chart_Data!$B$2:$B$401&lt;&gt;"","")</f>
        <v>88.92</v>
      </c>
    </row>
    <row r="29" spans="1:28" x14ac:dyDescent="0.3">
      <c r="R29" s="57">
        <v>2</v>
      </c>
      <c r="S29" s="58" t="str">
        <v>SimCAT 2</v>
      </c>
      <c r="T29" s="59">
        <v>46172</v>
      </c>
      <c r="U29" s="60">
        <f ca="1"/>
        <v>35</v>
      </c>
      <c r="V29" s="61">
        <f ca="1"/>
        <v>92.72</v>
      </c>
      <c r="W29" s="60">
        <f ca="1"/>
        <v>36</v>
      </c>
      <c r="X29" s="61">
        <f ca="1"/>
        <v>94.69</v>
      </c>
      <c r="Y29" s="60">
        <f ca="1"/>
        <v>24</v>
      </c>
      <c r="Z29" s="61">
        <f ca="1"/>
        <v>85.41</v>
      </c>
      <c r="AA29" s="60">
        <f ca="1"/>
        <v>95</v>
      </c>
      <c r="AB29" s="61">
        <f ca="1"/>
        <v>94.98</v>
      </c>
    </row>
    <row r="30" spans="1:28" x14ac:dyDescent="0.3">
      <c r="R30" s="57">
        <v>3</v>
      </c>
      <c r="S30" s="58" t="str">
        <v>SimCAT 3</v>
      </c>
      <c r="T30" s="59">
        <v>46173</v>
      </c>
      <c r="U30" s="60">
        <f ca="1"/>
        <v>49</v>
      </c>
      <c r="V30" s="61">
        <f ca="1"/>
        <v>99.09</v>
      </c>
      <c r="W30" s="60">
        <f ca="1"/>
        <v>21</v>
      </c>
      <c r="X30" s="61">
        <f ca="1"/>
        <v>91.49</v>
      </c>
      <c r="Y30" s="60">
        <f ca="1"/>
        <v>13</v>
      </c>
      <c r="Z30" s="61">
        <f ca="1"/>
        <v>62.2</v>
      </c>
      <c r="AA30" s="60">
        <f ca="1"/>
        <v>83</v>
      </c>
      <c r="AB30" s="61">
        <f ca="1"/>
        <v>95.61</v>
      </c>
    </row>
    <row r="31" spans="1:28" x14ac:dyDescent="0.3">
      <c r="R31" s="57">
        <v>4</v>
      </c>
      <c r="S31" s="58" t="str">
        <v>Take Home 1</v>
      </c>
      <c r="T31" s="59">
        <v>46179</v>
      </c>
      <c r="U31" s="60">
        <f ca="1"/>
        <v>34</v>
      </c>
      <c r="V31" s="61">
        <f ca="1"/>
        <v>90.5</v>
      </c>
      <c r="W31" s="60">
        <f ca="1"/>
        <v>13</v>
      </c>
      <c r="X31" s="61">
        <f ca="1"/>
        <v>62.87</v>
      </c>
      <c r="Y31" s="60">
        <f ca="1"/>
        <v>23</v>
      </c>
      <c r="Z31" s="61">
        <f ca="1"/>
        <v>74.39</v>
      </c>
      <c r="AA31" s="60">
        <f ca="1"/>
        <v>70</v>
      </c>
      <c r="AB31" s="61">
        <f ca="1"/>
        <v>84.3</v>
      </c>
    </row>
    <row r="32" spans="1:28" x14ac:dyDescent="0.3">
      <c r="R32" s="57">
        <v>5</v>
      </c>
      <c r="S32" s="58" t="str">
        <v>SimCAT 4</v>
      </c>
      <c r="T32" s="59">
        <v>46186</v>
      </c>
      <c r="U32" s="60">
        <f ca="1"/>
        <v>49</v>
      </c>
      <c r="V32" s="61">
        <f ca="1"/>
        <v>98.79</v>
      </c>
      <c r="W32" s="60">
        <f ca="1"/>
        <v>29</v>
      </c>
      <c r="X32" s="61">
        <f ca="1"/>
        <v>91.89</v>
      </c>
      <c r="Y32" s="60">
        <f ca="1"/>
        <v>10</v>
      </c>
      <c r="Z32" s="61">
        <f ca="1"/>
        <v>54.89</v>
      </c>
      <c r="AA32" s="60">
        <f ca="1"/>
        <v>88</v>
      </c>
      <c r="AB32" s="61">
        <f ca="1"/>
        <v>94.82</v>
      </c>
    </row>
    <row r="33" spans="18:28" x14ac:dyDescent="0.3">
      <c r="R33" s="57">
        <v>6</v>
      </c>
      <c r="S33" s="58" t="str">
        <v>Take Home 2</v>
      </c>
      <c r="T33" s="59">
        <v>46191</v>
      </c>
      <c r="U33" s="60">
        <f ca="1"/>
        <v>50</v>
      </c>
      <c r="V33" s="61">
        <f ca="1"/>
        <v>99.62</v>
      </c>
      <c r="W33" s="60">
        <f ca="1"/>
        <v>23</v>
      </c>
      <c r="X33" s="61">
        <f ca="1"/>
        <v>75.739999999999995</v>
      </c>
      <c r="Y33" s="60">
        <f ca="1"/>
        <v>10</v>
      </c>
      <c r="Z33" s="61">
        <f ca="1"/>
        <v>45.38</v>
      </c>
      <c r="AA33" s="60">
        <f ca="1"/>
        <v>83</v>
      </c>
      <c r="AB33" s="61">
        <f ca="1"/>
        <v>94.57</v>
      </c>
    </row>
    <row r="34" spans="18:28" x14ac:dyDescent="0.3">
      <c r="R34" s="57">
        <v>7</v>
      </c>
      <c r="S34" s="58" t="str">
        <v>Take Home 3</v>
      </c>
      <c r="T34" s="59">
        <v>46198</v>
      </c>
      <c r="U34" s="60">
        <f ca="1"/>
        <v>45</v>
      </c>
      <c r="V34" s="61">
        <f ca="1"/>
        <v>99.91</v>
      </c>
      <c r="W34" s="60">
        <f ca="1"/>
        <v>3</v>
      </c>
      <c r="X34" s="61">
        <f ca="1"/>
        <v>33.840000000000003</v>
      </c>
      <c r="Y34" s="60">
        <f ca="1"/>
        <v>20</v>
      </c>
      <c r="Z34" s="61">
        <f ca="1"/>
        <v>83.13</v>
      </c>
      <c r="AA34" s="60">
        <f ca="1"/>
        <v>68</v>
      </c>
      <c r="AB34" s="61">
        <f ca="1"/>
        <v>98.37</v>
      </c>
    </row>
    <row r="35" spans="18:28" x14ac:dyDescent="0.3">
      <c r="R35" s="57">
        <v>8</v>
      </c>
      <c r="S35" s="58" t="str">
        <v>SimCAT 5</v>
      </c>
      <c r="T35" s="59">
        <v>46201</v>
      </c>
      <c r="U35" s="60">
        <f ca="1"/>
        <v>40</v>
      </c>
      <c r="V35" s="61">
        <f ca="1"/>
        <v>98.12</v>
      </c>
      <c r="W35" s="60">
        <f ca="1"/>
        <v>15</v>
      </c>
      <c r="X35" s="61">
        <f ca="1"/>
        <v>76.03</v>
      </c>
      <c r="Y35" s="60">
        <f ca="1"/>
        <v>36</v>
      </c>
      <c r="Z35" s="61">
        <f ca="1"/>
        <v>96.81</v>
      </c>
      <c r="AA35" s="60">
        <f ca="1"/>
        <v>91</v>
      </c>
      <c r="AB35" s="61">
        <f ca="1"/>
        <v>97.35</v>
      </c>
    </row>
    <row r="36" spans="18:28" x14ac:dyDescent="0.3">
      <c r="R36" s="57">
        <v>9</v>
      </c>
      <c r="S36" s="58" t="str">
        <v>CAT 2021 Slot 1</v>
      </c>
      <c r="T36" s="59">
        <v>46204</v>
      </c>
      <c r="U36" s="60">
        <f ca="1"/>
        <v>31</v>
      </c>
      <c r="V36" s="61" t="str">
        <f ca="1"/>
        <v/>
      </c>
      <c r="W36" s="60">
        <f ca="1"/>
        <v>27</v>
      </c>
      <c r="X36" s="61" t="str">
        <f ca="1"/>
        <v/>
      </c>
      <c r="Y36" s="60">
        <f ca="1"/>
        <v>24</v>
      </c>
      <c r="Z36" s="61" t="str">
        <f ca="1"/>
        <v/>
      </c>
      <c r="AA36" s="60">
        <f ca="1"/>
        <v>82</v>
      </c>
      <c r="AB36" s="61" t="str">
        <f ca="1"/>
        <v/>
      </c>
    </row>
    <row r="37" spans="18:28" x14ac:dyDescent="0.3">
      <c r="R37" s="57">
        <v>10</v>
      </c>
      <c r="S37" s="58" t="str">
        <v>Take Home 4</v>
      </c>
      <c r="T37" s="59">
        <v>46216</v>
      </c>
      <c r="U37" s="60">
        <f ca="1"/>
        <v>20</v>
      </c>
      <c r="V37" s="61">
        <f ca="1"/>
        <v>65.510000000000005</v>
      </c>
      <c r="W37" s="60">
        <f ca="1"/>
        <v>16</v>
      </c>
      <c r="X37" s="61">
        <f ca="1"/>
        <v>83.74</v>
      </c>
      <c r="Y37" s="60">
        <f ca="1"/>
        <v>19</v>
      </c>
      <c r="Z37" s="61">
        <f ca="1"/>
        <v>69.819999999999993</v>
      </c>
      <c r="AA37" s="60">
        <f ca="1"/>
        <v>55</v>
      </c>
      <c r="AB37" s="61">
        <f ca="1"/>
        <v>79.22</v>
      </c>
    </row>
    <row r="38" spans="18:28" x14ac:dyDescent="0.3">
      <c r="R38" s="57"/>
      <c r="S38" s="58"/>
      <c r="T38" s="59"/>
      <c r="U38" s="60"/>
      <c r="V38" s="61"/>
      <c r="W38" s="60"/>
      <c r="X38" s="61"/>
      <c r="Y38" s="60"/>
      <c r="Z38" s="61"/>
      <c r="AA38" s="60"/>
      <c r="AB38" s="61"/>
    </row>
    <row r="39" spans="18:28" x14ac:dyDescent="0.3">
      <c r="R39" s="57"/>
      <c r="S39" s="58"/>
      <c r="T39" s="59"/>
      <c r="U39" s="60"/>
      <c r="V39" s="61"/>
      <c r="W39" s="60"/>
      <c r="X39" s="61"/>
      <c r="Y39" s="60"/>
      <c r="Z39" s="61"/>
      <c r="AA39" s="60"/>
      <c r="AB39" s="61"/>
    </row>
    <row r="40" spans="18:28" x14ac:dyDescent="0.3">
      <c r="R40" s="57"/>
      <c r="S40" s="58"/>
      <c r="T40" s="59"/>
      <c r="U40" s="60"/>
      <c r="V40" s="61"/>
      <c r="W40" s="60"/>
      <c r="X40" s="61"/>
      <c r="Y40" s="60"/>
      <c r="Z40" s="61"/>
      <c r="AA40" s="60"/>
      <c r="AB40" s="61"/>
    </row>
    <row r="41" spans="18:28" x14ac:dyDescent="0.3">
      <c r="R41" s="57"/>
      <c r="S41" s="58"/>
      <c r="T41" s="59"/>
      <c r="U41" s="60"/>
      <c r="V41" s="61"/>
      <c r="W41" s="60"/>
      <c r="X41" s="61"/>
      <c r="Y41" s="60"/>
      <c r="Z41" s="61"/>
      <c r="AA41" s="60"/>
      <c r="AB41" s="61"/>
    </row>
    <row r="42" spans="18:28" x14ac:dyDescent="0.3">
      <c r="R42" s="57"/>
      <c r="S42" s="58"/>
      <c r="T42" s="59"/>
      <c r="U42" s="60"/>
      <c r="V42" s="61"/>
      <c r="W42" s="60"/>
      <c r="X42" s="61"/>
      <c r="Y42" s="60"/>
      <c r="Z42" s="61"/>
      <c r="AA42" s="60"/>
      <c r="AB42" s="61"/>
    </row>
    <row r="43" spans="18:28" x14ac:dyDescent="0.3">
      <c r="R43" s="57"/>
      <c r="S43" s="58"/>
      <c r="T43" s="59"/>
      <c r="U43" s="60"/>
      <c r="V43" s="61"/>
      <c r="W43" s="60"/>
      <c r="X43" s="61"/>
      <c r="Y43" s="60"/>
      <c r="Z43" s="61"/>
      <c r="AA43" s="60"/>
      <c r="AB43" s="61"/>
    </row>
    <row r="44" spans="18:28" x14ac:dyDescent="0.3">
      <c r="R44" s="57"/>
      <c r="S44" s="58"/>
      <c r="T44" s="59"/>
      <c r="U44" s="60"/>
      <c r="V44" s="61"/>
      <c r="W44" s="60"/>
      <c r="X44" s="61"/>
      <c r="Y44" s="60"/>
      <c r="Z44" s="61"/>
      <c r="AA44" s="60"/>
      <c r="AB44" s="61"/>
    </row>
    <row r="45" spans="18:28" x14ac:dyDescent="0.3">
      <c r="R45" s="57"/>
      <c r="S45" s="58"/>
      <c r="T45" s="59"/>
      <c r="U45" s="60"/>
      <c r="V45" s="61"/>
      <c r="W45" s="60"/>
      <c r="X45" s="61"/>
      <c r="Y45" s="60"/>
      <c r="Z45" s="61"/>
      <c r="AA45" s="60"/>
      <c r="AB45" s="61"/>
    </row>
    <row r="46" spans="18:28" x14ac:dyDescent="0.3">
      <c r="R46" s="57"/>
      <c r="S46" s="58"/>
      <c r="T46" s="59"/>
      <c r="U46" s="60"/>
      <c r="V46" s="61"/>
      <c r="W46" s="60"/>
      <c r="X46" s="61"/>
      <c r="Y46" s="60"/>
      <c r="Z46" s="61"/>
      <c r="AA46" s="60"/>
      <c r="AB46" s="61"/>
    </row>
    <row r="47" spans="18:28" x14ac:dyDescent="0.3">
      <c r="R47" s="57"/>
      <c r="S47" s="58"/>
      <c r="T47" s="59"/>
      <c r="U47" s="60"/>
      <c r="V47" s="61"/>
      <c r="W47" s="60"/>
      <c r="X47" s="61"/>
      <c r="Y47" s="60"/>
      <c r="Z47" s="61"/>
      <c r="AA47" s="60"/>
      <c r="AB47" s="61"/>
    </row>
    <row r="48" spans="18:28" x14ac:dyDescent="0.3">
      <c r="R48" s="57"/>
      <c r="S48" s="58"/>
      <c r="T48" s="59"/>
      <c r="U48" s="60"/>
      <c r="V48" s="61"/>
      <c r="W48" s="60"/>
      <c r="X48" s="61"/>
      <c r="Y48" s="60"/>
      <c r="Z48" s="61"/>
      <c r="AA48" s="60"/>
      <c r="AB48" s="61"/>
    </row>
    <row r="49" spans="18:28" x14ac:dyDescent="0.3">
      <c r="R49" s="57"/>
      <c r="S49" s="58"/>
      <c r="T49" s="59"/>
      <c r="U49" s="60"/>
      <c r="V49" s="61"/>
      <c r="W49" s="60"/>
      <c r="X49" s="61"/>
      <c r="Y49" s="60"/>
      <c r="Z49" s="61"/>
      <c r="AA49" s="60"/>
      <c r="AB49" s="61"/>
    </row>
    <row r="50" spans="18:28" x14ac:dyDescent="0.3">
      <c r="R50" s="57"/>
      <c r="S50" s="58"/>
      <c r="T50" s="59"/>
      <c r="U50" s="60"/>
      <c r="V50" s="61"/>
      <c r="W50" s="60"/>
      <c r="X50" s="61"/>
      <c r="Y50" s="60"/>
      <c r="Z50" s="61"/>
      <c r="AA50" s="60"/>
      <c r="AB50" s="61"/>
    </row>
    <row r="51" spans="18:28" x14ac:dyDescent="0.3">
      <c r="R51" s="57"/>
      <c r="S51" s="58"/>
      <c r="T51" s="59"/>
      <c r="U51" s="60"/>
      <c r="V51" s="61"/>
      <c r="W51" s="60"/>
      <c r="X51" s="61"/>
      <c r="Y51" s="60"/>
      <c r="Z51" s="61"/>
      <c r="AA51" s="60"/>
      <c r="AB51" s="61"/>
    </row>
    <row r="52" spans="18:28" x14ac:dyDescent="0.3">
      <c r="R52" s="57"/>
      <c r="S52" s="58"/>
      <c r="T52" s="59"/>
      <c r="U52" s="60"/>
      <c r="V52" s="61"/>
      <c r="W52" s="60"/>
      <c r="X52" s="61"/>
      <c r="Y52" s="60"/>
      <c r="Z52" s="61"/>
      <c r="AA52" s="60"/>
      <c r="AB52" s="61"/>
    </row>
    <row r="53" spans="18:28" x14ac:dyDescent="0.3">
      <c r="R53" s="57"/>
      <c r="S53" s="58"/>
      <c r="T53" s="59"/>
      <c r="U53" s="60"/>
      <c r="V53" s="61"/>
      <c r="W53" s="60"/>
      <c r="X53" s="61"/>
      <c r="Y53" s="60"/>
      <c r="Z53" s="61"/>
      <c r="AA53" s="60"/>
      <c r="AB53" s="61"/>
    </row>
    <row r="54" spans="18:28" x14ac:dyDescent="0.3">
      <c r="R54" s="57"/>
      <c r="S54" s="58"/>
      <c r="T54" s="59"/>
      <c r="U54" s="60"/>
      <c r="V54" s="61"/>
      <c r="W54" s="60"/>
      <c r="X54" s="61"/>
      <c r="Y54" s="60"/>
      <c r="Z54" s="61"/>
      <c r="AA54" s="60"/>
      <c r="AB54" s="61"/>
    </row>
    <row r="55" spans="18:28" x14ac:dyDescent="0.3">
      <c r="R55" s="57"/>
      <c r="S55" s="58"/>
      <c r="T55" s="59"/>
      <c r="U55" s="60"/>
      <c r="V55" s="61"/>
      <c r="W55" s="60"/>
      <c r="X55" s="61"/>
      <c r="Y55" s="60"/>
      <c r="Z55" s="61"/>
      <c r="AA55" s="60"/>
      <c r="AB55" s="61"/>
    </row>
    <row r="56" spans="18:28" x14ac:dyDescent="0.3">
      <c r="R56" s="57"/>
      <c r="S56" s="58"/>
      <c r="T56" s="59"/>
      <c r="U56" s="60"/>
      <c r="V56" s="61"/>
      <c r="W56" s="60"/>
      <c r="X56" s="61"/>
      <c r="Y56" s="60"/>
      <c r="Z56" s="61"/>
      <c r="AA56" s="60"/>
      <c r="AB56" s="61"/>
    </row>
    <row r="57" spans="18:28" x14ac:dyDescent="0.3">
      <c r="R57" s="57"/>
      <c r="S57" s="58"/>
      <c r="T57" s="59"/>
      <c r="U57" s="60"/>
      <c r="V57" s="61"/>
      <c r="W57" s="60"/>
      <c r="X57" s="61"/>
      <c r="Y57" s="60"/>
      <c r="Z57" s="61"/>
      <c r="AA57" s="60"/>
      <c r="AB57" s="61"/>
    </row>
    <row r="58" spans="18:28" x14ac:dyDescent="0.3">
      <c r="R58" s="57"/>
      <c r="S58" s="58"/>
      <c r="T58" s="59"/>
      <c r="U58" s="60"/>
      <c r="V58" s="61"/>
      <c r="W58" s="60"/>
      <c r="X58" s="61"/>
      <c r="Y58" s="60"/>
      <c r="Z58" s="61"/>
      <c r="AA58" s="60"/>
      <c r="AB58" s="61"/>
    </row>
    <row r="59" spans="18:28" x14ac:dyDescent="0.3">
      <c r="R59" s="57"/>
      <c r="S59" s="58"/>
      <c r="T59" s="59"/>
      <c r="U59" s="60"/>
      <c r="V59" s="61"/>
      <c r="W59" s="60"/>
      <c r="X59" s="61"/>
      <c r="Y59" s="60"/>
      <c r="Z59" s="61"/>
      <c r="AA59" s="60"/>
      <c r="AB59" s="61"/>
    </row>
    <row r="60" spans="18:28" x14ac:dyDescent="0.3">
      <c r="R60" s="57"/>
      <c r="S60" s="58"/>
      <c r="T60" s="59"/>
      <c r="U60" s="60"/>
      <c r="V60" s="61"/>
      <c r="W60" s="60"/>
      <c r="X60" s="61"/>
      <c r="Y60" s="60"/>
      <c r="Z60" s="61"/>
      <c r="AA60" s="60"/>
      <c r="AB60" s="61"/>
    </row>
    <row r="61" spans="18:28" x14ac:dyDescent="0.3">
      <c r="R61" s="57"/>
      <c r="S61" s="58"/>
      <c r="T61" s="59"/>
      <c r="U61" s="60"/>
      <c r="V61" s="61"/>
      <c r="W61" s="60"/>
      <c r="X61" s="61"/>
      <c r="Y61" s="60"/>
      <c r="Z61" s="61"/>
      <c r="AA61" s="60"/>
      <c r="AB61" s="61"/>
    </row>
    <row r="62" spans="18:28" x14ac:dyDescent="0.3">
      <c r="R62" s="57"/>
      <c r="S62" s="58"/>
      <c r="T62" s="59"/>
      <c r="U62" s="60"/>
      <c r="V62" s="61"/>
      <c r="W62" s="60"/>
      <c r="X62" s="61"/>
      <c r="Y62" s="60"/>
      <c r="Z62" s="61"/>
      <c r="AA62" s="60"/>
      <c r="AB62" s="61"/>
    </row>
    <row r="63" spans="18:28" x14ac:dyDescent="0.3">
      <c r="R63" s="57"/>
      <c r="S63" s="58"/>
      <c r="T63" s="59"/>
      <c r="U63" s="60"/>
      <c r="V63" s="61"/>
      <c r="W63" s="60"/>
      <c r="X63" s="61"/>
      <c r="Y63" s="60"/>
      <c r="Z63" s="61"/>
      <c r="AA63" s="60"/>
      <c r="AB63" s="61"/>
    </row>
    <row r="64" spans="18:28" x14ac:dyDescent="0.3">
      <c r="R64" s="57"/>
      <c r="S64" s="58"/>
      <c r="T64" s="59"/>
      <c r="U64" s="60"/>
      <c r="V64" s="61"/>
      <c r="W64" s="60"/>
      <c r="X64" s="61"/>
      <c r="Y64" s="60"/>
      <c r="Z64" s="61"/>
      <c r="AA64" s="60"/>
      <c r="AB64" s="61"/>
    </row>
    <row r="65" spans="18:28" x14ac:dyDescent="0.3">
      <c r="R65" s="57"/>
      <c r="S65" s="58"/>
      <c r="T65" s="59"/>
      <c r="U65" s="60"/>
      <c r="V65" s="61"/>
      <c r="W65" s="60"/>
      <c r="X65" s="61"/>
      <c r="Y65" s="60"/>
      <c r="Z65" s="61"/>
      <c r="AA65" s="60"/>
      <c r="AB65" s="61"/>
    </row>
    <row r="66" spans="18:28" x14ac:dyDescent="0.3">
      <c r="R66" s="57"/>
      <c r="S66" s="58"/>
      <c r="T66" s="59"/>
      <c r="U66" s="60"/>
      <c r="V66" s="61"/>
      <c r="W66" s="60"/>
      <c r="X66" s="61"/>
      <c r="Y66" s="60"/>
      <c r="Z66" s="61"/>
      <c r="AA66" s="60"/>
      <c r="AB66" s="61"/>
    </row>
    <row r="67" spans="18:28" x14ac:dyDescent="0.3">
      <c r="R67" s="57"/>
      <c r="S67" s="58"/>
      <c r="T67" s="59"/>
      <c r="U67" s="60"/>
      <c r="V67" s="61"/>
      <c r="W67" s="60"/>
      <c r="X67" s="61"/>
      <c r="Y67" s="60"/>
      <c r="Z67" s="61"/>
      <c r="AA67" s="60"/>
      <c r="AB67" s="61"/>
    </row>
    <row r="68" spans="18:28" x14ac:dyDescent="0.3">
      <c r="R68" s="57"/>
      <c r="S68" s="58"/>
      <c r="T68" s="59"/>
      <c r="U68" s="60"/>
      <c r="V68" s="61"/>
      <c r="W68" s="60"/>
      <c r="X68" s="61"/>
      <c r="Y68" s="60"/>
      <c r="Z68" s="61"/>
      <c r="AA68" s="60"/>
      <c r="AB68" s="61"/>
    </row>
    <row r="69" spans="18:28" x14ac:dyDescent="0.3">
      <c r="R69" s="57"/>
      <c r="S69" s="58"/>
      <c r="T69" s="59"/>
      <c r="U69" s="60"/>
      <c r="V69" s="61"/>
      <c r="W69" s="60"/>
      <c r="X69" s="61"/>
      <c r="Y69" s="60"/>
      <c r="Z69" s="61"/>
      <c r="AA69" s="60"/>
      <c r="AB69" s="61"/>
    </row>
    <row r="70" spans="18:28" x14ac:dyDescent="0.3">
      <c r="R70" s="57"/>
      <c r="S70" s="58"/>
      <c r="T70" s="59"/>
      <c r="U70" s="60"/>
      <c r="V70" s="61"/>
      <c r="W70" s="60"/>
      <c r="X70" s="61"/>
      <c r="Y70" s="60"/>
      <c r="Z70" s="61"/>
      <c r="AA70" s="60"/>
      <c r="AB70" s="61"/>
    </row>
    <row r="71" spans="18:28" x14ac:dyDescent="0.3">
      <c r="R71" s="57"/>
      <c r="S71" s="58"/>
      <c r="T71" s="59"/>
      <c r="U71" s="60"/>
      <c r="V71" s="61"/>
      <c r="W71" s="60"/>
      <c r="X71" s="61"/>
      <c r="Y71" s="60"/>
      <c r="Z71" s="61"/>
      <c r="AA71" s="60"/>
      <c r="AB71" s="61"/>
    </row>
    <row r="72" spans="18:28" x14ac:dyDescent="0.3">
      <c r="R72" s="57"/>
      <c r="S72" s="58"/>
      <c r="T72" s="59"/>
      <c r="U72" s="60"/>
      <c r="V72" s="61"/>
      <c r="W72" s="60"/>
      <c r="X72" s="61"/>
      <c r="Y72" s="60"/>
      <c r="Z72" s="61"/>
      <c r="AA72" s="60"/>
      <c r="AB72" s="61"/>
    </row>
    <row r="73" spans="18:28" x14ac:dyDescent="0.3">
      <c r="R73" s="57"/>
      <c r="S73" s="58"/>
      <c r="T73" s="59"/>
      <c r="U73" s="60"/>
      <c r="V73" s="61"/>
      <c r="W73" s="60"/>
      <c r="X73" s="61"/>
      <c r="Y73" s="60"/>
      <c r="Z73" s="61"/>
      <c r="AA73" s="60"/>
      <c r="AB73" s="61"/>
    </row>
    <row r="74" spans="18:28" x14ac:dyDescent="0.3">
      <c r="R74" s="57"/>
      <c r="S74" s="58"/>
      <c r="T74" s="59"/>
      <c r="U74" s="60"/>
      <c r="V74" s="61"/>
      <c r="W74" s="60"/>
      <c r="X74" s="61"/>
      <c r="Y74" s="60"/>
      <c r="Z74" s="61"/>
      <c r="AA74" s="60"/>
      <c r="AB74" s="61"/>
    </row>
    <row r="75" spans="18:28" x14ac:dyDescent="0.3">
      <c r="R75" s="57"/>
      <c r="S75" s="58"/>
      <c r="T75" s="59"/>
      <c r="U75" s="60"/>
      <c r="V75" s="61"/>
      <c r="W75" s="60"/>
      <c r="X75" s="61"/>
      <c r="Y75" s="60"/>
      <c r="Z75" s="61"/>
      <c r="AA75" s="60"/>
      <c r="AB75" s="61"/>
    </row>
    <row r="76" spans="18:28" x14ac:dyDescent="0.3">
      <c r="R76" s="57"/>
      <c r="S76" s="58"/>
      <c r="T76" s="59"/>
      <c r="U76" s="60"/>
      <c r="V76" s="61"/>
      <c r="W76" s="60"/>
      <c r="X76" s="61"/>
      <c r="Y76" s="60"/>
      <c r="Z76" s="61"/>
      <c r="AA76" s="60"/>
      <c r="AB76" s="61"/>
    </row>
    <row r="77" spans="18:28" x14ac:dyDescent="0.3">
      <c r="R77" s="57"/>
      <c r="S77" s="58"/>
      <c r="T77" s="59"/>
      <c r="U77" s="60"/>
      <c r="V77" s="61"/>
      <c r="W77" s="60"/>
      <c r="X77" s="61"/>
      <c r="Y77" s="60"/>
      <c r="Z77" s="61"/>
      <c r="AA77" s="60"/>
      <c r="AB77" s="61"/>
    </row>
    <row r="78" spans="18:28" x14ac:dyDescent="0.3">
      <c r="R78" s="57"/>
      <c r="S78" s="58"/>
      <c r="T78" s="59"/>
      <c r="U78" s="60"/>
      <c r="V78" s="61"/>
      <c r="W78" s="60"/>
      <c r="X78" s="61"/>
      <c r="Y78" s="60"/>
      <c r="Z78" s="61"/>
      <c r="AA78" s="60"/>
      <c r="AB78" s="61"/>
    </row>
    <row r="79" spans="18:28" x14ac:dyDescent="0.3">
      <c r="R79" s="57"/>
      <c r="S79" s="58"/>
      <c r="T79" s="59"/>
      <c r="U79" s="60"/>
      <c r="V79" s="61"/>
      <c r="W79" s="60"/>
      <c r="X79" s="61"/>
      <c r="Y79" s="60"/>
      <c r="Z79" s="61"/>
      <c r="AA79" s="60"/>
      <c r="AB79" s="61"/>
    </row>
    <row r="80" spans="18:28" x14ac:dyDescent="0.3">
      <c r="R80" s="57"/>
      <c r="S80" s="58"/>
      <c r="T80" s="59"/>
      <c r="U80" s="60"/>
      <c r="V80" s="61"/>
      <c r="W80" s="60"/>
      <c r="X80" s="61"/>
      <c r="Y80" s="60"/>
      <c r="Z80" s="61"/>
      <c r="AA80" s="60"/>
      <c r="AB80" s="61"/>
    </row>
    <row r="81" spans="18:28" x14ac:dyDescent="0.3">
      <c r="R81" s="57"/>
      <c r="S81" s="58"/>
      <c r="T81" s="59"/>
      <c r="U81" s="60"/>
      <c r="V81" s="61"/>
      <c r="W81" s="60"/>
      <c r="X81" s="61"/>
      <c r="Y81" s="60"/>
      <c r="Z81" s="61"/>
      <c r="AA81" s="60"/>
      <c r="AB81" s="61"/>
    </row>
    <row r="82" spans="18:28" x14ac:dyDescent="0.3">
      <c r="R82" s="57"/>
      <c r="S82" s="58"/>
      <c r="T82" s="59"/>
      <c r="U82" s="60"/>
      <c r="V82" s="61"/>
      <c r="W82" s="60"/>
      <c r="X82" s="61"/>
      <c r="Y82" s="60"/>
      <c r="Z82" s="61"/>
      <c r="AA82" s="60"/>
      <c r="AB82" s="61"/>
    </row>
    <row r="83" spans="18:28" x14ac:dyDescent="0.3">
      <c r="R83" s="57"/>
      <c r="S83" s="58"/>
      <c r="T83" s="59"/>
      <c r="U83" s="60"/>
      <c r="V83" s="61"/>
      <c r="W83" s="60"/>
      <c r="X83" s="61"/>
      <c r="Y83" s="60"/>
      <c r="Z83" s="61"/>
      <c r="AA83" s="60"/>
      <c r="AB83" s="61"/>
    </row>
    <row r="84" spans="18:28" x14ac:dyDescent="0.3">
      <c r="R84" s="57"/>
      <c r="S84" s="58"/>
      <c r="T84" s="59"/>
      <c r="U84" s="60"/>
      <c r="V84" s="61"/>
      <c r="W84" s="60"/>
      <c r="X84" s="61"/>
      <c r="Y84" s="60"/>
      <c r="Z84" s="61"/>
      <c r="AA84" s="60"/>
      <c r="AB84" s="61"/>
    </row>
    <row r="85" spans="18:28" x14ac:dyDescent="0.3">
      <c r="R85" s="57"/>
      <c r="S85" s="58"/>
      <c r="T85" s="59"/>
      <c r="U85" s="60"/>
      <c r="V85" s="61"/>
      <c r="W85" s="60"/>
      <c r="X85" s="61"/>
      <c r="Y85" s="60"/>
      <c r="Z85" s="61"/>
      <c r="AA85" s="60"/>
      <c r="AB85" s="61"/>
    </row>
    <row r="86" spans="18:28" x14ac:dyDescent="0.3">
      <c r="R86" s="57"/>
      <c r="S86" s="58"/>
      <c r="T86" s="59"/>
      <c r="U86" s="60"/>
      <c r="V86" s="61"/>
      <c r="W86" s="60"/>
      <c r="X86" s="61"/>
      <c r="Y86" s="60"/>
      <c r="Z86" s="61"/>
      <c r="AA86" s="60"/>
      <c r="AB86" s="61"/>
    </row>
    <row r="87" spans="18:28" x14ac:dyDescent="0.3">
      <c r="R87" s="57"/>
      <c r="S87" s="58"/>
      <c r="T87" s="59"/>
      <c r="U87" s="60"/>
      <c r="V87" s="61"/>
      <c r="W87" s="60"/>
      <c r="X87" s="61"/>
      <c r="Y87" s="60"/>
      <c r="Z87" s="61"/>
      <c r="AA87" s="60"/>
      <c r="AB87" s="61"/>
    </row>
    <row r="88" spans="18:28" x14ac:dyDescent="0.3">
      <c r="R88" s="57"/>
      <c r="S88" s="58"/>
      <c r="T88" s="59"/>
      <c r="U88" s="60"/>
      <c r="V88" s="61"/>
      <c r="W88" s="60"/>
      <c r="X88" s="61"/>
      <c r="Y88" s="60"/>
      <c r="Z88" s="61"/>
      <c r="AA88" s="60"/>
      <c r="AB88" s="61"/>
    </row>
    <row r="89" spans="18:28" x14ac:dyDescent="0.3">
      <c r="R89" s="57"/>
      <c r="S89" s="58"/>
      <c r="T89" s="59"/>
      <c r="U89" s="60"/>
      <c r="V89" s="61"/>
      <c r="W89" s="60"/>
      <c r="X89" s="61"/>
      <c r="Y89" s="60"/>
      <c r="Z89" s="61"/>
      <c r="AA89" s="60"/>
      <c r="AB89" s="61"/>
    </row>
    <row r="90" spans="18:28" x14ac:dyDescent="0.3">
      <c r="R90" s="57"/>
      <c r="S90" s="58"/>
      <c r="T90" s="59"/>
      <c r="U90" s="60"/>
      <c r="V90" s="61"/>
      <c r="W90" s="60"/>
      <c r="X90" s="61"/>
      <c r="Y90" s="60"/>
      <c r="Z90" s="61"/>
      <c r="AA90" s="60"/>
      <c r="AB90" s="61"/>
    </row>
    <row r="91" spans="18:28" x14ac:dyDescent="0.3">
      <c r="R91" s="57"/>
      <c r="S91" s="58"/>
      <c r="T91" s="59"/>
      <c r="U91" s="60"/>
      <c r="V91" s="61"/>
      <c r="W91" s="60"/>
      <c r="X91" s="61"/>
      <c r="Y91" s="60"/>
      <c r="Z91" s="61"/>
      <c r="AA91" s="60"/>
      <c r="AB91" s="61"/>
    </row>
    <row r="92" spans="18:28" x14ac:dyDescent="0.3">
      <c r="R92" s="57"/>
      <c r="S92" s="58"/>
      <c r="T92" s="59"/>
      <c r="U92" s="60"/>
      <c r="V92" s="61"/>
      <c r="W92" s="60"/>
      <c r="X92" s="61"/>
      <c r="Y92" s="60"/>
      <c r="Z92" s="61"/>
      <c r="AA92" s="60"/>
      <c r="AB92" s="61"/>
    </row>
    <row r="93" spans="18:28" x14ac:dyDescent="0.3">
      <c r="R93" s="57"/>
      <c r="S93" s="58"/>
      <c r="T93" s="59"/>
      <c r="U93" s="60"/>
      <c r="V93" s="61"/>
      <c r="W93" s="60"/>
      <c r="X93" s="61"/>
      <c r="Y93" s="60"/>
      <c r="Z93" s="61"/>
      <c r="AA93" s="60"/>
      <c r="AB93" s="61"/>
    </row>
    <row r="94" spans="18:28" x14ac:dyDescent="0.3">
      <c r="R94" s="57"/>
      <c r="S94" s="58"/>
      <c r="T94" s="59"/>
      <c r="U94" s="60"/>
      <c r="V94" s="61"/>
      <c r="W94" s="60"/>
      <c r="X94" s="61"/>
      <c r="Y94" s="60"/>
      <c r="Z94" s="61"/>
      <c r="AA94" s="60"/>
      <c r="AB94" s="61"/>
    </row>
    <row r="95" spans="18:28" x14ac:dyDescent="0.3">
      <c r="R95" s="57"/>
      <c r="S95" s="58"/>
      <c r="T95" s="59"/>
      <c r="U95" s="60"/>
      <c r="V95" s="61"/>
      <c r="W95" s="60"/>
      <c r="X95" s="61"/>
      <c r="Y95" s="60"/>
      <c r="Z95" s="61"/>
      <c r="AA95" s="60"/>
      <c r="AB95" s="61"/>
    </row>
    <row r="96" spans="18:28" x14ac:dyDescent="0.3">
      <c r="R96" s="57"/>
      <c r="S96" s="58"/>
      <c r="T96" s="59"/>
      <c r="U96" s="60"/>
      <c r="V96" s="61"/>
      <c r="W96" s="60"/>
      <c r="X96" s="61"/>
      <c r="Y96" s="60"/>
      <c r="Z96" s="61"/>
      <c r="AA96" s="60"/>
      <c r="AB96" s="61"/>
    </row>
    <row r="97" spans="18:28" x14ac:dyDescent="0.3">
      <c r="R97" s="57"/>
      <c r="S97" s="58"/>
      <c r="T97" s="59"/>
      <c r="U97" s="60"/>
      <c r="V97" s="61"/>
      <c r="W97" s="60"/>
      <c r="X97" s="61"/>
      <c r="Y97" s="60"/>
      <c r="Z97" s="61"/>
      <c r="AA97" s="60"/>
      <c r="AB97" s="61"/>
    </row>
    <row r="98" spans="18:28" x14ac:dyDescent="0.3">
      <c r="R98" s="57"/>
      <c r="S98" s="58"/>
      <c r="T98" s="59"/>
      <c r="U98" s="60"/>
      <c r="V98" s="61"/>
      <c r="W98" s="60"/>
      <c r="X98" s="61"/>
      <c r="Y98" s="60"/>
      <c r="Z98" s="61"/>
      <c r="AA98" s="60"/>
      <c r="AB98" s="61"/>
    </row>
    <row r="99" spans="18:28" x14ac:dyDescent="0.3">
      <c r="R99" s="57"/>
      <c r="S99" s="58"/>
      <c r="T99" s="59"/>
      <c r="U99" s="60"/>
      <c r="V99" s="61"/>
      <c r="W99" s="60"/>
      <c r="X99" s="61"/>
      <c r="Y99" s="60"/>
      <c r="Z99" s="61"/>
      <c r="AA99" s="60"/>
      <c r="AB99" s="61"/>
    </row>
    <row r="100" spans="18:28" x14ac:dyDescent="0.3">
      <c r="R100" s="57"/>
      <c r="S100" s="58"/>
      <c r="T100" s="59"/>
      <c r="U100" s="60"/>
      <c r="V100" s="61"/>
      <c r="W100" s="60"/>
      <c r="X100" s="61"/>
      <c r="Y100" s="60"/>
      <c r="Z100" s="61"/>
      <c r="AA100" s="60"/>
      <c r="AB100" s="61"/>
    </row>
    <row r="101" spans="18:28" x14ac:dyDescent="0.3">
      <c r="R101" s="57"/>
      <c r="S101" s="58"/>
      <c r="T101" s="59"/>
      <c r="U101" s="60"/>
      <c r="V101" s="61"/>
      <c r="W101" s="60"/>
      <c r="X101" s="61"/>
      <c r="Y101" s="60"/>
      <c r="Z101" s="61"/>
      <c r="AA101" s="60"/>
      <c r="AB101" s="61"/>
    </row>
    <row r="102" spans="18:28" x14ac:dyDescent="0.3">
      <c r="R102" s="57"/>
      <c r="S102" s="58"/>
      <c r="T102" s="59"/>
      <c r="U102" s="60"/>
      <c r="V102" s="61"/>
      <c r="W102" s="60"/>
      <c r="X102" s="61"/>
      <c r="Y102" s="60"/>
      <c r="Z102" s="61"/>
      <c r="AA102" s="60"/>
      <c r="AB102" s="61"/>
    </row>
    <row r="103" spans="18:28" x14ac:dyDescent="0.3">
      <c r="R103" s="57"/>
      <c r="S103" s="58"/>
      <c r="T103" s="59"/>
      <c r="U103" s="60"/>
      <c r="V103" s="61"/>
      <c r="W103" s="60"/>
      <c r="X103" s="61"/>
      <c r="Y103" s="60"/>
      <c r="Z103" s="61"/>
      <c r="AA103" s="60"/>
      <c r="AB103" s="61"/>
    </row>
    <row r="104" spans="18:28" x14ac:dyDescent="0.3">
      <c r="R104" s="57"/>
      <c r="S104" s="58"/>
      <c r="T104" s="59"/>
      <c r="U104" s="60"/>
      <c r="V104" s="61"/>
      <c r="W104" s="60"/>
      <c r="X104" s="61"/>
      <c r="Y104" s="60"/>
      <c r="Z104" s="61"/>
      <c r="AA104" s="60"/>
      <c r="AB104" s="61"/>
    </row>
    <row r="105" spans="18:28" x14ac:dyDescent="0.3">
      <c r="R105" s="57"/>
      <c r="S105" s="58"/>
      <c r="T105" s="59"/>
      <c r="U105" s="60"/>
      <c r="V105" s="61"/>
      <c r="W105" s="60"/>
      <c r="X105" s="61"/>
      <c r="Y105" s="60"/>
      <c r="Z105" s="61"/>
      <c r="AA105" s="60"/>
      <c r="AB105" s="61"/>
    </row>
    <row r="106" spans="18:28" x14ac:dyDescent="0.3">
      <c r="R106" s="57"/>
      <c r="S106" s="58"/>
      <c r="T106" s="59"/>
      <c r="U106" s="60"/>
      <c r="V106" s="61"/>
      <c r="W106" s="60"/>
      <c r="X106" s="61"/>
      <c r="Y106" s="60"/>
      <c r="Z106" s="61"/>
      <c r="AA106" s="60"/>
      <c r="AB106" s="61"/>
    </row>
    <row r="107" spans="18:28" x14ac:dyDescent="0.3">
      <c r="R107" s="57"/>
      <c r="S107" s="58"/>
      <c r="T107" s="59"/>
      <c r="U107" s="60"/>
      <c r="V107" s="61"/>
      <c r="W107" s="60"/>
      <c r="X107" s="61"/>
      <c r="Y107" s="60"/>
      <c r="Z107" s="61"/>
      <c r="AA107" s="60"/>
      <c r="AB107" s="61"/>
    </row>
    <row r="108" spans="18:28" x14ac:dyDescent="0.3">
      <c r="R108" s="57"/>
      <c r="S108" s="58"/>
      <c r="T108" s="59"/>
      <c r="U108" s="60"/>
      <c r="V108" s="61"/>
      <c r="W108" s="60"/>
      <c r="X108" s="61"/>
      <c r="Y108" s="60"/>
      <c r="Z108" s="61"/>
      <c r="AA108" s="60"/>
      <c r="AB108" s="61"/>
    </row>
    <row r="109" spans="18:28" x14ac:dyDescent="0.3">
      <c r="R109" s="57"/>
      <c r="S109" s="58"/>
      <c r="T109" s="59"/>
      <c r="U109" s="60"/>
      <c r="V109" s="61"/>
      <c r="W109" s="60"/>
      <c r="X109" s="61"/>
      <c r="Y109" s="60"/>
      <c r="Z109" s="61"/>
      <c r="AA109" s="60"/>
      <c r="AB109" s="61"/>
    </row>
    <row r="110" spans="18:28" x14ac:dyDescent="0.3">
      <c r="R110" s="57"/>
      <c r="S110" s="58"/>
      <c r="T110" s="59"/>
      <c r="U110" s="60"/>
      <c r="V110" s="61"/>
      <c r="W110" s="60"/>
      <c r="X110" s="61"/>
      <c r="Y110" s="60"/>
      <c r="Z110" s="61"/>
      <c r="AA110" s="60"/>
      <c r="AB110" s="61"/>
    </row>
    <row r="111" spans="18:28" x14ac:dyDescent="0.3">
      <c r="R111" s="57"/>
      <c r="S111" s="58"/>
      <c r="T111" s="59"/>
      <c r="U111" s="60"/>
      <c r="V111" s="61"/>
      <c r="W111" s="60"/>
      <c r="X111" s="61"/>
      <c r="Y111" s="60"/>
      <c r="Z111" s="61"/>
      <c r="AA111" s="60"/>
      <c r="AB111" s="61"/>
    </row>
    <row r="112" spans="18:28" x14ac:dyDescent="0.3">
      <c r="R112" s="57"/>
      <c r="S112" s="58"/>
      <c r="T112" s="59"/>
      <c r="U112" s="60"/>
      <c r="V112" s="61"/>
      <c r="W112" s="60"/>
      <c r="X112" s="61"/>
      <c r="Y112" s="60"/>
      <c r="Z112" s="61"/>
      <c r="AA112" s="60"/>
      <c r="AB112" s="61"/>
    </row>
    <row r="113" spans="18:28" x14ac:dyDescent="0.3">
      <c r="R113" s="57"/>
      <c r="S113" s="58"/>
      <c r="T113" s="59"/>
      <c r="U113" s="60"/>
      <c r="V113" s="61"/>
      <c r="W113" s="60"/>
      <c r="X113" s="61"/>
      <c r="Y113" s="60"/>
      <c r="Z113" s="61"/>
      <c r="AA113" s="60"/>
      <c r="AB113" s="61"/>
    </row>
    <row r="114" spans="18:28" x14ac:dyDescent="0.3">
      <c r="R114" s="57"/>
      <c r="S114" s="58"/>
      <c r="T114" s="59"/>
      <c r="U114" s="60"/>
      <c r="V114" s="61"/>
      <c r="W114" s="60"/>
      <c r="X114" s="61"/>
      <c r="Y114" s="60"/>
      <c r="Z114" s="61"/>
      <c r="AA114" s="60"/>
      <c r="AB114" s="61"/>
    </row>
    <row r="115" spans="18:28" x14ac:dyDescent="0.3">
      <c r="R115" s="57"/>
      <c r="S115" s="58"/>
      <c r="T115" s="59"/>
      <c r="U115" s="60"/>
      <c r="V115" s="61"/>
      <c r="W115" s="60"/>
      <c r="X115" s="61"/>
      <c r="Y115" s="60"/>
      <c r="Z115" s="61"/>
      <c r="AA115" s="60"/>
      <c r="AB115" s="61"/>
    </row>
    <row r="116" spans="18:28" x14ac:dyDescent="0.3">
      <c r="R116" s="57"/>
      <c r="S116" s="58"/>
      <c r="T116" s="59"/>
      <c r="U116" s="60"/>
      <c r="V116" s="61"/>
      <c r="W116" s="60"/>
      <c r="X116" s="61"/>
      <c r="Y116" s="60"/>
      <c r="Z116" s="61"/>
      <c r="AA116" s="60"/>
      <c r="AB116" s="61"/>
    </row>
    <row r="117" spans="18:28" x14ac:dyDescent="0.3">
      <c r="R117" s="57"/>
      <c r="S117" s="58"/>
      <c r="T117" s="59"/>
      <c r="U117" s="60"/>
      <c r="V117" s="61"/>
      <c r="W117" s="60"/>
      <c r="X117" s="61"/>
      <c r="Y117" s="60"/>
      <c r="Z117" s="61"/>
      <c r="AA117" s="60"/>
      <c r="AB117" s="61"/>
    </row>
    <row r="118" spans="18:28" x14ac:dyDescent="0.3">
      <c r="R118" s="57"/>
      <c r="S118" s="58"/>
      <c r="T118" s="59"/>
      <c r="U118" s="60"/>
      <c r="V118" s="61"/>
      <c r="W118" s="60"/>
      <c r="X118" s="61"/>
      <c r="Y118" s="60"/>
      <c r="Z118" s="61"/>
      <c r="AA118" s="60"/>
      <c r="AB118" s="61"/>
    </row>
    <row r="119" spans="18:28" x14ac:dyDescent="0.3">
      <c r="R119" s="57"/>
      <c r="S119" s="58"/>
      <c r="T119" s="59"/>
      <c r="U119" s="60"/>
      <c r="V119" s="61"/>
      <c r="W119" s="60"/>
      <c r="X119" s="61"/>
      <c r="Y119" s="60"/>
      <c r="Z119" s="61"/>
      <c r="AA119" s="60"/>
      <c r="AB119" s="61"/>
    </row>
    <row r="120" spans="18:28" x14ac:dyDescent="0.3">
      <c r="R120" s="57"/>
      <c r="S120" s="58"/>
      <c r="T120" s="59"/>
      <c r="U120" s="60"/>
      <c r="V120" s="61"/>
      <c r="W120" s="60"/>
      <c r="X120" s="61"/>
      <c r="Y120" s="60"/>
      <c r="Z120" s="61"/>
      <c r="AA120" s="60"/>
      <c r="AB120" s="61"/>
    </row>
    <row r="121" spans="18:28" x14ac:dyDescent="0.3">
      <c r="R121" s="57"/>
      <c r="S121" s="58"/>
      <c r="T121" s="59"/>
      <c r="U121" s="60"/>
      <c r="V121" s="61"/>
      <c r="W121" s="60"/>
      <c r="X121" s="61"/>
      <c r="Y121" s="60"/>
      <c r="Z121" s="61"/>
      <c r="AA121" s="60"/>
      <c r="AB121" s="61"/>
    </row>
    <row r="122" spans="18:28" x14ac:dyDescent="0.3">
      <c r="R122" s="57"/>
      <c r="S122" s="58"/>
      <c r="T122" s="59"/>
      <c r="U122" s="60"/>
      <c r="V122" s="61"/>
      <c r="W122" s="60"/>
      <c r="X122" s="61"/>
      <c r="Y122" s="60"/>
      <c r="Z122" s="61"/>
      <c r="AA122" s="60"/>
      <c r="AB122" s="61"/>
    </row>
    <row r="123" spans="18:28" x14ac:dyDescent="0.3">
      <c r="R123" s="57"/>
      <c r="S123" s="58"/>
      <c r="T123" s="59"/>
      <c r="U123" s="60"/>
      <c r="V123" s="61"/>
      <c r="W123" s="60"/>
      <c r="X123" s="61"/>
      <c r="Y123" s="60"/>
      <c r="Z123" s="61"/>
      <c r="AA123" s="60"/>
      <c r="AB123" s="61"/>
    </row>
    <row r="124" spans="18:28" x14ac:dyDescent="0.3">
      <c r="R124" s="57"/>
      <c r="S124" s="58"/>
      <c r="T124" s="59"/>
      <c r="U124" s="60"/>
      <c r="V124" s="61"/>
      <c r="W124" s="60"/>
      <c r="X124" s="61"/>
      <c r="Y124" s="60"/>
      <c r="Z124" s="61"/>
      <c r="AA124" s="60"/>
      <c r="AB124" s="61"/>
    </row>
    <row r="125" spans="18:28" x14ac:dyDescent="0.3">
      <c r="R125" s="57"/>
      <c r="S125" s="58"/>
      <c r="T125" s="59"/>
      <c r="U125" s="60"/>
      <c r="V125" s="61"/>
      <c r="W125" s="60"/>
      <c r="X125" s="61"/>
      <c r="Y125" s="60"/>
      <c r="Z125" s="61"/>
      <c r="AA125" s="60"/>
      <c r="AB125" s="61"/>
    </row>
    <row r="126" spans="18:28" x14ac:dyDescent="0.3">
      <c r="R126" s="57"/>
      <c r="S126" s="58"/>
      <c r="T126" s="59"/>
      <c r="U126" s="60"/>
      <c r="V126" s="61"/>
      <c r="W126" s="60"/>
      <c r="X126" s="61"/>
      <c r="Y126" s="60"/>
      <c r="Z126" s="61"/>
      <c r="AA126" s="60"/>
      <c r="AB126" s="61"/>
    </row>
    <row r="127" spans="18:28" x14ac:dyDescent="0.3">
      <c r="R127" s="57"/>
      <c r="S127" s="58"/>
      <c r="T127" s="59"/>
      <c r="U127" s="60"/>
      <c r="V127" s="61"/>
      <c r="W127" s="60"/>
      <c r="X127" s="61"/>
      <c r="Y127" s="60"/>
      <c r="Z127" s="61"/>
      <c r="AA127" s="60"/>
      <c r="AB127" s="61"/>
    </row>
    <row r="128" spans="18:28" x14ac:dyDescent="0.3">
      <c r="R128" s="57"/>
      <c r="S128" s="58"/>
      <c r="T128" s="59"/>
      <c r="U128" s="60"/>
      <c r="V128" s="61"/>
      <c r="W128" s="60"/>
      <c r="X128" s="61"/>
      <c r="Y128" s="60"/>
      <c r="Z128" s="61"/>
      <c r="AA128" s="60"/>
      <c r="AB128" s="61"/>
    </row>
    <row r="129" spans="18:28" x14ac:dyDescent="0.3">
      <c r="R129" s="57"/>
      <c r="S129" s="58"/>
      <c r="T129" s="59"/>
      <c r="U129" s="60"/>
      <c r="V129" s="61"/>
      <c r="W129" s="60"/>
      <c r="X129" s="61"/>
      <c r="Y129" s="60"/>
      <c r="Z129" s="61"/>
      <c r="AA129" s="60"/>
      <c r="AB129" s="61"/>
    </row>
    <row r="130" spans="18:28" x14ac:dyDescent="0.3">
      <c r="R130" s="57"/>
      <c r="S130" s="58"/>
      <c r="T130" s="59"/>
      <c r="U130" s="60"/>
      <c r="V130" s="61"/>
      <c r="W130" s="60"/>
      <c r="X130" s="61"/>
      <c r="Y130" s="60"/>
      <c r="Z130" s="61"/>
      <c r="AA130" s="60"/>
      <c r="AB130" s="61"/>
    </row>
    <row r="131" spans="18:28" x14ac:dyDescent="0.3">
      <c r="R131" s="57"/>
      <c r="S131" s="58"/>
      <c r="T131" s="59"/>
      <c r="U131" s="60"/>
      <c r="V131" s="61"/>
      <c r="W131" s="60"/>
      <c r="X131" s="61"/>
      <c r="Y131" s="60"/>
      <c r="Z131" s="61"/>
      <c r="AA131" s="60"/>
      <c r="AB131" s="61"/>
    </row>
    <row r="132" spans="18:28" x14ac:dyDescent="0.3">
      <c r="R132" s="57"/>
      <c r="S132" s="58"/>
      <c r="T132" s="59"/>
      <c r="U132" s="60"/>
      <c r="V132" s="61"/>
      <c r="W132" s="60"/>
      <c r="X132" s="61"/>
      <c r="Y132" s="60"/>
      <c r="Z132" s="61"/>
      <c r="AA132" s="60"/>
      <c r="AB132" s="61"/>
    </row>
    <row r="133" spans="18:28" x14ac:dyDescent="0.3">
      <c r="R133" s="57"/>
      <c r="S133" s="58"/>
      <c r="T133" s="59"/>
      <c r="U133" s="60"/>
      <c r="V133" s="61"/>
      <c r="W133" s="60"/>
      <c r="X133" s="61"/>
      <c r="Y133" s="60"/>
      <c r="Z133" s="61"/>
      <c r="AA133" s="60"/>
      <c r="AB133" s="61"/>
    </row>
    <row r="134" spans="18:28" x14ac:dyDescent="0.3">
      <c r="R134" s="57"/>
      <c r="S134" s="58"/>
      <c r="T134" s="59"/>
      <c r="U134" s="60"/>
      <c r="V134" s="61"/>
      <c r="W134" s="60"/>
      <c r="X134" s="61"/>
      <c r="Y134" s="60"/>
      <c r="Z134" s="61"/>
      <c r="AA134" s="60"/>
      <c r="AB134" s="61"/>
    </row>
    <row r="135" spans="18:28" x14ac:dyDescent="0.3">
      <c r="R135" s="57"/>
      <c r="S135" s="58"/>
      <c r="T135" s="59"/>
      <c r="U135" s="60"/>
      <c r="V135" s="61"/>
      <c r="W135" s="60"/>
      <c r="X135" s="61"/>
      <c r="Y135" s="60"/>
      <c r="Z135" s="61"/>
      <c r="AA135" s="60"/>
      <c r="AB135" s="61"/>
    </row>
    <row r="136" spans="18:28" x14ac:dyDescent="0.3">
      <c r="R136" s="57"/>
      <c r="S136" s="58"/>
      <c r="T136" s="59"/>
      <c r="U136" s="60"/>
      <c r="V136" s="61"/>
      <c r="W136" s="60"/>
      <c r="X136" s="61"/>
      <c r="Y136" s="60"/>
      <c r="Z136" s="61"/>
      <c r="AA136" s="60"/>
      <c r="AB136" s="61"/>
    </row>
    <row r="137" spans="18:28" x14ac:dyDescent="0.3">
      <c r="R137" s="57"/>
      <c r="S137" s="58"/>
      <c r="T137" s="59"/>
      <c r="U137" s="60"/>
      <c r="V137" s="61"/>
      <c r="W137" s="60"/>
      <c r="X137" s="61"/>
      <c r="Y137" s="60"/>
      <c r="Z137" s="61"/>
      <c r="AA137" s="60"/>
      <c r="AB137" s="61"/>
    </row>
    <row r="138" spans="18:28" x14ac:dyDescent="0.3">
      <c r="R138" s="57"/>
      <c r="S138" s="58"/>
      <c r="T138" s="59"/>
      <c r="U138" s="60"/>
      <c r="V138" s="61"/>
      <c r="W138" s="60"/>
      <c r="X138" s="61"/>
      <c r="Y138" s="60"/>
      <c r="Z138" s="61"/>
      <c r="AA138" s="60"/>
      <c r="AB138" s="61"/>
    </row>
    <row r="139" spans="18:28" x14ac:dyDescent="0.3">
      <c r="R139" s="57"/>
      <c r="S139" s="58"/>
      <c r="T139" s="59"/>
      <c r="U139" s="60"/>
      <c r="V139" s="61"/>
      <c r="W139" s="60"/>
      <c r="X139" s="61"/>
      <c r="Y139" s="60"/>
      <c r="Z139" s="61"/>
      <c r="AA139" s="60"/>
      <c r="AB139" s="61"/>
    </row>
    <row r="140" spans="18:28" x14ac:dyDescent="0.3">
      <c r="R140" s="57"/>
      <c r="S140" s="58"/>
      <c r="T140" s="59"/>
      <c r="U140" s="60"/>
      <c r="V140" s="61"/>
      <c r="W140" s="60"/>
      <c r="X140" s="61"/>
      <c r="Y140" s="60"/>
      <c r="Z140" s="61"/>
      <c r="AA140" s="60"/>
      <c r="AB140" s="61"/>
    </row>
    <row r="141" spans="18:28" x14ac:dyDescent="0.3">
      <c r="R141" s="57"/>
      <c r="S141" s="58"/>
      <c r="T141" s="59"/>
      <c r="U141" s="60"/>
      <c r="V141" s="61"/>
      <c r="W141" s="60"/>
      <c r="X141" s="61"/>
      <c r="Y141" s="60"/>
      <c r="Z141" s="61"/>
      <c r="AA141" s="60"/>
      <c r="AB141" s="61"/>
    </row>
    <row r="142" spans="18:28" x14ac:dyDescent="0.3">
      <c r="R142" s="57"/>
      <c r="S142" s="58"/>
      <c r="T142" s="59"/>
      <c r="U142" s="60"/>
      <c r="V142" s="61"/>
      <c r="W142" s="60"/>
      <c r="X142" s="61"/>
      <c r="Y142" s="60"/>
      <c r="Z142" s="61"/>
      <c r="AA142" s="60"/>
      <c r="AB142" s="61"/>
    </row>
    <row r="143" spans="18:28" x14ac:dyDescent="0.3">
      <c r="R143" s="57"/>
      <c r="S143" s="58"/>
      <c r="T143" s="59"/>
      <c r="U143" s="60"/>
      <c r="V143" s="61"/>
      <c r="W143" s="60"/>
      <c r="X143" s="61"/>
      <c r="Y143" s="60"/>
      <c r="Z143" s="61"/>
      <c r="AA143" s="60"/>
      <c r="AB143" s="61"/>
    </row>
    <row r="144" spans="18:28" x14ac:dyDescent="0.3">
      <c r="R144" s="57"/>
      <c r="S144" s="58"/>
      <c r="T144" s="59"/>
      <c r="U144" s="60"/>
      <c r="V144" s="61"/>
      <c r="W144" s="60"/>
      <c r="X144" s="61"/>
      <c r="Y144" s="60"/>
      <c r="Z144" s="61"/>
      <c r="AA144" s="60"/>
      <c r="AB144" s="61"/>
    </row>
    <row r="145" spans="18:28" x14ac:dyDescent="0.3">
      <c r="R145" s="57"/>
      <c r="S145" s="58"/>
      <c r="T145" s="59"/>
      <c r="U145" s="60"/>
      <c r="V145" s="61"/>
      <c r="W145" s="60"/>
      <c r="X145" s="61"/>
      <c r="Y145" s="60"/>
      <c r="Z145" s="61"/>
      <c r="AA145" s="60"/>
      <c r="AB145" s="61"/>
    </row>
    <row r="146" spans="18:28" x14ac:dyDescent="0.3">
      <c r="R146" s="57"/>
      <c r="S146" s="58"/>
      <c r="T146" s="59"/>
      <c r="U146" s="60"/>
      <c r="V146" s="61"/>
      <c r="W146" s="60"/>
      <c r="X146" s="61"/>
      <c r="Y146" s="60"/>
      <c r="Z146" s="61"/>
      <c r="AA146" s="60"/>
      <c r="AB146" s="61"/>
    </row>
    <row r="147" spans="18:28" x14ac:dyDescent="0.3">
      <c r="R147" s="57"/>
      <c r="S147" s="58"/>
      <c r="T147" s="59"/>
      <c r="U147" s="60"/>
      <c r="V147" s="61"/>
      <c r="W147" s="60"/>
      <c r="X147" s="61"/>
      <c r="Y147" s="60"/>
      <c r="Z147" s="61"/>
      <c r="AA147" s="60"/>
      <c r="AB147" s="61"/>
    </row>
    <row r="148" spans="18:28" x14ac:dyDescent="0.3">
      <c r="R148" s="57"/>
      <c r="S148" s="58"/>
      <c r="T148" s="59"/>
      <c r="U148" s="60"/>
      <c r="V148" s="61"/>
      <c r="W148" s="60"/>
      <c r="X148" s="61"/>
      <c r="Y148" s="60"/>
      <c r="Z148" s="61"/>
      <c r="AA148" s="60"/>
      <c r="AB148" s="61"/>
    </row>
    <row r="149" spans="18:28" x14ac:dyDescent="0.3">
      <c r="R149" s="57"/>
      <c r="S149" s="58"/>
      <c r="T149" s="59"/>
      <c r="U149" s="60"/>
      <c r="V149" s="61"/>
      <c r="W149" s="60"/>
      <c r="X149" s="61"/>
      <c r="Y149" s="60"/>
      <c r="Z149" s="61"/>
      <c r="AA149" s="60"/>
      <c r="AB149" s="61"/>
    </row>
    <row r="150" spans="18:28" x14ac:dyDescent="0.3">
      <c r="R150" s="57"/>
      <c r="S150" s="58"/>
      <c r="T150" s="59"/>
      <c r="U150" s="60"/>
      <c r="V150" s="61"/>
      <c r="W150" s="60"/>
      <c r="X150" s="61"/>
      <c r="Y150" s="60"/>
      <c r="Z150" s="61"/>
      <c r="AA150" s="60"/>
      <c r="AB150" s="61"/>
    </row>
    <row r="151" spans="18:28" x14ac:dyDescent="0.3">
      <c r="R151" s="57"/>
      <c r="S151" s="58"/>
      <c r="T151" s="59"/>
      <c r="U151" s="60"/>
      <c r="V151" s="61"/>
      <c r="W151" s="60"/>
      <c r="X151" s="61"/>
      <c r="Y151" s="60"/>
      <c r="Z151" s="61"/>
      <c r="AA151" s="60"/>
      <c r="AB151" s="61"/>
    </row>
    <row r="152" spans="18:28" x14ac:dyDescent="0.3">
      <c r="R152" s="57"/>
      <c r="S152" s="58"/>
      <c r="T152" s="59"/>
      <c r="U152" s="60"/>
      <c r="V152" s="61"/>
      <c r="W152" s="60"/>
      <c r="X152" s="61"/>
      <c r="Y152" s="60"/>
      <c r="Z152" s="61"/>
      <c r="AA152" s="60"/>
      <c r="AB152" s="61"/>
    </row>
    <row r="153" spans="18:28" x14ac:dyDescent="0.3">
      <c r="R153" s="57"/>
      <c r="S153" s="58"/>
      <c r="T153" s="59"/>
      <c r="U153" s="60"/>
      <c r="V153" s="61"/>
      <c r="W153" s="60"/>
      <c r="X153" s="61"/>
      <c r="Y153" s="60"/>
      <c r="Z153" s="61"/>
      <c r="AA153" s="60"/>
      <c r="AB153" s="61"/>
    </row>
    <row r="154" spans="18:28" x14ac:dyDescent="0.3">
      <c r="R154" s="57"/>
      <c r="S154" s="58"/>
      <c r="T154" s="59"/>
      <c r="U154" s="60"/>
      <c r="V154" s="61"/>
      <c r="W154" s="60"/>
      <c r="X154" s="61"/>
      <c r="Y154" s="60"/>
      <c r="Z154" s="61"/>
      <c r="AA154" s="60"/>
      <c r="AB154" s="61"/>
    </row>
    <row r="155" spans="18:28" x14ac:dyDescent="0.3">
      <c r="R155" s="57"/>
      <c r="S155" s="58"/>
      <c r="T155" s="59"/>
      <c r="U155" s="60"/>
      <c r="V155" s="61"/>
      <c r="W155" s="60"/>
      <c r="X155" s="61"/>
      <c r="Y155" s="60"/>
      <c r="Z155" s="61"/>
      <c r="AA155" s="60"/>
      <c r="AB155" s="61"/>
    </row>
    <row r="156" spans="18:28" x14ac:dyDescent="0.3">
      <c r="R156" s="57"/>
      <c r="S156" s="58"/>
      <c r="T156" s="59"/>
      <c r="U156" s="60"/>
      <c r="V156" s="61"/>
      <c r="W156" s="60"/>
      <c r="X156" s="61"/>
      <c r="Y156" s="60"/>
      <c r="Z156" s="61"/>
      <c r="AA156" s="60"/>
      <c r="AB156" s="61"/>
    </row>
    <row r="157" spans="18:28" x14ac:dyDescent="0.3">
      <c r="R157" s="57"/>
      <c r="S157" s="58"/>
      <c r="T157" s="59"/>
      <c r="U157" s="60"/>
      <c r="V157" s="61"/>
      <c r="W157" s="60"/>
      <c r="X157" s="61"/>
      <c r="Y157" s="60"/>
      <c r="Z157" s="61"/>
      <c r="AA157" s="60"/>
      <c r="AB157" s="61"/>
    </row>
    <row r="158" spans="18:28" x14ac:dyDescent="0.3">
      <c r="R158" s="57"/>
      <c r="S158" s="58"/>
      <c r="T158" s="59"/>
      <c r="U158" s="60"/>
      <c r="V158" s="61"/>
      <c r="W158" s="60"/>
      <c r="X158" s="61"/>
      <c r="Y158" s="60"/>
      <c r="Z158" s="61"/>
      <c r="AA158" s="60"/>
      <c r="AB158" s="61"/>
    </row>
    <row r="159" spans="18:28" x14ac:dyDescent="0.3">
      <c r="R159" s="57"/>
      <c r="S159" s="58"/>
      <c r="T159" s="59"/>
      <c r="U159" s="60"/>
      <c r="V159" s="61"/>
      <c r="W159" s="60"/>
      <c r="X159" s="61"/>
      <c r="Y159" s="60"/>
      <c r="Z159" s="61"/>
      <c r="AA159" s="60"/>
      <c r="AB159" s="61"/>
    </row>
    <row r="160" spans="18:28" x14ac:dyDescent="0.3">
      <c r="R160" s="57"/>
      <c r="S160" s="58"/>
      <c r="T160" s="59"/>
      <c r="U160" s="60"/>
      <c r="V160" s="61"/>
      <c r="W160" s="60"/>
      <c r="X160" s="61"/>
      <c r="Y160" s="60"/>
      <c r="Z160" s="61"/>
      <c r="AA160" s="60"/>
      <c r="AB160" s="61"/>
    </row>
    <row r="161" spans="18:28" x14ac:dyDescent="0.3">
      <c r="R161" s="57"/>
      <c r="S161" s="58"/>
      <c r="T161" s="59"/>
      <c r="U161" s="60"/>
      <c r="V161" s="61"/>
      <c r="W161" s="60"/>
      <c r="X161" s="61"/>
      <c r="Y161" s="60"/>
      <c r="Z161" s="61"/>
      <c r="AA161" s="60"/>
      <c r="AB161" s="61"/>
    </row>
    <row r="162" spans="18:28" x14ac:dyDescent="0.3">
      <c r="R162" s="57"/>
      <c r="S162" s="58"/>
      <c r="T162" s="59"/>
      <c r="U162" s="60"/>
      <c r="V162" s="61"/>
      <c r="W162" s="60"/>
      <c r="X162" s="61"/>
      <c r="Y162" s="60"/>
      <c r="Z162" s="61"/>
      <c r="AA162" s="60"/>
      <c r="AB162" s="61"/>
    </row>
    <row r="163" spans="18:28" x14ac:dyDescent="0.3">
      <c r="R163" s="57"/>
      <c r="S163" s="58"/>
      <c r="T163" s="59"/>
      <c r="U163" s="60"/>
      <c r="V163" s="61"/>
      <c r="W163" s="60"/>
      <c r="X163" s="61"/>
      <c r="Y163" s="60"/>
      <c r="Z163" s="61"/>
      <c r="AA163" s="60"/>
      <c r="AB163" s="61"/>
    </row>
    <row r="164" spans="18:28" x14ac:dyDescent="0.3">
      <c r="R164" s="57"/>
      <c r="S164" s="58"/>
      <c r="T164" s="59"/>
      <c r="U164" s="60"/>
      <c r="V164" s="61"/>
      <c r="W164" s="60"/>
      <c r="X164" s="61"/>
      <c r="Y164" s="60"/>
      <c r="Z164" s="61"/>
      <c r="AA164" s="60"/>
      <c r="AB164" s="61"/>
    </row>
    <row r="165" spans="18:28" x14ac:dyDescent="0.3">
      <c r="R165" s="57"/>
      <c r="S165" s="58"/>
      <c r="T165" s="59"/>
      <c r="U165" s="60"/>
      <c r="V165" s="61"/>
      <c r="W165" s="60"/>
      <c r="X165" s="61"/>
      <c r="Y165" s="60"/>
      <c r="Z165" s="61"/>
      <c r="AA165" s="60"/>
      <c r="AB165" s="61"/>
    </row>
    <row r="166" spans="18:28" x14ac:dyDescent="0.3">
      <c r="R166" s="57"/>
      <c r="S166" s="58"/>
      <c r="T166" s="59"/>
      <c r="U166" s="60"/>
      <c r="V166" s="61"/>
      <c r="W166" s="60"/>
      <c r="X166" s="61"/>
      <c r="Y166" s="60"/>
      <c r="Z166" s="61"/>
      <c r="AA166" s="60"/>
      <c r="AB166" s="61"/>
    </row>
    <row r="167" spans="18:28" x14ac:dyDescent="0.3">
      <c r="R167" s="57"/>
      <c r="S167" s="58"/>
      <c r="T167" s="59"/>
      <c r="U167" s="60"/>
      <c r="V167" s="61"/>
      <c r="W167" s="60"/>
      <c r="X167" s="61"/>
      <c r="Y167" s="60"/>
      <c r="Z167" s="61"/>
      <c r="AA167" s="60"/>
      <c r="AB167" s="61"/>
    </row>
    <row r="168" spans="18:28" x14ac:dyDescent="0.3">
      <c r="R168" s="57"/>
      <c r="S168" s="58"/>
      <c r="T168" s="59"/>
      <c r="U168" s="60"/>
      <c r="V168" s="61"/>
      <c r="W168" s="60"/>
      <c r="X168" s="61"/>
      <c r="Y168" s="60"/>
      <c r="Z168" s="61"/>
      <c r="AA168" s="60"/>
      <c r="AB168" s="61"/>
    </row>
    <row r="169" spans="18:28" x14ac:dyDescent="0.3">
      <c r="R169" s="57"/>
      <c r="S169" s="58"/>
      <c r="T169" s="59"/>
      <c r="U169" s="60"/>
      <c r="V169" s="61"/>
      <c r="W169" s="60"/>
      <c r="X169" s="61"/>
      <c r="Y169" s="60"/>
      <c r="Z169" s="61"/>
      <c r="AA169" s="60"/>
      <c r="AB169" s="61"/>
    </row>
    <row r="170" spans="18:28" x14ac:dyDescent="0.3">
      <c r="R170" s="57"/>
      <c r="S170" s="58"/>
      <c r="T170" s="59"/>
      <c r="U170" s="60"/>
      <c r="V170" s="61"/>
      <c r="W170" s="60"/>
      <c r="X170" s="61"/>
      <c r="Y170" s="60"/>
      <c r="Z170" s="61"/>
      <c r="AA170" s="60"/>
      <c r="AB170" s="61"/>
    </row>
    <row r="171" spans="18:28" x14ac:dyDescent="0.3">
      <c r="R171" s="57"/>
      <c r="S171" s="58"/>
      <c r="T171" s="59"/>
      <c r="U171" s="60"/>
      <c r="V171" s="61"/>
      <c r="W171" s="60"/>
      <c r="X171" s="61"/>
      <c r="Y171" s="60"/>
      <c r="Z171" s="61"/>
      <c r="AA171" s="60"/>
      <c r="AB171" s="61"/>
    </row>
    <row r="172" spans="18:28" x14ac:dyDescent="0.3">
      <c r="R172" s="57"/>
      <c r="S172" s="58"/>
      <c r="T172" s="59"/>
      <c r="U172" s="60"/>
      <c r="V172" s="61"/>
      <c r="W172" s="60"/>
      <c r="X172" s="61"/>
      <c r="Y172" s="60"/>
      <c r="Z172" s="61"/>
      <c r="AA172" s="60"/>
      <c r="AB172" s="61"/>
    </row>
    <row r="173" spans="18:28" x14ac:dyDescent="0.3">
      <c r="R173" s="57"/>
      <c r="S173" s="58"/>
      <c r="T173" s="59"/>
      <c r="U173" s="60"/>
      <c r="V173" s="61"/>
      <c r="W173" s="60"/>
      <c r="X173" s="61"/>
      <c r="Y173" s="60"/>
      <c r="Z173" s="61"/>
      <c r="AA173" s="60"/>
      <c r="AB173" s="61"/>
    </row>
    <row r="174" spans="18:28" x14ac:dyDescent="0.3">
      <c r="R174" s="57"/>
      <c r="S174" s="58"/>
      <c r="T174" s="59"/>
      <c r="U174" s="60"/>
      <c r="V174" s="61"/>
      <c r="W174" s="60"/>
      <c r="X174" s="61"/>
      <c r="Y174" s="60"/>
      <c r="Z174" s="61"/>
      <c r="AA174" s="60"/>
      <c r="AB174" s="61"/>
    </row>
    <row r="175" spans="18:28" x14ac:dyDescent="0.3">
      <c r="R175" s="57"/>
      <c r="S175" s="58"/>
      <c r="T175" s="59"/>
      <c r="U175" s="60"/>
      <c r="V175" s="61"/>
      <c r="W175" s="60"/>
      <c r="X175" s="61"/>
      <c r="Y175" s="60"/>
      <c r="Z175" s="61"/>
      <c r="AA175" s="60"/>
      <c r="AB175" s="61"/>
    </row>
    <row r="176" spans="18:28" x14ac:dyDescent="0.3">
      <c r="R176" s="57"/>
      <c r="S176" s="58"/>
      <c r="T176" s="59"/>
      <c r="U176" s="60"/>
      <c r="V176" s="61"/>
      <c r="W176" s="60"/>
      <c r="X176" s="61"/>
      <c r="Y176" s="60"/>
      <c r="Z176" s="61"/>
      <c r="AA176" s="60"/>
      <c r="AB176" s="61"/>
    </row>
    <row r="177" spans="18:28" x14ac:dyDescent="0.3">
      <c r="R177" s="57"/>
      <c r="S177" s="58"/>
      <c r="T177" s="59"/>
      <c r="U177" s="60"/>
      <c r="V177" s="61"/>
      <c r="W177" s="60"/>
      <c r="X177" s="61"/>
      <c r="Y177" s="60"/>
      <c r="Z177" s="61"/>
      <c r="AA177" s="60"/>
      <c r="AB177" s="61"/>
    </row>
    <row r="178" spans="18:28" x14ac:dyDescent="0.3">
      <c r="R178" s="57"/>
      <c r="S178" s="58"/>
      <c r="T178" s="59"/>
      <c r="U178" s="60"/>
      <c r="V178" s="61"/>
      <c r="W178" s="60"/>
      <c r="X178" s="61"/>
      <c r="Y178" s="60"/>
      <c r="Z178" s="61"/>
      <c r="AA178" s="60"/>
      <c r="AB178" s="61"/>
    </row>
    <row r="179" spans="18:28" x14ac:dyDescent="0.3">
      <c r="R179" s="57"/>
      <c r="S179" s="58"/>
      <c r="T179" s="59"/>
      <c r="U179" s="60"/>
      <c r="V179" s="61"/>
      <c r="W179" s="60"/>
      <c r="X179" s="61"/>
      <c r="Y179" s="60"/>
      <c r="Z179" s="61"/>
      <c r="AA179" s="60"/>
      <c r="AB179" s="61"/>
    </row>
    <row r="180" spans="18:28" x14ac:dyDescent="0.3">
      <c r="R180" s="57"/>
      <c r="S180" s="58"/>
      <c r="T180" s="59"/>
      <c r="U180" s="60"/>
      <c r="V180" s="61"/>
      <c r="W180" s="60"/>
      <c r="X180" s="61"/>
      <c r="Y180" s="60"/>
      <c r="Z180" s="61"/>
      <c r="AA180" s="60"/>
      <c r="AB180" s="61"/>
    </row>
    <row r="181" spans="18:28" x14ac:dyDescent="0.3">
      <c r="R181" s="57"/>
      <c r="S181" s="58"/>
      <c r="T181" s="59"/>
      <c r="U181" s="60"/>
      <c r="V181" s="61"/>
      <c r="W181" s="60"/>
      <c r="X181" s="61"/>
      <c r="Y181" s="60"/>
      <c r="Z181" s="61"/>
      <c r="AA181" s="60"/>
      <c r="AB181" s="61"/>
    </row>
    <row r="182" spans="18:28" x14ac:dyDescent="0.3">
      <c r="R182" s="57"/>
      <c r="S182" s="58"/>
      <c r="T182" s="59"/>
      <c r="U182" s="60"/>
      <c r="V182" s="61"/>
      <c r="W182" s="60"/>
      <c r="X182" s="61"/>
      <c r="Y182" s="60"/>
      <c r="Z182" s="61"/>
      <c r="AA182" s="60"/>
      <c r="AB182" s="61"/>
    </row>
    <row r="183" spans="18:28" x14ac:dyDescent="0.3">
      <c r="R183" s="57"/>
      <c r="S183" s="58"/>
      <c r="T183" s="59"/>
      <c r="U183" s="60"/>
      <c r="V183" s="61"/>
      <c r="W183" s="60"/>
      <c r="X183" s="61"/>
      <c r="Y183" s="60"/>
      <c r="Z183" s="61"/>
      <c r="AA183" s="60"/>
      <c r="AB183" s="61"/>
    </row>
    <row r="184" spans="18:28" x14ac:dyDescent="0.3">
      <c r="R184" s="57"/>
      <c r="S184" s="58"/>
      <c r="T184" s="59"/>
      <c r="U184" s="60"/>
      <c r="V184" s="61"/>
      <c r="W184" s="60"/>
      <c r="X184" s="61"/>
      <c r="Y184" s="60"/>
      <c r="Z184" s="61"/>
      <c r="AA184" s="60"/>
      <c r="AB184" s="61"/>
    </row>
    <row r="185" spans="18:28" x14ac:dyDescent="0.3">
      <c r="R185" s="57"/>
      <c r="S185" s="58"/>
      <c r="T185" s="59"/>
      <c r="U185" s="60"/>
      <c r="V185" s="61"/>
      <c r="W185" s="60"/>
      <c r="X185" s="61"/>
      <c r="Y185" s="60"/>
      <c r="Z185" s="61"/>
      <c r="AA185" s="60"/>
      <c r="AB185" s="61"/>
    </row>
    <row r="186" spans="18:28" x14ac:dyDescent="0.3">
      <c r="R186" s="57"/>
      <c r="S186" s="58"/>
      <c r="T186" s="59"/>
      <c r="U186" s="60"/>
      <c r="V186" s="61"/>
      <c r="W186" s="60"/>
      <c r="X186" s="61"/>
      <c r="Y186" s="60"/>
      <c r="Z186" s="61"/>
      <c r="AA186" s="60"/>
      <c r="AB186" s="61"/>
    </row>
    <row r="187" spans="18:28" x14ac:dyDescent="0.3">
      <c r="R187" s="57"/>
      <c r="S187" s="58"/>
      <c r="T187" s="59"/>
      <c r="U187" s="60"/>
      <c r="V187" s="61"/>
      <c r="W187" s="60"/>
      <c r="X187" s="61"/>
      <c r="Y187" s="60"/>
      <c r="Z187" s="61"/>
      <c r="AA187" s="60"/>
      <c r="AB187" s="61"/>
    </row>
    <row r="188" spans="18:28" x14ac:dyDescent="0.3">
      <c r="R188" s="57"/>
      <c r="S188" s="58"/>
      <c r="T188" s="59"/>
      <c r="U188" s="60"/>
      <c r="V188" s="61"/>
      <c r="W188" s="60"/>
      <c r="X188" s="61"/>
      <c r="Y188" s="60"/>
      <c r="Z188" s="61"/>
      <c r="AA188" s="60"/>
      <c r="AB188" s="61"/>
    </row>
    <row r="189" spans="18:28" x14ac:dyDescent="0.3">
      <c r="R189" s="57"/>
      <c r="S189" s="58"/>
      <c r="T189" s="59"/>
      <c r="U189" s="60"/>
      <c r="V189" s="61"/>
      <c r="W189" s="60"/>
      <c r="X189" s="61"/>
      <c r="Y189" s="60"/>
      <c r="Z189" s="61"/>
      <c r="AA189" s="60"/>
      <c r="AB189" s="61"/>
    </row>
    <row r="190" spans="18:28" x14ac:dyDescent="0.3">
      <c r="R190" s="57"/>
      <c r="S190" s="58"/>
      <c r="T190" s="59"/>
      <c r="U190" s="60"/>
      <c r="V190" s="61"/>
      <c r="W190" s="60"/>
      <c r="X190" s="61"/>
      <c r="Y190" s="60"/>
      <c r="Z190" s="61"/>
      <c r="AA190" s="60"/>
      <c r="AB190" s="61"/>
    </row>
    <row r="191" spans="18:28" x14ac:dyDescent="0.3">
      <c r="R191" s="57"/>
      <c r="S191" s="58"/>
      <c r="T191" s="59"/>
      <c r="U191" s="60"/>
      <c r="V191" s="61"/>
      <c r="W191" s="60"/>
      <c r="X191" s="61"/>
      <c r="Y191" s="60"/>
      <c r="Z191" s="61"/>
      <c r="AA191" s="60"/>
      <c r="AB191" s="61"/>
    </row>
    <row r="192" spans="18:28" x14ac:dyDescent="0.3">
      <c r="R192" s="57"/>
      <c r="S192" s="58"/>
      <c r="T192" s="59"/>
      <c r="U192" s="60"/>
      <c r="V192" s="61"/>
      <c r="W192" s="60"/>
      <c r="X192" s="61"/>
      <c r="Y192" s="60"/>
      <c r="Z192" s="61"/>
      <c r="AA192" s="60"/>
      <c r="AB192" s="61"/>
    </row>
    <row r="193" spans="18:28" x14ac:dyDescent="0.3">
      <c r="R193" s="57"/>
      <c r="S193" s="58"/>
      <c r="T193" s="59"/>
      <c r="U193" s="60"/>
      <c r="V193" s="61"/>
      <c r="W193" s="60"/>
      <c r="X193" s="61"/>
      <c r="Y193" s="60"/>
      <c r="Z193" s="61"/>
      <c r="AA193" s="60"/>
      <c r="AB193" s="61"/>
    </row>
    <row r="194" spans="18:28" x14ac:dyDescent="0.3">
      <c r="R194" s="57"/>
      <c r="S194" s="58"/>
      <c r="T194" s="59"/>
      <c r="U194" s="60"/>
      <c r="V194" s="61"/>
      <c r="W194" s="60"/>
      <c r="X194" s="61"/>
      <c r="Y194" s="60"/>
      <c r="Z194" s="61"/>
      <c r="AA194" s="60"/>
      <c r="AB194" s="61"/>
    </row>
    <row r="195" spans="18:28" x14ac:dyDescent="0.3">
      <c r="R195" s="57"/>
      <c r="S195" s="58"/>
      <c r="T195" s="59"/>
      <c r="U195" s="60"/>
      <c r="V195" s="61"/>
      <c r="W195" s="60"/>
      <c r="X195" s="61"/>
      <c r="Y195" s="60"/>
      <c r="Z195" s="61"/>
      <c r="AA195" s="60"/>
      <c r="AB195" s="61"/>
    </row>
    <row r="196" spans="18:28" x14ac:dyDescent="0.3">
      <c r="R196" s="57"/>
      <c r="S196" s="58"/>
      <c r="T196" s="59"/>
      <c r="U196" s="60"/>
      <c r="V196" s="61"/>
      <c r="W196" s="60"/>
      <c r="X196" s="61"/>
      <c r="Y196" s="60"/>
      <c r="Z196" s="61"/>
      <c r="AA196" s="60"/>
      <c r="AB196" s="61"/>
    </row>
    <row r="197" spans="18:28" x14ac:dyDescent="0.3">
      <c r="R197" s="57"/>
      <c r="S197" s="58"/>
      <c r="T197" s="59"/>
      <c r="U197" s="60"/>
      <c r="V197" s="61"/>
      <c r="W197" s="60"/>
      <c r="X197" s="61"/>
      <c r="Y197" s="60"/>
      <c r="Z197" s="61"/>
      <c r="AA197" s="60"/>
      <c r="AB197" s="61"/>
    </row>
    <row r="198" spans="18:28" x14ac:dyDescent="0.3">
      <c r="R198" s="57"/>
      <c r="S198" s="58"/>
      <c r="T198" s="59"/>
      <c r="U198" s="60"/>
      <c r="V198" s="61"/>
      <c r="W198" s="60"/>
      <c r="X198" s="61"/>
      <c r="Y198" s="60"/>
      <c r="Z198" s="61"/>
      <c r="AA198" s="60"/>
      <c r="AB198" s="61"/>
    </row>
    <row r="199" spans="18:28" x14ac:dyDescent="0.3">
      <c r="R199" s="57"/>
      <c r="S199" s="58"/>
      <c r="T199" s="59"/>
      <c r="U199" s="60"/>
      <c r="V199" s="61"/>
      <c r="W199" s="60"/>
      <c r="X199" s="61"/>
      <c r="Y199" s="60"/>
      <c r="Z199" s="61"/>
      <c r="AA199" s="60"/>
      <c r="AB199" s="61"/>
    </row>
    <row r="200" spans="18:28" x14ac:dyDescent="0.3">
      <c r="R200" s="57"/>
      <c r="S200" s="58"/>
      <c r="T200" s="59"/>
      <c r="U200" s="60"/>
      <c r="V200" s="61"/>
      <c r="W200" s="60"/>
      <c r="X200" s="61"/>
      <c r="Y200" s="60"/>
      <c r="Z200" s="61"/>
      <c r="AA200" s="60"/>
      <c r="AB200" s="61"/>
    </row>
    <row r="201" spans="18:28" x14ac:dyDescent="0.3">
      <c r="R201" s="57"/>
      <c r="S201" s="58"/>
      <c r="T201" s="59"/>
      <c r="U201" s="60"/>
      <c r="V201" s="61"/>
      <c r="W201" s="60"/>
      <c r="X201" s="61"/>
      <c r="Y201" s="60"/>
      <c r="Z201" s="61"/>
      <c r="AA201" s="60"/>
      <c r="AB201" s="61"/>
    </row>
    <row r="202" spans="18:28" x14ac:dyDescent="0.3">
      <c r="R202" s="57"/>
      <c r="S202" s="58"/>
      <c r="T202" s="59"/>
      <c r="U202" s="60"/>
      <c r="V202" s="61"/>
      <c r="W202" s="60"/>
      <c r="X202" s="61"/>
      <c r="Y202" s="60"/>
      <c r="Z202" s="61"/>
      <c r="AA202" s="60"/>
      <c r="AB202" s="61"/>
    </row>
    <row r="203" spans="18:28" x14ac:dyDescent="0.3">
      <c r="R203" s="57"/>
      <c r="S203" s="58"/>
      <c r="T203" s="59"/>
      <c r="U203" s="60"/>
      <c r="V203" s="61"/>
      <c r="W203" s="60"/>
      <c r="X203" s="61"/>
      <c r="Y203" s="60"/>
      <c r="Z203" s="61"/>
      <c r="AA203" s="60"/>
      <c r="AB203" s="61"/>
    </row>
    <row r="204" spans="18:28" x14ac:dyDescent="0.3">
      <c r="R204" s="57"/>
      <c r="S204" s="58"/>
      <c r="T204" s="59"/>
      <c r="U204" s="60"/>
      <c r="V204" s="61"/>
      <c r="W204" s="60"/>
      <c r="X204" s="61"/>
      <c r="Y204" s="60"/>
      <c r="Z204" s="61"/>
      <c r="AA204" s="60"/>
      <c r="AB204" s="61"/>
    </row>
    <row r="205" spans="18:28" x14ac:dyDescent="0.3">
      <c r="R205" s="57"/>
      <c r="S205" s="58"/>
      <c r="T205" s="59"/>
      <c r="U205" s="60"/>
      <c r="V205" s="61"/>
      <c r="W205" s="60"/>
      <c r="X205" s="61"/>
      <c r="Y205" s="60"/>
      <c r="Z205" s="61"/>
      <c r="AA205" s="60"/>
      <c r="AB205" s="61"/>
    </row>
    <row r="206" spans="18:28" x14ac:dyDescent="0.3">
      <c r="R206" s="57"/>
      <c r="S206" s="58"/>
      <c r="T206" s="59"/>
      <c r="U206" s="60"/>
      <c r="V206" s="61"/>
      <c r="W206" s="60"/>
      <c r="X206" s="61"/>
      <c r="Y206" s="60"/>
      <c r="Z206" s="61"/>
      <c r="AA206" s="60"/>
      <c r="AB206" s="61"/>
    </row>
    <row r="207" spans="18:28" x14ac:dyDescent="0.3">
      <c r="R207" s="57"/>
      <c r="S207" s="58"/>
      <c r="T207" s="59"/>
      <c r="U207" s="60"/>
      <c r="V207" s="61"/>
      <c r="W207" s="60"/>
      <c r="X207" s="61"/>
      <c r="Y207" s="60"/>
      <c r="Z207" s="61"/>
      <c r="AA207" s="60"/>
      <c r="AB207" s="61"/>
    </row>
    <row r="208" spans="18:28" x14ac:dyDescent="0.3">
      <c r="R208" s="57"/>
      <c r="S208" s="58"/>
      <c r="T208" s="59"/>
      <c r="U208" s="60"/>
      <c r="V208" s="61"/>
      <c r="W208" s="60"/>
      <c r="X208" s="61"/>
      <c r="Y208" s="60"/>
      <c r="Z208" s="61"/>
      <c r="AA208" s="60"/>
      <c r="AB208" s="61"/>
    </row>
    <row r="209" spans="18:28" x14ac:dyDescent="0.3">
      <c r="R209" s="57"/>
      <c r="S209" s="58"/>
      <c r="T209" s="59"/>
      <c r="U209" s="60"/>
      <c r="V209" s="61"/>
      <c r="W209" s="60"/>
      <c r="X209" s="61"/>
      <c r="Y209" s="60"/>
      <c r="Z209" s="61"/>
      <c r="AA209" s="60"/>
      <c r="AB209" s="61"/>
    </row>
    <row r="210" spans="18:28" x14ac:dyDescent="0.3">
      <c r="R210" s="57"/>
      <c r="S210" s="58"/>
      <c r="T210" s="59"/>
      <c r="U210" s="60"/>
      <c r="V210" s="61"/>
      <c r="W210" s="60"/>
      <c r="X210" s="61"/>
      <c r="Y210" s="60"/>
      <c r="Z210" s="61"/>
      <c r="AA210" s="60"/>
      <c r="AB210" s="61"/>
    </row>
    <row r="211" spans="18:28" x14ac:dyDescent="0.3">
      <c r="R211" s="57"/>
      <c r="S211" s="58"/>
      <c r="T211" s="59"/>
      <c r="U211" s="60"/>
      <c r="V211" s="61"/>
      <c r="W211" s="60"/>
      <c r="X211" s="61"/>
      <c r="Y211" s="60"/>
      <c r="Z211" s="61"/>
      <c r="AA211" s="60"/>
      <c r="AB211" s="61"/>
    </row>
    <row r="212" spans="18:28" x14ac:dyDescent="0.3">
      <c r="R212" s="57"/>
      <c r="S212" s="58"/>
      <c r="T212" s="59"/>
      <c r="U212" s="60"/>
      <c r="V212" s="61"/>
      <c r="W212" s="60"/>
      <c r="X212" s="61"/>
      <c r="Y212" s="60"/>
      <c r="Z212" s="61"/>
      <c r="AA212" s="60"/>
      <c r="AB212" s="61"/>
    </row>
    <row r="213" spans="18:28" x14ac:dyDescent="0.3">
      <c r="R213" s="57"/>
      <c r="S213" s="58"/>
      <c r="T213" s="59"/>
      <c r="U213" s="60"/>
      <c r="V213" s="61"/>
      <c r="W213" s="60"/>
      <c r="X213" s="61"/>
      <c r="Y213" s="60"/>
      <c r="Z213" s="61"/>
      <c r="AA213" s="60"/>
      <c r="AB213" s="61"/>
    </row>
    <row r="214" spans="18:28" x14ac:dyDescent="0.3">
      <c r="R214" s="57"/>
      <c r="S214" s="58"/>
      <c r="T214" s="59"/>
      <c r="U214" s="60"/>
      <c r="V214" s="61"/>
      <c r="W214" s="60"/>
      <c r="X214" s="61"/>
      <c r="Y214" s="60"/>
      <c r="Z214" s="61"/>
      <c r="AA214" s="60"/>
      <c r="AB214" s="61"/>
    </row>
    <row r="215" spans="18:28" x14ac:dyDescent="0.3">
      <c r="R215" s="57"/>
      <c r="S215" s="58"/>
      <c r="T215" s="59"/>
      <c r="U215" s="60"/>
      <c r="V215" s="61"/>
      <c r="W215" s="60"/>
      <c r="X215" s="61"/>
      <c r="Y215" s="60"/>
      <c r="Z215" s="61"/>
      <c r="AA215" s="60"/>
      <c r="AB215" s="61"/>
    </row>
    <row r="216" spans="18:28" x14ac:dyDescent="0.3">
      <c r="R216" s="57"/>
      <c r="S216" s="58"/>
      <c r="T216" s="59"/>
      <c r="U216" s="60"/>
      <c r="V216" s="61"/>
      <c r="W216" s="60"/>
      <c r="X216" s="61"/>
      <c r="Y216" s="60"/>
      <c r="Z216" s="61"/>
      <c r="AA216" s="60"/>
      <c r="AB216" s="61"/>
    </row>
    <row r="217" spans="18:28" x14ac:dyDescent="0.3">
      <c r="R217" s="57"/>
      <c r="S217" s="58"/>
      <c r="T217" s="59"/>
      <c r="U217" s="60"/>
      <c r="V217" s="61"/>
      <c r="W217" s="60"/>
      <c r="X217" s="61"/>
      <c r="Y217" s="60"/>
      <c r="Z217" s="61"/>
      <c r="AA217" s="60"/>
      <c r="AB217" s="61"/>
    </row>
    <row r="218" spans="18:28" x14ac:dyDescent="0.3">
      <c r="R218" s="57"/>
      <c r="S218" s="58"/>
      <c r="T218" s="59"/>
      <c r="U218" s="60"/>
      <c r="V218" s="61"/>
      <c r="W218" s="60"/>
      <c r="X218" s="61"/>
      <c r="Y218" s="60"/>
      <c r="Z218" s="61"/>
      <c r="AA218" s="60"/>
      <c r="AB218" s="61"/>
    </row>
    <row r="219" spans="18:28" x14ac:dyDescent="0.3">
      <c r="R219" s="57"/>
      <c r="S219" s="58"/>
      <c r="T219" s="59"/>
      <c r="U219" s="60"/>
      <c r="V219" s="61"/>
      <c r="W219" s="60"/>
      <c r="X219" s="61"/>
      <c r="Y219" s="60"/>
      <c r="Z219" s="61"/>
      <c r="AA219" s="60"/>
      <c r="AB219" s="61"/>
    </row>
    <row r="220" spans="18:28" x14ac:dyDescent="0.3">
      <c r="R220" s="57"/>
      <c r="S220" s="58"/>
      <c r="T220" s="59"/>
      <c r="U220" s="60"/>
      <c r="V220" s="61"/>
      <c r="W220" s="60"/>
      <c r="X220" s="61"/>
      <c r="Y220" s="60"/>
      <c r="Z220" s="61"/>
      <c r="AA220" s="60"/>
      <c r="AB220" s="61"/>
    </row>
    <row r="221" spans="18:28" x14ac:dyDescent="0.3">
      <c r="R221" s="57"/>
      <c r="S221" s="58"/>
      <c r="T221" s="59"/>
      <c r="U221" s="60"/>
      <c r="V221" s="61"/>
      <c r="W221" s="60"/>
      <c r="X221" s="61"/>
      <c r="Y221" s="60"/>
      <c r="Z221" s="61"/>
      <c r="AA221" s="60"/>
      <c r="AB221" s="61"/>
    </row>
    <row r="222" spans="18:28" x14ac:dyDescent="0.3">
      <c r="R222" s="57"/>
      <c r="S222" s="58"/>
      <c r="T222" s="59"/>
      <c r="U222" s="60"/>
      <c r="V222" s="61"/>
      <c r="W222" s="60"/>
      <c r="X222" s="61"/>
      <c r="Y222" s="60"/>
      <c r="Z222" s="61"/>
      <c r="AA222" s="60"/>
      <c r="AB222" s="61"/>
    </row>
    <row r="223" spans="18:28" x14ac:dyDescent="0.3">
      <c r="R223" s="57"/>
      <c r="S223" s="58"/>
      <c r="T223" s="59"/>
      <c r="U223" s="60"/>
      <c r="V223" s="61"/>
      <c r="W223" s="60"/>
      <c r="X223" s="61"/>
      <c r="Y223" s="60"/>
      <c r="Z223" s="61"/>
      <c r="AA223" s="60"/>
      <c r="AB223" s="61"/>
    </row>
    <row r="224" spans="18:28" x14ac:dyDescent="0.3">
      <c r="R224" s="57"/>
      <c r="S224" s="58"/>
      <c r="T224" s="59"/>
      <c r="U224" s="60"/>
      <c r="V224" s="61"/>
      <c r="W224" s="60"/>
      <c r="X224" s="61"/>
      <c r="Y224" s="60"/>
      <c r="Z224" s="61"/>
      <c r="AA224" s="60"/>
      <c r="AB224" s="61"/>
    </row>
    <row r="225" spans="18:28" x14ac:dyDescent="0.3">
      <c r="R225" s="57"/>
      <c r="S225" s="58"/>
      <c r="T225" s="59"/>
      <c r="U225" s="60"/>
      <c r="V225" s="61"/>
      <c r="W225" s="60"/>
      <c r="X225" s="61"/>
      <c r="Y225" s="60"/>
      <c r="Z225" s="61"/>
      <c r="AA225" s="60"/>
      <c r="AB225" s="61"/>
    </row>
    <row r="226" spans="18:28" x14ac:dyDescent="0.3">
      <c r="R226" s="57"/>
      <c r="S226" s="58"/>
      <c r="T226" s="59"/>
      <c r="U226" s="60"/>
      <c r="V226" s="61"/>
      <c r="W226" s="60"/>
      <c r="X226" s="61"/>
      <c r="Y226" s="60"/>
      <c r="Z226" s="61"/>
      <c r="AA226" s="60"/>
      <c r="AB226" s="61"/>
    </row>
    <row r="227" spans="18:28" x14ac:dyDescent="0.3">
      <c r="R227" s="57"/>
      <c r="S227" s="58"/>
      <c r="T227" s="59"/>
      <c r="U227" s="60"/>
      <c r="V227" s="61"/>
      <c r="W227" s="60"/>
      <c r="X227" s="61"/>
      <c r="Y227" s="60"/>
      <c r="Z227" s="61"/>
      <c r="AA227" s="60"/>
      <c r="AB227" s="61"/>
    </row>
    <row r="228" spans="18:28" x14ac:dyDescent="0.3">
      <c r="R228" s="57"/>
      <c r="S228" s="58"/>
      <c r="T228" s="59"/>
      <c r="U228" s="60"/>
      <c r="V228" s="61"/>
      <c r="W228" s="60"/>
      <c r="X228" s="61"/>
      <c r="Y228" s="60"/>
      <c r="Z228" s="61"/>
      <c r="AA228" s="60"/>
      <c r="AB228" s="61"/>
    </row>
    <row r="229" spans="18:28" x14ac:dyDescent="0.3">
      <c r="R229" s="57"/>
      <c r="S229" s="58"/>
      <c r="T229" s="59"/>
      <c r="U229" s="60"/>
      <c r="V229" s="61"/>
      <c r="W229" s="60"/>
      <c r="X229" s="61"/>
      <c r="Y229" s="60"/>
      <c r="Z229" s="61"/>
      <c r="AA229" s="60"/>
      <c r="AB229" s="61"/>
    </row>
    <row r="230" spans="18:28" x14ac:dyDescent="0.3">
      <c r="R230" s="57"/>
      <c r="S230" s="58"/>
      <c r="T230" s="59"/>
      <c r="U230" s="60"/>
      <c r="V230" s="61"/>
      <c r="W230" s="60"/>
      <c r="X230" s="61"/>
      <c r="Y230" s="60"/>
      <c r="Z230" s="61"/>
      <c r="AA230" s="60"/>
      <c r="AB230" s="61"/>
    </row>
    <row r="231" spans="18:28" x14ac:dyDescent="0.3">
      <c r="R231" s="57"/>
      <c r="S231" s="58"/>
      <c r="T231" s="59"/>
      <c r="U231" s="60"/>
      <c r="V231" s="61"/>
      <c r="W231" s="60"/>
      <c r="X231" s="61"/>
      <c r="Y231" s="60"/>
      <c r="Z231" s="61"/>
      <c r="AA231" s="60"/>
      <c r="AB231" s="61"/>
    </row>
    <row r="232" spans="18:28" x14ac:dyDescent="0.3">
      <c r="R232" s="57"/>
      <c r="S232" s="58"/>
      <c r="T232" s="59"/>
      <c r="U232" s="60"/>
      <c r="V232" s="61"/>
      <c r="W232" s="60"/>
      <c r="X232" s="61"/>
      <c r="Y232" s="60"/>
      <c r="Z232" s="61"/>
      <c r="AA232" s="60"/>
      <c r="AB232" s="61"/>
    </row>
    <row r="233" spans="18:28" x14ac:dyDescent="0.3">
      <c r="R233" s="57"/>
      <c r="S233" s="58"/>
      <c r="T233" s="59"/>
      <c r="U233" s="60"/>
      <c r="V233" s="61"/>
      <c r="W233" s="60"/>
      <c r="X233" s="61"/>
      <c r="Y233" s="60"/>
      <c r="Z233" s="61"/>
      <c r="AA233" s="60"/>
      <c r="AB233" s="61"/>
    </row>
    <row r="234" spans="18:28" x14ac:dyDescent="0.3">
      <c r="R234" s="57"/>
      <c r="S234" s="58"/>
      <c r="T234" s="59"/>
      <c r="U234" s="60"/>
      <c r="V234" s="61"/>
      <c r="W234" s="60"/>
      <c r="X234" s="61"/>
      <c r="Y234" s="60"/>
      <c r="Z234" s="61"/>
      <c r="AA234" s="60"/>
      <c r="AB234" s="61"/>
    </row>
    <row r="235" spans="18:28" x14ac:dyDescent="0.3">
      <c r="R235" s="57"/>
      <c r="S235" s="58"/>
      <c r="T235" s="59"/>
      <c r="U235" s="60"/>
      <c r="V235" s="61"/>
      <c r="W235" s="60"/>
      <c r="X235" s="61"/>
      <c r="Y235" s="60"/>
      <c r="Z235" s="61"/>
      <c r="AA235" s="60"/>
      <c r="AB235" s="61"/>
    </row>
    <row r="236" spans="18:28" x14ac:dyDescent="0.3">
      <c r="R236" s="57"/>
      <c r="S236" s="58"/>
      <c r="T236" s="59"/>
      <c r="U236" s="60"/>
      <c r="V236" s="61"/>
      <c r="W236" s="60"/>
      <c r="X236" s="61"/>
      <c r="Y236" s="60"/>
      <c r="Z236" s="61"/>
      <c r="AA236" s="60"/>
      <c r="AB236" s="61"/>
    </row>
    <row r="237" spans="18:28" x14ac:dyDescent="0.3">
      <c r="R237" s="57"/>
      <c r="S237" s="58"/>
      <c r="T237" s="59"/>
      <c r="U237" s="60"/>
      <c r="V237" s="61"/>
      <c r="W237" s="60"/>
      <c r="X237" s="61"/>
      <c r="Y237" s="60"/>
      <c r="Z237" s="61"/>
      <c r="AA237" s="60"/>
      <c r="AB237" s="61"/>
    </row>
    <row r="238" spans="18:28" x14ac:dyDescent="0.3">
      <c r="R238" s="57"/>
      <c r="S238" s="58"/>
      <c r="T238" s="59"/>
      <c r="U238" s="60"/>
      <c r="V238" s="61"/>
      <c r="W238" s="60"/>
      <c r="X238" s="61"/>
      <c r="Y238" s="60"/>
      <c r="Z238" s="61"/>
      <c r="AA238" s="60"/>
      <c r="AB238" s="61"/>
    </row>
    <row r="239" spans="18:28" x14ac:dyDescent="0.3">
      <c r="R239" s="57"/>
      <c r="S239" s="58"/>
      <c r="T239" s="59"/>
      <c r="U239" s="60"/>
      <c r="V239" s="61"/>
      <c r="W239" s="60"/>
      <c r="X239" s="61"/>
      <c r="Y239" s="60"/>
      <c r="Z239" s="61"/>
      <c r="AA239" s="60"/>
      <c r="AB239" s="61"/>
    </row>
    <row r="240" spans="18:28" x14ac:dyDescent="0.3">
      <c r="R240" s="57"/>
      <c r="S240" s="58"/>
      <c r="T240" s="59"/>
      <c r="U240" s="60"/>
      <c r="V240" s="61"/>
      <c r="W240" s="60"/>
      <c r="X240" s="61"/>
      <c r="Y240" s="60"/>
      <c r="Z240" s="61"/>
      <c r="AA240" s="60"/>
      <c r="AB240" s="61"/>
    </row>
    <row r="241" spans="18:28" x14ac:dyDescent="0.3">
      <c r="R241" s="57"/>
      <c r="S241" s="58"/>
      <c r="T241" s="59"/>
      <c r="U241" s="60"/>
      <c r="V241" s="61"/>
      <c r="W241" s="60"/>
      <c r="X241" s="61"/>
      <c r="Y241" s="60"/>
      <c r="Z241" s="61"/>
      <c r="AA241" s="60"/>
      <c r="AB241" s="61"/>
    </row>
    <row r="242" spans="18:28" x14ac:dyDescent="0.3">
      <c r="R242" s="57"/>
      <c r="S242" s="58"/>
      <c r="T242" s="59"/>
      <c r="U242" s="60"/>
      <c r="V242" s="61"/>
      <c r="W242" s="60"/>
      <c r="X242" s="61"/>
      <c r="Y242" s="60"/>
      <c r="Z242" s="61"/>
      <c r="AA242" s="60"/>
      <c r="AB242" s="61"/>
    </row>
    <row r="243" spans="18:28" x14ac:dyDescent="0.3">
      <c r="R243" s="57"/>
      <c r="S243" s="58"/>
      <c r="T243" s="59"/>
      <c r="U243" s="60"/>
      <c r="V243" s="61"/>
      <c r="W243" s="60"/>
      <c r="X243" s="61"/>
      <c r="Y243" s="60"/>
      <c r="Z243" s="61"/>
      <c r="AA243" s="60"/>
      <c r="AB243" s="61"/>
    </row>
    <row r="244" spans="18:28" x14ac:dyDescent="0.3">
      <c r="R244" s="57"/>
      <c r="S244" s="58"/>
      <c r="T244" s="59"/>
      <c r="U244" s="60"/>
      <c r="V244" s="61"/>
      <c r="W244" s="60"/>
      <c r="X244" s="61"/>
      <c r="Y244" s="60"/>
      <c r="Z244" s="61"/>
      <c r="AA244" s="60"/>
      <c r="AB244" s="61"/>
    </row>
    <row r="245" spans="18:28" x14ac:dyDescent="0.3">
      <c r="R245" s="57"/>
      <c r="S245" s="58"/>
      <c r="T245" s="59"/>
      <c r="U245" s="60"/>
      <c r="V245" s="61"/>
      <c r="W245" s="60"/>
      <c r="X245" s="61"/>
      <c r="Y245" s="60"/>
      <c r="Z245" s="61"/>
      <c r="AA245" s="60"/>
      <c r="AB245" s="61"/>
    </row>
    <row r="246" spans="18:28" x14ac:dyDescent="0.3">
      <c r="R246" s="57"/>
      <c r="S246" s="58"/>
      <c r="T246" s="59"/>
      <c r="U246" s="60"/>
      <c r="V246" s="61"/>
      <c r="W246" s="60"/>
      <c r="X246" s="61"/>
      <c r="Y246" s="60"/>
      <c r="Z246" s="61"/>
      <c r="AA246" s="60"/>
      <c r="AB246" s="61"/>
    </row>
    <row r="247" spans="18:28" x14ac:dyDescent="0.3">
      <c r="R247" s="57"/>
      <c r="S247" s="58"/>
      <c r="T247" s="59"/>
      <c r="U247" s="60"/>
      <c r="V247" s="61"/>
      <c r="W247" s="60"/>
      <c r="X247" s="61"/>
      <c r="Y247" s="60"/>
      <c r="Z247" s="61"/>
      <c r="AA247" s="60"/>
      <c r="AB247" s="61"/>
    </row>
    <row r="248" spans="18:28" x14ac:dyDescent="0.3">
      <c r="R248" s="57"/>
      <c r="S248" s="58"/>
      <c r="T248" s="59"/>
      <c r="U248" s="60"/>
      <c r="V248" s="61"/>
      <c r="W248" s="60"/>
      <c r="X248" s="61"/>
      <c r="Y248" s="60"/>
      <c r="Z248" s="61"/>
      <c r="AA248" s="60"/>
      <c r="AB248" s="61"/>
    </row>
    <row r="249" spans="18:28" x14ac:dyDescent="0.3">
      <c r="R249" s="57"/>
      <c r="S249" s="58"/>
      <c r="T249" s="59"/>
      <c r="U249" s="60"/>
      <c r="V249" s="61"/>
      <c r="W249" s="60"/>
      <c r="X249" s="61"/>
      <c r="Y249" s="60"/>
      <c r="Z249" s="61"/>
      <c r="AA249" s="60"/>
      <c r="AB249" s="61"/>
    </row>
    <row r="250" spans="18:28" x14ac:dyDescent="0.3">
      <c r="R250" s="57"/>
      <c r="S250" s="58"/>
      <c r="T250" s="59"/>
      <c r="U250" s="60"/>
      <c r="V250" s="61"/>
      <c r="W250" s="60"/>
      <c r="X250" s="61"/>
      <c r="Y250" s="60"/>
      <c r="Z250" s="61"/>
      <c r="AA250" s="60"/>
      <c r="AB250" s="61"/>
    </row>
    <row r="251" spans="18:28" x14ac:dyDescent="0.3">
      <c r="R251" s="57"/>
      <c r="S251" s="58"/>
      <c r="T251" s="59"/>
      <c r="U251" s="60"/>
      <c r="V251" s="61"/>
      <c r="W251" s="60"/>
      <c r="X251" s="61"/>
      <c r="Y251" s="60"/>
      <c r="Z251" s="61"/>
      <c r="AA251" s="60"/>
      <c r="AB251" s="61"/>
    </row>
    <row r="252" spans="18:28" x14ac:dyDescent="0.3">
      <c r="R252" s="57"/>
      <c r="S252" s="58"/>
      <c r="T252" s="59"/>
      <c r="U252" s="60"/>
      <c r="V252" s="61"/>
      <c r="W252" s="60"/>
      <c r="X252" s="61"/>
      <c r="Y252" s="60"/>
      <c r="Z252" s="61"/>
      <c r="AA252" s="60"/>
      <c r="AB252" s="61"/>
    </row>
    <row r="253" spans="18:28" x14ac:dyDescent="0.3">
      <c r="R253" s="57"/>
      <c r="S253" s="58"/>
      <c r="T253" s="59"/>
      <c r="U253" s="60"/>
      <c r="V253" s="61"/>
      <c r="W253" s="60"/>
      <c r="X253" s="61"/>
      <c r="Y253" s="60"/>
      <c r="Z253" s="61"/>
      <c r="AA253" s="60"/>
      <c r="AB253" s="61"/>
    </row>
    <row r="254" spans="18:28" x14ac:dyDescent="0.3">
      <c r="R254" s="57"/>
      <c r="S254" s="58"/>
      <c r="T254" s="59"/>
      <c r="U254" s="60"/>
      <c r="V254" s="61"/>
      <c r="W254" s="60"/>
      <c r="X254" s="61"/>
      <c r="Y254" s="60"/>
      <c r="Z254" s="61"/>
      <c r="AA254" s="60"/>
      <c r="AB254" s="61"/>
    </row>
    <row r="255" spans="18:28" x14ac:dyDescent="0.3">
      <c r="R255" s="57"/>
      <c r="S255" s="58"/>
      <c r="T255" s="59"/>
      <c r="U255" s="60"/>
      <c r="V255" s="61"/>
      <c r="W255" s="60"/>
      <c r="X255" s="61"/>
      <c r="Y255" s="60"/>
      <c r="Z255" s="61"/>
      <c r="AA255" s="60"/>
      <c r="AB255" s="61"/>
    </row>
    <row r="256" spans="18:28" x14ac:dyDescent="0.3">
      <c r="R256" s="57"/>
      <c r="S256" s="58"/>
      <c r="T256" s="59"/>
      <c r="U256" s="60"/>
      <c r="V256" s="61"/>
      <c r="W256" s="60"/>
      <c r="X256" s="61"/>
      <c r="Y256" s="60"/>
      <c r="Z256" s="61"/>
      <c r="AA256" s="60"/>
      <c r="AB256" s="61"/>
    </row>
    <row r="257" spans="18:28" x14ac:dyDescent="0.3">
      <c r="R257" s="57"/>
      <c r="S257" s="58"/>
      <c r="T257" s="59"/>
      <c r="U257" s="60"/>
      <c r="V257" s="61"/>
      <c r="W257" s="60"/>
      <c r="X257" s="61"/>
      <c r="Y257" s="60"/>
      <c r="Z257" s="61"/>
      <c r="AA257" s="60"/>
      <c r="AB257" s="61"/>
    </row>
    <row r="258" spans="18:28" x14ac:dyDescent="0.3">
      <c r="R258" s="57"/>
      <c r="S258" s="58"/>
      <c r="T258" s="59"/>
      <c r="U258" s="60"/>
      <c r="V258" s="61"/>
      <c r="W258" s="60"/>
      <c r="X258" s="61"/>
      <c r="Y258" s="60"/>
      <c r="Z258" s="61"/>
      <c r="AA258" s="60"/>
      <c r="AB258" s="61"/>
    </row>
    <row r="259" spans="18:28" x14ac:dyDescent="0.3">
      <c r="R259" s="57"/>
      <c r="S259" s="58"/>
      <c r="T259" s="59"/>
      <c r="U259" s="60"/>
      <c r="V259" s="61"/>
      <c r="W259" s="60"/>
      <c r="X259" s="61"/>
      <c r="Y259" s="60"/>
      <c r="Z259" s="61"/>
      <c r="AA259" s="60"/>
      <c r="AB259" s="61"/>
    </row>
    <row r="260" spans="18:28" x14ac:dyDescent="0.3">
      <c r="R260" s="57"/>
      <c r="S260" s="58"/>
      <c r="T260" s="59"/>
      <c r="U260" s="60"/>
      <c r="V260" s="61"/>
      <c r="W260" s="60"/>
      <c r="X260" s="61"/>
      <c r="Y260" s="60"/>
      <c r="Z260" s="61"/>
      <c r="AA260" s="60"/>
      <c r="AB260" s="61"/>
    </row>
    <row r="261" spans="18:28" x14ac:dyDescent="0.3">
      <c r="R261" s="57"/>
      <c r="S261" s="58"/>
      <c r="T261" s="59"/>
      <c r="U261" s="60"/>
      <c r="V261" s="61"/>
      <c r="W261" s="60"/>
      <c r="X261" s="61"/>
      <c r="Y261" s="60"/>
      <c r="Z261" s="61"/>
      <c r="AA261" s="60"/>
      <c r="AB261" s="61"/>
    </row>
    <row r="262" spans="18:28" x14ac:dyDescent="0.3">
      <c r="R262" s="57"/>
      <c r="S262" s="58"/>
      <c r="T262" s="59"/>
      <c r="U262" s="60"/>
      <c r="V262" s="61"/>
      <c r="W262" s="60"/>
      <c r="X262" s="61"/>
      <c r="Y262" s="60"/>
      <c r="Z262" s="61"/>
      <c r="AA262" s="60"/>
      <c r="AB262" s="61"/>
    </row>
    <row r="263" spans="18:28" x14ac:dyDescent="0.3">
      <c r="R263" s="57"/>
      <c r="S263" s="58"/>
      <c r="T263" s="59"/>
      <c r="U263" s="60"/>
      <c r="V263" s="61"/>
      <c r="W263" s="60"/>
      <c r="X263" s="61"/>
      <c r="Y263" s="60"/>
      <c r="Z263" s="61"/>
      <c r="AA263" s="60"/>
      <c r="AB263" s="61"/>
    </row>
    <row r="264" spans="18:28" x14ac:dyDescent="0.3">
      <c r="R264" s="57"/>
      <c r="S264" s="58"/>
      <c r="T264" s="59"/>
      <c r="U264" s="60"/>
      <c r="V264" s="61"/>
      <c r="W264" s="60"/>
      <c r="X264" s="61"/>
      <c r="Y264" s="60"/>
      <c r="Z264" s="61"/>
      <c r="AA264" s="60"/>
      <c r="AB264" s="61"/>
    </row>
    <row r="265" spans="18:28" x14ac:dyDescent="0.3">
      <c r="R265" s="57"/>
      <c r="S265" s="58"/>
      <c r="T265" s="59"/>
      <c r="U265" s="60"/>
      <c r="V265" s="61"/>
      <c r="W265" s="60"/>
      <c r="X265" s="61"/>
      <c r="Y265" s="60"/>
      <c r="Z265" s="61"/>
      <c r="AA265" s="60"/>
      <c r="AB265" s="61"/>
    </row>
    <row r="266" spans="18:28" x14ac:dyDescent="0.3">
      <c r="R266" s="57"/>
      <c r="S266" s="58"/>
      <c r="T266" s="59"/>
      <c r="U266" s="60"/>
      <c r="V266" s="61"/>
      <c r="W266" s="60"/>
      <c r="X266" s="61"/>
      <c r="Y266" s="60"/>
      <c r="Z266" s="61"/>
      <c r="AA266" s="60"/>
      <c r="AB266" s="61"/>
    </row>
    <row r="267" spans="18:28" x14ac:dyDescent="0.3">
      <c r="R267" s="57"/>
      <c r="S267" s="58"/>
      <c r="T267" s="59"/>
      <c r="U267" s="60"/>
      <c r="V267" s="61"/>
      <c r="W267" s="60"/>
      <c r="X267" s="61"/>
      <c r="Y267" s="60"/>
      <c r="Z267" s="61"/>
      <c r="AA267" s="60"/>
      <c r="AB267" s="61"/>
    </row>
    <row r="268" spans="18:28" x14ac:dyDescent="0.3">
      <c r="R268" s="57"/>
      <c r="S268" s="58"/>
      <c r="T268" s="59"/>
      <c r="U268" s="60"/>
      <c r="V268" s="61"/>
      <c r="W268" s="60"/>
      <c r="X268" s="61"/>
      <c r="Y268" s="60"/>
      <c r="Z268" s="61"/>
      <c r="AA268" s="60"/>
      <c r="AB268" s="61"/>
    </row>
    <row r="269" spans="18:28" x14ac:dyDescent="0.3">
      <c r="R269" s="57"/>
      <c r="S269" s="58"/>
      <c r="T269" s="59"/>
      <c r="U269" s="60"/>
      <c r="V269" s="61"/>
      <c r="W269" s="60"/>
      <c r="X269" s="61"/>
      <c r="Y269" s="60"/>
      <c r="Z269" s="61"/>
      <c r="AA269" s="60"/>
      <c r="AB269" s="61"/>
    </row>
    <row r="270" spans="18:28" x14ac:dyDescent="0.3">
      <c r="R270" s="57"/>
      <c r="S270" s="58"/>
      <c r="T270" s="59"/>
      <c r="U270" s="60"/>
      <c r="V270" s="61"/>
      <c r="W270" s="60"/>
      <c r="X270" s="61"/>
      <c r="Y270" s="60"/>
      <c r="Z270" s="61"/>
      <c r="AA270" s="60"/>
      <c r="AB270" s="61"/>
    </row>
    <row r="271" spans="18:28" x14ac:dyDescent="0.3">
      <c r="R271" s="57"/>
      <c r="S271" s="58"/>
      <c r="T271" s="59"/>
      <c r="U271" s="60"/>
      <c r="V271" s="61"/>
      <c r="W271" s="60"/>
      <c r="X271" s="61"/>
      <c r="Y271" s="60"/>
      <c r="Z271" s="61"/>
      <c r="AA271" s="60"/>
      <c r="AB271" s="61"/>
    </row>
    <row r="272" spans="18:28" x14ac:dyDescent="0.3">
      <c r="R272" s="57"/>
      <c r="S272" s="58"/>
      <c r="T272" s="59"/>
      <c r="U272" s="60"/>
      <c r="V272" s="61"/>
      <c r="W272" s="60"/>
      <c r="X272" s="61"/>
      <c r="Y272" s="60"/>
      <c r="Z272" s="61"/>
      <c r="AA272" s="60"/>
      <c r="AB272" s="61"/>
    </row>
    <row r="273" spans="18:28" x14ac:dyDescent="0.3">
      <c r="R273" s="57"/>
      <c r="S273" s="58"/>
      <c r="T273" s="59"/>
      <c r="U273" s="60"/>
      <c r="V273" s="61"/>
      <c r="W273" s="60"/>
      <c r="X273" s="61"/>
      <c r="Y273" s="60"/>
      <c r="Z273" s="61"/>
      <c r="AA273" s="60"/>
      <c r="AB273" s="61"/>
    </row>
    <row r="274" spans="18:28" x14ac:dyDescent="0.3">
      <c r="R274" s="57"/>
      <c r="S274" s="58"/>
      <c r="T274" s="59"/>
      <c r="U274" s="60"/>
      <c r="V274" s="61"/>
      <c r="W274" s="60"/>
      <c r="X274" s="61"/>
      <c r="Y274" s="60"/>
      <c r="Z274" s="61"/>
      <c r="AA274" s="60"/>
      <c r="AB274" s="61"/>
    </row>
    <row r="275" spans="18:28" x14ac:dyDescent="0.3">
      <c r="R275" s="57"/>
      <c r="S275" s="58"/>
      <c r="T275" s="59"/>
      <c r="U275" s="60"/>
      <c r="V275" s="61"/>
      <c r="W275" s="60"/>
      <c r="X275" s="61"/>
      <c r="Y275" s="60"/>
      <c r="Z275" s="61"/>
      <c r="AA275" s="60"/>
      <c r="AB275" s="61"/>
    </row>
    <row r="276" spans="18:28" x14ac:dyDescent="0.3">
      <c r="R276" s="57"/>
      <c r="S276" s="58"/>
      <c r="T276" s="59"/>
      <c r="U276" s="60"/>
      <c r="V276" s="61"/>
      <c r="W276" s="60"/>
      <c r="X276" s="61"/>
      <c r="Y276" s="60"/>
      <c r="Z276" s="61"/>
      <c r="AA276" s="60"/>
      <c r="AB276" s="61"/>
    </row>
    <row r="277" spans="18:28" x14ac:dyDescent="0.3">
      <c r="R277" s="57"/>
      <c r="S277" s="58"/>
      <c r="T277" s="59"/>
      <c r="U277" s="60"/>
      <c r="V277" s="61"/>
      <c r="W277" s="60"/>
      <c r="X277" s="61"/>
      <c r="Y277" s="60"/>
      <c r="Z277" s="61"/>
      <c r="AA277" s="60"/>
      <c r="AB277" s="61"/>
    </row>
    <row r="278" spans="18:28" x14ac:dyDescent="0.3">
      <c r="R278" s="57"/>
      <c r="S278" s="58"/>
      <c r="T278" s="59"/>
      <c r="U278" s="60"/>
      <c r="V278" s="61"/>
      <c r="W278" s="60"/>
      <c r="X278" s="61"/>
      <c r="Y278" s="60"/>
      <c r="Z278" s="61"/>
      <c r="AA278" s="60"/>
      <c r="AB278" s="61"/>
    </row>
    <row r="279" spans="18:28" x14ac:dyDescent="0.3">
      <c r="R279" s="57"/>
      <c r="S279" s="58"/>
      <c r="T279" s="59"/>
      <c r="U279" s="60"/>
      <c r="V279" s="61"/>
      <c r="W279" s="60"/>
      <c r="X279" s="61"/>
      <c r="Y279" s="60"/>
      <c r="Z279" s="61"/>
      <c r="AA279" s="60"/>
      <c r="AB279" s="61"/>
    </row>
    <row r="280" spans="18:28" x14ac:dyDescent="0.3">
      <c r="R280" s="57"/>
      <c r="S280" s="58"/>
      <c r="T280" s="59"/>
      <c r="U280" s="60"/>
      <c r="V280" s="61"/>
      <c r="W280" s="60"/>
      <c r="X280" s="61"/>
      <c r="Y280" s="60"/>
      <c r="Z280" s="61"/>
      <c r="AA280" s="60"/>
      <c r="AB280" s="61"/>
    </row>
    <row r="281" spans="18:28" x14ac:dyDescent="0.3">
      <c r="R281" s="57"/>
      <c r="S281" s="58"/>
      <c r="T281" s="59"/>
      <c r="U281" s="60"/>
      <c r="V281" s="61"/>
      <c r="W281" s="60"/>
      <c r="X281" s="61"/>
      <c r="Y281" s="60"/>
      <c r="Z281" s="61"/>
      <c r="AA281" s="60"/>
      <c r="AB281" s="61"/>
    </row>
    <row r="282" spans="18:28" x14ac:dyDescent="0.3">
      <c r="R282" s="57"/>
      <c r="S282" s="58"/>
      <c r="T282" s="59"/>
      <c r="U282" s="60"/>
      <c r="V282" s="61"/>
      <c r="W282" s="60"/>
      <c r="X282" s="61"/>
      <c r="Y282" s="60"/>
      <c r="Z282" s="61"/>
      <c r="AA282" s="60"/>
      <c r="AB282" s="61"/>
    </row>
    <row r="283" spans="18:28" x14ac:dyDescent="0.3">
      <c r="R283" s="57"/>
      <c r="S283" s="58"/>
      <c r="T283" s="59"/>
      <c r="U283" s="60"/>
      <c r="V283" s="61"/>
      <c r="W283" s="60"/>
      <c r="X283" s="61"/>
      <c r="Y283" s="60"/>
      <c r="Z283" s="61"/>
      <c r="AA283" s="60"/>
      <c r="AB283" s="61"/>
    </row>
    <row r="284" spans="18:28" x14ac:dyDescent="0.3">
      <c r="R284" s="57"/>
      <c r="S284" s="58"/>
      <c r="T284" s="59"/>
      <c r="U284" s="60"/>
      <c r="V284" s="61"/>
      <c r="W284" s="60"/>
      <c r="X284" s="61"/>
      <c r="Y284" s="60"/>
      <c r="Z284" s="61"/>
      <c r="AA284" s="60"/>
      <c r="AB284" s="61"/>
    </row>
    <row r="285" spans="18:28" x14ac:dyDescent="0.3">
      <c r="R285" s="57"/>
      <c r="S285" s="58"/>
      <c r="T285" s="59"/>
      <c r="U285" s="60"/>
      <c r="V285" s="61"/>
      <c r="W285" s="60"/>
      <c r="X285" s="61"/>
      <c r="Y285" s="60"/>
      <c r="Z285" s="61"/>
      <c r="AA285" s="60"/>
      <c r="AB285" s="61"/>
    </row>
    <row r="286" spans="18:28" x14ac:dyDescent="0.3">
      <c r="R286" s="57"/>
      <c r="S286" s="58"/>
      <c r="T286" s="59"/>
      <c r="U286" s="60"/>
      <c r="V286" s="61"/>
      <c r="W286" s="60"/>
      <c r="X286" s="61"/>
      <c r="Y286" s="60"/>
      <c r="Z286" s="61"/>
      <c r="AA286" s="60"/>
      <c r="AB286" s="61"/>
    </row>
    <row r="287" spans="18:28" x14ac:dyDescent="0.3">
      <c r="R287" s="57"/>
      <c r="S287" s="58"/>
      <c r="T287" s="59"/>
      <c r="U287" s="60"/>
      <c r="V287" s="61"/>
      <c r="W287" s="60"/>
      <c r="X287" s="61"/>
      <c r="Y287" s="60"/>
      <c r="Z287" s="61"/>
      <c r="AA287" s="60"/>
      <c r="AB287" s="61"/>
    </row>
    <row r="288" spans="18:28" x14ac:dyDescent="0.3">
      <c r="R288" s="57"/>
      <c r="S288" s="58"/>
      <c r="T288" s="59"/>
      <c r="U288" s="60"/>
      <c r="V288" s="61"/>
      <c r="W288" s="60"/>
      <c r="X288" s="61"/>
      <c r="Y288" s="60"/>
      <c r="Z288" s="61"/>
      <c r="AA288" s="60"/>
      <c r="AB288" s="61"/>
    </row>
    <row r="289" spans="18:28" x14ac:dyDescent="0.3">
      <c r="R289" s="57"/>
      <c r="S289" s="58"/>
      <c r="T289" s="59"/>
      <c r="U289" s="60"/>
      <c r="V289" s="61"/>
      <c r="W289" s="60"/>
      <c r="X289" s="61"/>
      <c r="Y289" s="60"/>
      <c r="Z289" s="61"/>
      <c r="AA289" s="60"/>
      <c r="AB289" s="61"/>
    </row>
    <row r="290" spans="18:28" x14ac:dyDescent="0.3">
      <c r="R290" s="57"/>
      <c r="S290" s="58"/>
      <c r="T290" s="59"/>
      <c r="U290" s="60"/>
      <c r="V290" s="61"/>
      <c r="W290" s="60"/>
      <c r="X290" s="61"/>
      <c r="Y290" s="60"/>
      <c r="Z290" s="61"/>
      <c r="AA290" s="60"/>
      <c r="AB290" s="61"/>
    </row>
    <row r="291" spans="18:28" x14ac:dyDescent="0.3">
      <c r="R291" s="57"/>
      <c r="S291" s="58"/>
      <c r="T291" s="59"/>
      <c r="U291" s="60"/>
      <c r="V291" s="61"/>
      <c r="W291" s="60"/>
      <c r="X291" s="61"/>
      <c r="Y291" s="60"/>
      <c r="Z291" s="61"/>
      <c r="AA291" s="60"/>
      <c r="AB291" s="61"/>
    </row>
    <row r="292" spans="18:28" x14ac:dyDescent="0.3">
      <c r="R292" s="57"/>
      <c r="S292" s="58"/>
      <c r="T292" s="59"/>
      <c r="U292" s="60"/>
      <c r="V292" s="61"/>
      <c r="W292" s="60"/>
      <c r="X292" s="61"/>
      <c r="Y292" s="60"/>
      <c r="Z292" s="61"/>
      <c r="AA292" s="60"/>
      <c r="AB292" s="61"/>
    </row>
    <row r="293" spans="18:28" x14ac:dyDescent="0.3">
      <c r="R293" s="57"/>
      <c r="S293" s="58"/>
      <c r="T293" s="59"/>
      <c r="U293" s="60"/>
      <c r="V293" s="61"/>
      <c r="W293" s="60"/>
      <c r="X293" s="61"/>
      <c r="Y293" s="60"/>
      <c r="Z293" s="61"/>
      <c r="AA293" s="60"/>
      <c r="AB293" s="61"/>
    </row>
    <row r="294" spans="18:28" x14ac:dyDescent="0.3">
      <c r="R294" s="57"/>
      <c r="S294" s="58"/>
      <c r="T294" s="59"/>
      <c r="U294" s="60"/>
      <c r="V294" s="61"/>
      <c r="W294" s="60"/>
      <c r="X294" s="61"/>
      <c r="Y294" s="60"/>
      <c r="Z294" s="61"/>
      <c r="AA294" s="60"/>
      <c r="AB294" s="61"/>
    </row>
    <row r="295" spans="18:28" x14ac:dyDescent="0.3">
      <c r="R295" s="57"/>
      <c r="S295" s="58"/>
      <c r="T295" s="59"/>
      <c r="U295" s="60"/>
      <c r="V295" s="61"/>
      <c r="W295" s="60"/>
      <c r="X295" s="61"/>
      <c r="Y295" s="60"/>
      <c r="Z295" s="61"/>
      <c r="AA295" s="60"/>
      <c r="AB295" s="61"/>
    </row>
    <row r="296" spans="18:28" x14ac:dyDescent="0.3">
      <c r="R296" s="57"/>
      <c r="S296" s="58"/>
      <c r="T296" s="59"/>
      <c r="U296" s="60"/>
      <c r="V296" s="61"/>
      <c r="W296" s="60"/>
      <c r="X296" s="61"/>
      <c r="Y296" s="60"/>
      <c r="Z296" s="61"/>
      <c r="AA296" s="60"/>
      <c r="AB296" s="61"/>
    </row>
    <row r="297" spans="18:28" x14ac:dyDescent="0.3">
      <c r="R297" s="57"/>
      <c r="S297" s="58"/>
      <c r="T297" s="59"/>
      <c r="U297" s="60"/>
      <c r="V297" s="61"/>
      <c r="W297" s="60"/>
      <c r="X297" s="61"/>
      <c r="Y297" s="60"/>
      <c r="Z297" s="61"/>
      <c r="AA297" s="60"/>
      <c r="AB297" s="61"/>
    </row>
    <row r="298" spans="18:28" x14ac:dyDescent="0.3">
      <c r="R298" s="57"/>
      <c r="S298" s="58"/>
      <c r="T298" s="59"/>
      <c r="U298" s="60"/>
      <c r="V298" s="61"/>
      <c r="W298" s="60"/>
      <c r="X298" s="61"/>
      <c r="Y298" s="60"/>
      <c r="Z298" s="61"/>
      <c r="AA298" s="60"/>
      <c r="AB298" s="61"/>
    </row>
    <row r="299" spans="18:28" x14ac:dyDescent="0.3">
      <c r="R299" s="57"/>
      <c r="S299" s="58"/>
      <c r="T299" s="59"/>
      <c r="U299" s="60"/>
      <c r="V299" s="61"/>
      <c r="W299" s="60"/>
      <c r="X299" s="61"/>
      <c r="Y299" s="60"/>
      <c r="Z299" s="61"/>
      <c r="AA299" s="60"/>
      <c r="AB299" s="61"/>
    </row>
    <row r="300" spans="18:28" x14ac:dyDescent="0.3">
      <c r="R300" s="57"/>
      <c r="S300" s="58"/>
      <c r="T300" s="59"/>
      <c r="U300" s="60"/>
      <c r="V300" s="61"/>
      <c r="W300" s="60"/>
      <c r="X300" s="61"/>
      <c r="Y300" s="60"/>
      <c r="Z300" s="61"/>
      <c r="AA300" s="60"/>
      <c r="AB300" s="61"/>
    </row>
    <row r="301" spans="18:28" x14ac:dyDescent="0.3">
      <c r="R301" s="57"/>
      <c r="S301" s="58"/>
      <c r="T301" s="59"/>
      <c r="U301" s="60"/>
      <c r="V301" s="61"/>
      <c r="W301" s="60"/>
      <c r="X301" s="61"/>
      <c r="Y301" s="60"/>
      <c r="Z301" s="61"/>
      <c r="AA301" s="60"/>
      <c r="AB301" s="61"/>
    </row>
    <row r="302" spans="18:28" x14ac:dyDescent="0.3">
      <c r="R302" s="57"/>
      <c r="S302" s="58"/>
      <c r="T302" s="59"/>
      <c r="U302" s="60"/>
      <c r="V302" s="61"/>
      <c r="W302" s="60"/>
      <c r="X302" s="61"/>
      <c r="Y302" s="60"/>
      <c r="Z302" s="61"/>
      <c r="AA302" s="60"/>
      <c r="AB302" s="61"/>
    </row>
    <row r="303" spans="18:28" x14ac:dyDescent="0.3">
      <c r="R303" s="57"/>
      <c r="S303" s="58"/>
      <c r="T303" s="59"/>
      <c r="U303" s="60"/>
      <c r="V303" s="61"/>
      <c r="W303" s="60"/>
      <c r="X303" s="61"/>
      <c r="Y303" s="60"/>
      <c r="Z303" s="61"/>
      <c r="AA303" s="60"/>
      <c r="AB303" s="61"/>
    </row>
    <row r="304" spans="18:28" x14ac:dyDescent="0.3">
      <c r="R304" s="57"/>
      <c r="S304" s="58"/>
      <c r="T304" s="59"/>
      <c r="U304" s="60"/>
      <c r="V304" s="61"/>
      <c r="W304" s="60"/>
      <c r="X304" s="61"/>
      <c r="Y304" s="60"/>
      <c r="Z304" s="61"/>
      <c r="AA304" s="60"/>
      <c r="AB304" s="61"/>
    </row>
    <row r="305" spans="18:28" x14ac:dyDescent="0.3">
      <c r="R305" s="57"/>
      <c r="S305" s="58"/>
      <c r="T305" s="59"/>
      <c r="U305" s="60"/>
      <c r="V305" s="61"/>
      <c r="W305" s="60"/>
      <c r="X305" s="61"/>
      <c r="Y305" s="60"/>
      <c r="Z305" s="61"/>
      <c r="AA305" s="60"/>
      <c r="AB305" s="61"/>
    </row>
    <row r="306" spans="18:28" x14ac:dyDescent="0.3">
      <c r="R306" s="57"/>
      <c r="S306" s="58"/>
      <c r="T306" s="59"/>
      <c r="U306" s="60"/>
      <c r="V306" s="61"/>
      <c r="W306" s="60"/>
      <c r="X306" s="61"/>
      <c r="Y306" s="60"/>
      <c r="Z306" s="61"/>
      <c r="AA306" s="60"/>
      <c r="AB306" s="61"/>
    </row>
    <row r="307" spans="18:28" x14ac:dyDescent="0.3">
      <c r="R307" s="57"/>
      <c r="S307" s="58"/>
      <c r="T307" s="59"/>
      <c r="U307" s="60"/>
      <c r="V307" s="61"/>
      <c r="W307" s="60"/>
      <c r="X307" s="61"/>
      <c r="Y307" s="60"/>
      <c r="Z307" s="61"/>
      <c r="AA307" s="60"/>
      <c r="AB307" s="61"/>
    </row>
    <row r="308" spans="18:28" x14ac:dyDescent="0.3">
      <c r="R308" s="57"/>
      <c r="S308" s="58"/>
      <c r="T308" s="59"/>
      <c r="U308" s="60"/>
      <c r="V308" s="61"/>
      <c r="W308" s="60"/>
      <c r="X308" s="61"/>
      <c r="Y308" s="60"/>
      <c r="Z308" s="61"/>
      <c r="AA308" s="60"/>
      <c r="AB308" s="61"/>
    </row>
    <row r="309" spans="18:28" x14ac:dyDescent="0.3">
      <c r="R309" s="57"/>
      <c r="S309" s="58"/>
      <c r="T309" s="59"/>
      <c r="U309" s="60"/>
      <c r="V309" s="61"/>
      <c r="W309" s="60"/>
      <c r="X309" s="61"/>
      <c r="Y309" s="60"/>
      <c r="Z309" s="61"/>
      <c r="AA309" s="60"/>
      <c r="AB309" s="61"/>
    </row>
    <row r="310" spans="18:28" x14ac:dyDescent="0.3">
      <c r="R310" s="57"/>
      <c r="S310" s="58"/>
      <c r="T310" s="59"/>
      <c r="U310" s="60"/>
      <c r="V310" s="61"/>
      <c r="W310" s="60"/>
      <c r="X310" s="61"/>
      <c r="Y310" s="60"/>
      <c r="Z310" s="61"/>
      <c r="AA310" s="60"/>
      <c r="AB310" s="61"/>
    </row>
    <row r="311" spans="18:28" x14ac:dyDescent="0.3">
      <c r="R311" s="57"/>
      <c r="S311" s="58"/>
      <c r="T311" s="59"/>
      <c r="U311" s="60"/>
      <c r="V311" s="61"/>
      <c r="W311" s="60"/>
      <c r="X311" s="61"/>
      <c r="Y311" s="60"/>
      <c r="Z311" s="61"/>
      <c r="AA311" s="60"/>
      <c r="AB311" s="61"/>
    </row>
    <row r="312" spans="18:28" x14ac:dyDescent="0.3">
      <c r="R312" s="57"/>
      <c r="S312" s="58"/>
      <c r="T312" s="59"/>
      <c r="U312" s="60"/>
      <c r="V312" s="61"/>
      <c r="W312" s="60"/>
      <c r="X312" s="61"/>
      <c r="Y312" s="60"/>
      <c r="Z312" s="61"/>
      <c r="AA312" s="60"/>
      <c r="AB312" s="61"/>
    </row>
    <row r="313" spans="18:28" x14ac:dyDescent="0.3">
      <c r="R313" s="57"/>
      <c r="S313" s="58"/>
      <c r="T313" s="59"/>
      <c r="U313" s="60"/>
      <c r="V313" s="61"/>
      <c r="W313" s="60"/>
      <c r="X313" s="61"/>
      <c r="Y313" s="60"/>
      <c r="Z313" s="61"/>
      <c r="AA313" s="60"/>
      <c r="AB313" s="61"/>
    </row>
    <row r="314" spans="18:28" x14ac:dyDescent="0.3">
      <c r="R314" s="57"/>
      <c r="S314" s="58"/>
      <c r="T314" s="59"/>
      <c r="U314" s="60"/>
      <c r="V314" s="61"/>
      <c r="W314" s="60"/>
      <c r="X314" s="61"/>
      <c r="Y314" s="60"/>
      <c r="Z314" s="61"/>
      <c r="AA314" s="60"/>
      <c r="AB314" s="61"/>
    </row>
    <row r="315" spans="18:28" x14ac:dyDescent="0.3">
      <c r="R315" s="57"/>
      <c r="S315" s="58"/>
      <c r="T315" s="59"/>
      <c r="U315" s="60"/>
      <c r="V315" s="61"/>
      <c r="W315" s="60"/>
      <c r="X315" s="61"/>
      <c r="Y315" s="60"/>
      <c r="Z315" s="61"/>
      <c r="AA315" s="60"/>
      <c r="AB315" s="61"/>
    </row>
    <row r="316" spans="18:28" x14ac:dyDescent="0.3">
      <c r="R316" s="57"/>
      <c r="S316" s="58"/>
      <c r="T316" s="59"/>
      <c r="U316" s="60"/>
      <c r="V316" s="61"/>
      <c r="W316" s="60"/>
      <c r="X316" s="61"/>
      <c r="Y316" s="60"/>
      <c r="Z316" s="61"/>
      <c r="AA316" s="60"/>
      <c r="AB316" s="61"/>
    </row>
    <row r="317" spans="18:28" x14ac:dyDescent="0.3">
      <c r="R317" s="57"/>
      <c r="S317" s="58"/>
      <c r="T317" s="59"/>
      <c r="U317" s="60"/>
      <c r="V317" s="61"/>
      <c r="W317" s="60"/>
      <c r="X317" s="61"/>
      <c r="Y317" s="60"/>
      <c r="Z317" s="61"/>
      <c r="AA317" s="60"/>
      <c r="AB317" s="61"/>
    </row>
    <row r="318" spans="18:28" x14ac:dyDescent="0.3">
      <c r="R318" s="57"/>
      <c r="S318" s="58"/>
      <c r="T318" s="59"/>
      <c r="U318" s="60"/>
      <c r="V318" s="61"/>
      <c r="W318" s="60"/>
      <c r="X318" s="61"/>
      <c r="Y318" s="60"/>
      <c r="Z318" s="61"/>
      <c r="AA318" s="60"/>
      <c r="AB318" s="61"/>
    </row>
    <row r="319" spans="18:28" x14ac:dyDescent="0.3">
      <c r="R319" s="57"/>
      <c r="S319" s="58"/>
      <c r="T319" s="59"/>
      <c r="U319" s="60"/>
      <c r="V319" s="61"/>
      <c r="W319" s="60"/>
      <c r="X319" s="61"/>
      <c r="Y319" s="60"/>
      <c r="Z319" s="61"/>
      <c r="AA319" s="60"/>
      <c r="AB319" s="61"/>
    </row>
    <row r="320" spans="18:28" x14ac:dyDescent="0.3">
      <c r="R320" s="57"/>
      <c r="S320" s="58"/>
      <c r="T320" s="59"/>
      <c r="U320" s="60"/>
      <c r="V320" s="61"/>
      <c r="W320" s="60"/>
      <c r="X320" s="61"/>
      <c r="Y320" s="60"/>
      <c r="Z320" s="61"/>
      <c r="AA320" s="60"/>
      <c r="AB320" s="61"/>
    </row>
    <row r="321" spans="18:28" x14ac:dyDescent="0.3">
      <c r="R321" s="57"/>
      <c r="S321" s="58"/>
      <c r="T321" s="59"/>
      <c r="U321" s="60"/>
      <c r="V321" s="61"/>
      <c r="W321" s="60"/>
      <c r="X321" s="61"/>
      <c r="Y321" s="60"/>
      <c r="Z321" s="61"/>
      <c r="AA321" s="60"/>
      <c r="AB321" s="61"/>
    </row>
    <row r="322" spans="18:28" x14ac:dyDescent="0.3">
      <c r="R322" s="57"/>
      <c r="S322" s="58"/>
      <c r="T322" s="59"/>
      <c r="U322" s="60"/>
      <c r="V322" s="61"/>
      <c r="W322" s="60"/>
      <c r="X322" s="61"/>
      <c r="Y322" s="60"/>
      <c r="Z322" s="61"/>
      <c r="AA322" s="60"/>
      <c r="AB322" s="61"/>
    </row>
    <row r="323" spans="18:28" x14ac:dyDescent="0.3">
      <c r="R323" s="57"/>
      <c r="S323" s="58"/>
      <c r="T323" s="59"/>
      <c r="U323" s="60"/>
      <c r="V323" s="61"/>
      <c r="W323" s="60"/>
      <c r="X323" s="61"/>
      <c r="Y323" s="60"/>
      <c r="Z323" s="61"/>
      <c r="AA323" s="60"/>
      <c r="AB323" s="61"/>
    </row>
    <row r="324" spans="18:28" x14ac:dyDescent="0.3">
      <c r="R324" s="57"/>
      <c r="S324" s="58"/>
      <c r="T324" s="59"/>
      <c r="U324" s="60"/>
      <c r="V324" s="61"/>
      <c r="W324" s="60"/>
      <c r="X324" s="61"/>
      <c r="Y324" s="60"/>
      <c r="Z324" s="61"/>
      <c r="AA324" s="60"/>
      <c r="AB324" s="61"/>
    </row>
    <row r="325" spans="18:28" x14ac:dyDescent="0.3">
      <c r="R325" s="57"/>
      <c r="S325" s="58"/>
      <c r="T325" s="59"/>
      <c r="U325" s="60"/>
      <c r="V325" s="61"/>
      <c r="W325" s="60"/>
      <c r="X325" s="61"/>
      <c r="Y325" s="60"/>
      <c r="Z325" s="61"/>
      <c r="AA325" s="60"/>
      <c r="AB325" s="61"/>
    </row>
    <row r="326" spans="18:28" x14ac:dyDescent="0.3">
      <c r="R326" s="57"/>
      <c r="S326" s="58"/>
      <c r="T326" s="59"/>
      <c r="U326" s="60"/>
      <c r="V326" s="61"/>
      <c r="W326" s="60"/>
      <c r="X326" s="61"/>
      <c r="Y326" s="60"/>
      <c r="Z326" s="61"/>
      <c r="AA326" s="60"/>
      <c r="AB326" s="61"/>
    </row>
    <row r="327" spans="18:28" x14ac:dyDescent="0.3">
      <c r="R327" s="57"/>
      <c r="S327" s="58"/>
      <c r="T327" s="59"/>
      <c r="U327" s="60"/>
      <c r="V327" s="61"/>
      <c r="W327" s="60"/>
      <c r="X327" s="61"/>
      <c r="Y327" s="60"/>
      <c r="Z327" s="61"/>
      <c r="AA327" s="60"/>
      <c r="AB327" s="61"/>
    </row>
    <row r="328" spans="18:28" x14ac:dyDescent="0.3">
      <c r="R328" s="57"/>
      <c r="S328" s="58"/>
      <c r="T328" s="59"/>
      <c r="U328" s="60"/>
      <c r="V328" s="61"/>
      <c r="W328" s="60"/>
      <c r="X328" s="61"/>
      <c r="Y328" s="60"/>
      <c r="Z328" s="61"/>
      <c r="AA328" s="60"/>
      <c r="AB328" s="61"/>
    </row>
    <row r="329" spans="18:28" x14ac:dyDescent="0.3">
      <c r="R329" s="57"/>
      <c r="S329" s="58"/>
      <c r="T329" s="59"/>
      <c r="U329" s="60"/>
      <c r="V329" s="61"/>
      <c r="W329" s="60"/>
      <c r="X329" s="61"/>
      <c r="Y329" s="60"/>
      <c r="Z329" s="61"/>
      <c r="AA329" s="60"/>
      <c r="AB329" s="61"/>
    </row>
    <row r="330" spans="18:28" x14ac:dyDescent="0.3">
      <c r="R330" s="57"/>
      <c r="S330" s="58"/>
      <c r="T330" s="59"/>
      <c r="U330" s="60"/>
      <c r="V330" s="61"/>
      <c r="W330" s="60"/>
      <c r="X330" s="61"/>
      <c r="Y330" s="60"/>
      <c r="Z330" s="61"/>
      <c r="AA330" s="60"/>
      <c r="AB330" s="61"/>
    </row>
    <row r="331" spans="18:28" x14ac:dyDescent="0.3">
      <c r="R331" s="57"/>
      <c r="S331" s="58"/>
      <c r="T331" s="59"/>
      <c r="U331" s="60"/>
      <c r="V331" s="61"/>
      <c r="W331" s="60"/>
      <c r="X331" s="61"/>
      <c r="Y331" s="60"/>
      <c r="Z331" s="61"/>
      <c r="AA331" s="60"/>
      <c r="AB331" s="61"/>
    </row>
    <row r="332" spans="18:28" x14ac:dyDescent="0.3">
      <c r="R332" s="57"/>
      <c r="S332" s="58"/>
      <c r="T332" s="59"/>
      <c r="U332" s="60"/>
      <c r="V332" s="61"/>
      <c r="W332" s="60"/>
      <c r="X332" s="61"/>
      <c r="Y332" s="60"/>
      <c r="Z332" s="61"/>
      <c r="AA332" s="60"/>
      <c r="AB332" s="61"/>
    </row>
    <row r="333" spans="18:28" x14ac:dyDescent="0.3">
      <c r="R333" s="57"/>
      <c r="S333" s="58"/>
      <c r="T333" s="59"/>
      <c r="U333" s="60"/>
      <c r="V333" s="61"/>
      <c r="W333" s="60"/>
      <c r="X333" s="61"/>
      <c r="Y333" s="60"/>
      <c r="Z333" s="61"/>
      <c r="AA333" s="60"/>
      <c r="AB333" s="61"/>
    </row>
    <row r="334" spans="18:28" x14ac:dyDescent="0.3">
      <c r="R334" s="57"/>
      <c r="S334" s="58"/>
      <c r="T334" s="59"/>
      <c r="U334" s="60"/>
      <c r="V334" s="61"/>
      <c r="W334" s="60"/>
      <c r="X334" s="61"/>
      <c r="Y334" s="60"/>
      <c r="Z334" s="61"/>
      <c r="AA334" s="60"/>
      <c r="AB334" s="61"/>
    </row>
    <row r="335" spans="18:28" x14ac:dyDescent="0.3">
      <c r="R335" s="57"/>
      <c r="S335" s="58"/>
      <c r="T335" s="59"/>
      <c r="U335" s="60"/>
      <c r="V335" s="61"/>
      <c r="W335" s="60"/>
      <c r="X335" s="61"/>
      <c r="Y335" s="60"/>
      <c r="Z335" s="61"/>
      <c r="AA335" s="60"/>
      <c r="AB335" s="61"/>
    </row>
    <row r="336" spans="18:28" x14ac:dyDescent="0.3">
      <c r="R336" s="57"/>
      <c r="S336" s="58"/>
      <c r="T336" s="59"/>
      <c r="U336" s="60"/>
      <c r="V336" s="61"/>
      <c r="W336" s="60"/>
      <c r="X336" s="61"/>
      <c r="Y336" s="60"/>
      <c r="Z336" s="61"/>
      <c r="AA336" s="60"/>
      <c r="AB336" s="61"/>
    </row>
    <row r="337" spans="18:28" x14ac:dyDescent="0.3">
      <c r="R337" s="57"/>
      <c r="S337" s="58"/>
      <c r="T337" s="59"/>
      <c r="U337" s="60"/>
      <c r="V337" s="61"/>
      <c r="W337" s="60"/>
      <c r="X337" s="61"/>
      <c r="Y337" s="60"/>
      <c r="Z337" s="61"/>
      <c r="AA337" s="60"/>
      <c r="AB337" s="61"/>
    </row>
    <row r="338" spans="18:28" x14ac:dyDescent="0.3">
      <c r="R338" s="57"/>
      <c r="S338" s="58"/>
      <c r="T338" s="59"/>
      <c r="U338" s="60"/>
      <c r="V338" s="61"/>
      <c r="W338" s="60"/>
      <c r="X338" s="61"/>
      <c r="Y338" s="60"/>
      <c r="Z338" s="61"/>
      <c r="AA338" s="60"/>
      <c r="AB338" s="61"/>
    </row>
    <row r="339" spans="18:28" x14ac:dyDescent="0.3">
      <c r="R339" s="57"/>
      <c r="S339" s="58"/>
      <c r="T339" s="59"/>
      <c r="U339" s="60"/>
      <c r="V339" s="61"/>
      <c r="W339" s="60"/>
      <c r="X339" s="61"/>
      <c r="Y339" s="60"/>
      <c r="Z339" s="61"/>
      <c r="AA339" s="60"/>
      <c r="AB339" s="61"/>
    </row>
    <row r="340" spans="18:28" x14ac:dyDescent="0.3">
      <c r="R340" s="57"/>
      <c r="S340" s="58"/>
      <c r="T340" s="59"/>
      <c r="U340" s="60"/>
      <c r="V340" s="61"/>
      <c r="W340" s="60"/>
      <c r="X340" s="61"/>
      <c r="Y340" s="60"/>
      <c r="Z340" s="61"/>
      <c r="AA340" s="60"/>
      <c r="AB340" s="61"/>
    </row>
    <row r="341" spans="18:28" x14ac:dyDescent="0.3">
      <c r="R341" s="57"/>
      <c r="S341" s="58"/>
      <c r="T341" s="59"/>
      <c r="U341" s="60"/>
      <c r="V341" s="61"/>
      <c r="W341" s="60"/>
      <c r="X341" s="61"/>
      <c r="Y341" s="60"/>
      <c r="Z341" s="61"/>
      <c r="AA341" s="60"/>
      <c r="AB341" s="61"/>
    </row>
    <row r="342" spans="18:28" x14ac:dyDescent="0.3">
      <c r="R342" s="57"/>
      <c r="S342" s="58"/>
      <c r="T342" s="59"/>
      <c r="U342" s="60"/>
      <c r="V342" s="61"/>
      <c r="W342" s="60"/>
      <c r="X342" s="61"/>
      <c r="Y342" s="60"/>
      <c r="Z342" s="61"/>
      <c r="AA342" s="60"/>
      <c r="AB342" s="61"/>
    </row>
    <row r="343" spans="18:28" x14ac:dyDescent="0.3">
      <c r="R343" s="57"/>
      <c r="S343" s="58"/>
      <c r="T343" s="59"/>
      <c r="U343" s="60"/>
      <c r="V343" s="61"/>
      <c r="W343" s="60"/>
      <c r="X343" s="61"/>
      <c r="Y343" s="60"/>
      <c r="Z343" s="61"/>
      <c r="AA343" s="60"/>
      <c r="AB343" s="61"/>
    </row>
    <row r="344" spans="18:28" x14ac:dyDescent="0.3">
      <c r="R344" s="57"/>
      <c r="S344" s="58"/>
      <c r="T344" s="59"/>
      <c r="U344" s="60"/>
      <c r="V344" s="61"/>
      <c r="W344" s="60"/>
      <c r="X344" s="61"/>
      <c r="Y344" s="60"/>
      <c r="Z344" s="61"/>
      <c r="AA344" s="60"/>
      <c r="AB344" s="61"/>
    </row>
    <row r="345" spans="18:28" x14ac:dyDescent="0.3">
      <c r="R345" s="57"/>
      <c r="S345" s="58"/>
      <c r="T345" s="59"/>
      <c r="U345" s="60"/>
      <c r="V345" s="61"/>
      <c r="W345" s="60"/>
      <c r="X345" s="61"/>
      <c r="Y345" s="60"/>
      <c r="Z345" s="61"/>
      <c r="AA345" s="60"/>
      <c r="AB345" s="61"/>
    </row>
    <row r="346" spans="18:28" x14ac:dyDescent="0.3">
      <c r="R346" s="57"/>
      <c r="S346" s="58"/>
      <c r="T346" s="59"/>
      <c r="U346" s="60"/>
      <c r="V346" s="61"/>
      <c r="W346" s="60"/>
      <c r="X346" s="61"/>
      <c r="Y346" s="60"/>
      <c r="Z346" s="61"/>
      <c r="AA346" s="60"/>
      <c r="AB346" s="61"/>
    </row>
    <row r="347" spans="18:28" x14ac:dyDescent="0.3">
      <c r="R347" s="57"/>
      <c r="S347" s="58"/>
      <c r="T347" s="59"/>
      <c r="U347" s="60"/>
      <c r="V347" s="61"/>
      <c r="W347" s="60"/>
      <c r="X347" s="61"/>
      <c r="Y347" s="60"/>
      <c r="Z347" s="61"/>
      <c r="AA347" s="60"/>
      <c r="AB347" s="61"/>
    </row>
    <row r="348" spans="18:28" x14ac:dyDescent="0.3">
      <c r="R348" s="57"/>
      <c r="S348" s="58"/>
      <c r="T348" s="59"/>
      <c r="U348" s="60"/>
      <c r="V348" s="61"/>
      <c r="W348" s="60"/>
      <c r="X348" s="61"/>
      <c r="Y348" s="60"/>
      <c r="Z348" s="61"/>
      <c r="AA348" s="60"/>
      <c r="AB348" s="61"/>
    </row>
    <row r="349" spans="18:28" x14ac:dyDescent="0.3">
      <c r="R349" s="57"/>
      <c r="S349" s="58"/>
      <c r="T349" s="59"/>
      <c r="U349" s="60"/>
      <c r="V349" s="61"/>
      <c r="W349" s="60"/>
      <c r="X349" s="61"/>
      <c r="Y349" s="60"/>
      <c r="Z349" s="61"/>
      <c r="AA349" s="60"/>
      <c r="AB349" s="61"/>
    </row>
    <row r="350" spans="18:28" x14ac:dyDescent="0.3">
      <c r="R350" s="57"/>
      <c r="S350" s="58"/>
      <c r="T350" s="59"/>
      <c r="U350" s="60"/>
      <c r="V350" s="61"/>
      <c r="W350" s="60"/>
      <c r="X350" s="61"/>
      <c r="Y350" s="60"/>
      <c r="Z350" s="61"/>
      <c r="AA350" s="60"/>
      <c r="AB350" s="61"/>
    </row>
    <row r="351" spans="18:28" x14ac:dyDescent="0.3">
      <c r="R351" s="57"/>
      <c r="S351" s="58"/>
      <c r="T351" s="59"/>
      <c r="U351" s="60"/>
      <c r="V351" s="61"/>
      <c r="W351" s="60"/>
      <c r="X351" s="61"/>
      <c r="Y351" s="60"/>
      <c r="Z351" s="61"/>
      <c r="AA351" s="60"/>
      <c r="AB351" s="61"/>
    </row>
    <row r="352" spans="18:28" x14ac:dyDescent="0.3">
      <c r="R352" s="57"/>
      <c r="S352" s="58"/>
      <c r="T352" s="59"/>
      <c r="U352" s="60"/>
      <c r="V352" s="61"/>
      <c r="W352" s="60"/>
      <c r="X352" s="61"/>
      <c r="Y352" s="60"/>
      <c r="Z352" s="61"/>
      <c r="AA352" s="60"/>
      <c r="AB352" s="61"/>
    </row>
    <row r="353" spans="18:28" x14ac:dyDescent="0.3">
      <c r="R353" s="57"/>
      <c r="S353" s="58"/>
      <c r="T353" s="59"/>
      <c r="U353" s="60"/>
      <c r="V353" s="61"/>
      <c r="W353" s="60"/>
      <c r="X353" s="61"/>
      <c r="Y353" s="60"/>
      <c r="Z353" s="61"/>
      <c r="AA353" s="60"/>
      <c r="AB353" s="61"/>
    </row>
    <row r="354" spans="18:28" x14ac:dyDescent="0.3">
      <c r="R354" s="57"/>
      <c r="S354" s="58"/>
      <c r="T354" s="59"/>
      <c r="U354" s="60"/>
      <c r="V354" s="61"/>
      <c r="W354" s="60"/>
      <c r="X354" s="61"/>
      <c r="Y354" s="60"/>
      <c r="Z354" s="61"/>
      <c r="AA354" s="60"/>
      <c r="AB354" s="61"/>
    </row>
    <row r="355" spans="18:28" x14ac:dyDescent="0.3">
      <c r="R355" s="57"/>
      <c r="S355" s="58"/>
      <c r="T355" s="59"/>
      <c r="U355" s="60"/>
      <c r="V355" s="61"/>
      <c r="W355" s="60"/>
      <c r="X355" s="61"/>
      <c r="Y355" s="60"/>
      <c r="Z355" s="61"/>
      <c r="AA355" s="60"/>
      <c r="AB355" s="61"/>
    </row>
    <row r="356" spans="18:28" x14ac:dyDescent="0.3">
      <c r="R356" s="57"/>
      <c r="S356" s="58"/>
      <c r="T356" s="59"/>
      <c r="U356" s="60"/>
      <c r="V356" s="61"/>
      <c r="W356" s="60"/>
      <c r="X356" s="61"/>
      <c r="Y356" s="60"/>
      <c r="Z356" s="61"/>
      <c r="AA356" s="60"/>
      <c r="AB356" s="61"/>
    </row>
    <row r="357" spans="18:28" x14ac:dyDescent="0.3">
      <c r="R357" s="57"/>
      <c r="S357" s="58"/>
      <c r="T357" s="59"/>
      <c r="U357" s="60"/>
      <c r="V357" s="61"/>
      <c r="W357" s="60"/>
      <c r="X357" s="61"/>
      <c r="Y357" s="60"/>
      <c r="Z357" s="61"/>
      <c r="AA357" s="60"/>
      <c r="AB357" s="61"/>
    </row>
    <row r="358" spans="18:28" x14ac:dyDescent="0.3">
      <c r="R358" s="57"/>
      <c r="S358" s="58"/>
      <c r="T358" s="59"/>
      <c r="U358" s="60"/>
      <c r="V358" s="61"/>
      <c r="W358" s="60"/>
      <c r="X358" s="61"/>
      <c r="Y358" s="60"/>
      <c r="Z358" s="61"/>
      <c r="AA358" s="60"/>
      <c r="AB358" s="61"/>
    </row>
    <row r="359" spans="18:28" x14ac:dyDescent="0.3">
      <c r="R359" s="57"/>
      <c r="S359" s="58"/>
      <c r="T359" s="59"/>
      <c r="U359" s="60"/>
      <c r="V359" s="61"/>
      <c r="W359" s="60"/>
      <c r="X359" s="61"/>
      <c r="Y359" s="60"/>
      <c r="Z359" s="61"/>
      <c r="AA359" s="60"/>
      <c r="AB359" s="61"/>
    </row>
    <row r="360" spans="18:28" x14ac:dyDescent="0.3">
      <c r="R360" s="57"/>
      <c r="S360" s="58"/>
      <c r="T360" s="59"/>
      <c r="U360" s="60"/>
      <c r="V360" s="61"/>
      <c r="W360" s="60"/>
      <c r="X360" s="61"/>
      <c r="Y360" s="60"/>
      <c r="Z360" s="61"/>
      <c r="AA360" s="60"/>
      <c r="AB360" s="61"/>
    </row>
    <row r="361" spans="18:28" x14ac:dyDescent="0.3">
      <c r="R361" s="57"/>
      <c r="S361" s="58"/>
      <c r="T361" s="59"/>
      <c r="U361" s="60"/>
      <c r="V361" s="61"/>
      <c r="W361" s="60"/>
      <c r="X361" s="61"/>
      <c r="Y361" s="60"/>
      <c r="Z361" s="61"/>
      <c r="AA361" s="60"/>
      <c r="AB361" s="61"/>
    </row>
    <row r="362" spans="18:28" x14ac:dyDescent="0.3">
      <c r="R362" s="57"/>
      <c r="S362" s="58"/>
      <c r="T362" s="59"/>
      <c r="U362" s="60"/>
      <c r="V362" s="61"/>
      <c r="W362" s="60"/>
      <c r="X362" s="61"/>
      <c r="Y362" s="60"/>
      <c r="Z362" s="61"/>
      <c r="AA362" s="60"/>
      <c r="AB362" s="61"/>
    </row>
    <row r="363" spans="18:28" x14ac:dyDescent="0.3">
      <c r="R363" s="57"/>
      <c r="S363" s="58"/>
      <c r="T363" s="59"/>
      <c r="U363" s="60"/>
      <c r="V363" s="61"/>
      <c r="W363" s="60"/>
      <c r="X363" s="61"/>
      <c r="Y363" s="60"/>
      <c r="Z363" s="61"/>
      <c r="AA363" s="60"/>
      <c r="AB363" s="61"/>
    </row>
    <row r="364" spans="18:28" x14ac:dyDescent="0.3">
      <c r="R364" s="57"/>
      <c r="S364" s="58"/>
      <c r="T364" s="59"/>
      <c r="U364" s="60"/>
      <c r="V364" s="61"/>
      <c r="W364" s="60"/>
      <c r="X364" s="61"/>
      <c r="Y364" s="60"/>
      <c r="Z364" s="61"/>
      <c r="AA364" s="60"/>
      <c r="AB364" s="61"/>
    </row>
    <row r="365" spans="18:28" x14ac:dyDescent="0.3">
      <c r="R365" s="57"/>
      <c r="S365" s="58"/>
      <c r="T365" s="59"/>
      <c r="U365" s="60"/>
      <c r="V365" s="61"/>
      <c r="W365" s="60"/>
      <c r="X365" s="61"/>
      <c r="Y365" s="60"/>
      <c r="Z365" s="61"/>
      <c r="AA365" s="60"/>
      <c r="AB365" s="61"/>
    </row>
    <row r="366" spans="18:28" x14ac:dyDescent="0.3">
      <c r="R366" s="57"/>
      <c r="S366" s="58"/>
      <c r="T366" s="59"/>
      <c r="U366" s="60"/>
      <c r="V366" s="61"/>
      <c r="W366" s="60"/>
      <c r="X366" s="61"/>
      <c r="Y366" s="60"/>
      <c r="Z366" s="61"/>
      <c r="AA366" s="60"/>
      <c r="AB366" s="61"/>
    </row>
    <row r="367" spans="18:28" x14ac:dyDescent="0.3">
      <c r="R367" s="57"/>
      <c r="S367" s="58"/>
      <c r="T367" s="59"/>
      <c r="U367" s="60"/>
      <c r="V367" s="61"/>
      <c r="W367" s="60"/>
      <c r="X367" s="61"/>
      <c r="Y367" s="60"/>
      <c r="Z367" s="61"/>
      <c r="AA367" s="60"/>
      <c r="AB367" s="61"/>
    </row>
    <row r="368" spans="18:28" x14ac:dyDescent="0.3">
      <c r="R368" s="57"/>
      <c r="S368" s="58"/>
      <c r="T368" s="59"/>
      <c r="U368" s="60"/>
      <c r="V368" s="61"/>
      <c r="W368" s="60"/>
      <c r="X368" s="61"/>
      <c r="Y368" s="60"/>
      <c r="Z368" s="61"/>
      <c r="AA368" s="60"/>
      <c r="AB368" s="61"/>
    </row>
    <row r="369" spans="18:28" x14ac:dyDescent="0.3">
      <c r="R369" s="57"/>
      <c r="S369" s="58"/>
      <c r="T369" s="59"/>
      <c r="U369" s="60"/>
      <c r="V369" s="61"/>
      <c r="W369" s="60"/>
      <c r="X369" s="61"/>
      <c r="Y369" s="60"/>
      <c r="Z369" s="61"/>
      <c r="AA369" s="60"/>
      <c r="AB369" s="61"/>
    </row>
    <row r="370" spans="18:28" x14ac:dyDescent="0.3">
      <c r="R370" s="57"/>
      <c r="S370" s="58"/>
      <c r="T370" s="59"/>
      <c r="U370" s="60"/>
      <c r="V370" s="61"/>
      <c r="W370" s="60"/>
      <c r="X370" s="61"/>
      <c r="Y370" s="60"/>
      <c r="Z370" s="61"/>
      <c r="AA370" s="60"/>
      <c r="AB370" s="61"/>
    </row>
    <row r="371" spans="18:28" x14ac:dyDescent="0.3">
      <c r="R371" s="57"/>
      <c r="S371" s="58"/>
      <c r="T371" s="59"/>
      <c r="U371" s="60"/>
      <c r="V371" s="61"/>
      <c r="W371" s="60"/>
      <c r="X371" s="61"/>
      <c r="Y371" s="60"/>
      <c r="Z371" s="61"/>
      <c r="AA371" s="60"/>
      <c r="AB371" s="61"/>
    </row>
    <row r="372" spans="18:28" x14ac:dyDescent="0.3">
      <c r="R372" s="57"/>
      <c r="S372" s="58"/>
      <c r="T372" s="59"/>
      <c r="U372" s="60"/>
      <c r="V372" s="61"/>
      <c r="W372" s="60"/>
      <c r="X372" s="61"/>
      <c r="Y372" s="60"/>
      <c r="Z372" s="61"/>
      <c r="AA372" s="60"/>
      <c r="AB372" s="61"/>
    </row>
    <row r="373" spans="18:28" x14ac:dyDescent="0.3">
      <c r="R373" s="57"/>
      <c r="S373" s="58"/>
      <c r="T373" s="59"/>
      <c r="U373" s="60"/>
      <c r="V373" s="61"/>
      <c r="W373" s="60"/>
      <c r="X373" s="61"/>
      <c r="Y373" s="60"/>
      <c r="Z373" s="61"/>
      <c r="AA373" s="60"/>
      <c r="AB373" s="61"/>
    </row>
    <row r="374" spans="18:28" x14ac:dyDescent="0.3">
      <c r="R374" s="57"/>
      <c r="S374" s="58"/>
      <c r="T374" s="59"/>
      <c r="U374" s="60"/>
      <c r="V374" s="61"/>
      <c r="W374" s="60"/>
      <c r="X374" s="61"/>
      <c r="Y374" s="60"/>
      <c r="Z374" s="61"/>
      <c r="AA374" s="60"/>
      <c r="AB374" s="61"/>
    </row>
    <row r="375" spans="18:28" x14ac:dyDescent="0.3">
      <c r="R375" s="57"/>
      <c r="S375" s="58"/>
      <c r="T375" s="59"/>
      <c r="U375" s="60"/>
      <c r="V375" s="61"/>
      <c r="W375" s="60"/>
      <c r="X375" s="61"/>
      <c r="Y375" s="60"/>
      <c r="Z375" s="61"/>
      <c r="AA375" s="60"/>
      <c r="AB375" s="61"/>
    </row>
    <row r="376" spans="18:28" x14ac:dyDescent="0.3">
      <c r="R376" s="57"/>
      <c r="S376" s="58"/>
      <c r="T376" s="59"/>
      <c r="U376" s="60"/>
      <c r="V376" s="61"/>
      <c r="W376" s="60"/>
      <c r="X376" s="61"/>
      <c r="Y376" s="60"/>
      <c r="Z376" s="61"/>
      <c r="AA376" s="60"/>
      <c r="AB376" s="61"/>
    </row>
    <row r="377" spans="18:28" x14ac:dyDescent="0.3">
      <c r="R377" s="57"/>
      <c r="S377" s="58"/>
      <c r="T377" s="59"/>
      <c r="U377" s="60"/>
      <c r="V377" s="61"/>
      <c r="W377" s="60"/>
      <c r="X377" s="61"/>
      <c r="Y377" s="60"/>
      <c r="Z377" s="61"/>
      <c r="AA377" s="60"/>
      <c r="AB377" s="61"/>
    </row>
    <row r="378" spans="18:28" x14ac:dyDescent="0.3">
      <c r="R378" s="57"/>
      <c r="S378" s="58"/>
      <c r="T378" s="59"/>
      <c r="U378" s="60"/>
      <c r="V378" s="61"/>
      <c r="W378" s="60"/>
      <c r="X378" s="61"/>
      <c r="Y378" s="60"/>
      <c r="Z378" s="61"/>
      <c r="AA378" s="60"/>
      <c r="AB378" s="61"/>
    </row>
    <row r="379" spans="18:28" x14ac:dyDescent="0.3">
      <c r="R379" s="57"/>
      <c r="S379" s="58"/>
      <c r="T379" s="59"/>
      <c r="U379" s="60"/>
      <c r="V379" s="61"/>
      <c r="W379" s="60"/>
      <c r="X379" s="61"/>
      <c r="Y379" s="60"/>
      <c r="Z379" s="61"/>
      <c r="AA379" s="60"/>
      <c r="AB379" s="61"/>
    </row>
    <row r="380" spans="18:28" x14ac:dyDescent="0.3">
      <c r="R380" s="57"/>
      <c r="S380" s="58"/>
      <c r="T380" s="59"/>
      <c r="U380" s="60"/>
      <c r="V380" s="61"/>
      <c r="W380" s="60"/>
      <c r="X380" s="61"/>
      <c r="Y380" s="60"/>
      <c r="Z380" s="61"/>
      <c r="AA380" s="60"/>
      <c r="AB380" s="61"/>
    </row>
    <row r="381" spans="18:28" x14ac:dyDescent="0.3">
      <c r="R381" s="57"/>
      <c r="S381" s="58"/>
      <c r="T381" s="59"/>
      <c r="U381" s="60"/>
      <c r="V381" s="61"/>
      <c r="W381" s="60"/>
      <c r="X381" s="61"/>
      <c r="Y381" s="60"/>
      <c r="Z381" s="61"/>
      <c r="AA381" s="60"/>
      <c r="AB381" s="61"/>
    </row>
    <row r="382" spans="18:28" x14ac:dyDescent="0.3">
      <c r="R382" s="57"/>
      <c r="S382" s="58"/>
      <c r="T382" s="59"/>
      <c r="U382" s="60"/>
      <c r="V382" s="61"/>
      <c r="W382" s="60"/>
      <c r="X382" s="61"/>
      <c r="Y382" s="60"/>
      <c r="Z382" s="61"/>
      <c r="AA382" s="60"/>
      <c r="AB382" s="61"/>
    </row>
    <row r="383" spans="18:28" x14ac:dyDescent="0.3">
      <c r="R383" s="57"/>
      <c r="S383" s="58"/>
      <c r="T383" s="59"/>
      <c r="U383" s="60"/>
      <c r="V383" s="61"/>
      <c r="W383" s="60"/>
      <c r="X383" s="61"/>
      <c r="Y383" s="60"/>
      <c r="Z383" s="61"/>
      <c r="AA383" s="60"/>
      <c r="AB383" s="61"/>
    </row>
    <row r="384" spans="18:28" x14ac:dyDescent="0.3">
      <c r="R384" s="57"/>
      <c r="S384" s="58"/>
      <c r="T384" s="59"/>
      <c r="U384" s="60"/>
      <c r="V384" s="61"/>
      <c r="W384" s="60"/>
      <c r="X384" s="61"/>
      <c r="Y384" s="60"/>
      <c r="Z384" s="61"/>
      <c r="AA384" s="60"/>
      <c r="AB384" s="61"/>
    </row>
    <row r="385" spans="18:28" x14ac:dyDescent="0.3">
      <c r="R385" s="57"/>
      <c r="S385" s="58"/>
      <c r="T385" s="59"/>
      <c r="U385" s="60"/>
      <c r="V385" s="61"/>
      <c r="W385" s="60"/>
      <c r="X385" s="61"/>
      <c r="Y385" s="60"/>
      <c r="Z385" s="61"/>
      <c r="AA385" s="60"/>
      <c r="AB385" s="61"/>
    </row>
    <row r="386" spans="18:28" x14ac:dyDescent="0.3">
      <c r="R386" s="57"/>
      <c r="S386" s="58"/>
      <c r="T386" s="59"/>
      <c r="U386" s="60"/>
      <c r="V386" s="61"/>
      <c r="W386" s="60"/>
      <c r="X386" s="61"/>
      <c r="Y386" s="60"/>
      <c r="Z386" s="61"/>
      <c r="AA386" s="60"/>
      <c r="AB386" s="61"/>
    </row>
    <row r="387" spans="18:28" x14ac:dyDescent="0.3">
      <c r="R387" s="57"/>
      <c r="S387" s="58"/>
      <c r="T387" s="59"/>
      <c r="U387" s="60"/>
      <c r="V387" s="61"/>
      <c r="W387" s="60"/>
      <c r="X387" s="61"/>
      <c r="Y387" s="60"/>
      <c r="Z387" s="61"/>
      <c r="AA387" s="60"/>
      <c r="AB387" s="61"/>
    </row>
    <row r="388" spans="18:28" x14ac:dyDescent="0.3">
      <c r="R388" s="57"/>
      <c r="S388" s="58"/>
      <c r="T388" s="59"/>
      <c r="U388" s="60"/>
      <c r="V388" s="61"/>
      <c r="W388" s="60"/>
      <c r="X388" s="61"/>
      <c r="Y388" s="60"/>
      <c r="Z388" s="61"/>
      <c r="AA388" s="60"/>
      <c r="AB388" s="61"/>
    </row>
    <row r="389" spans="18:28" x14ac:dyDescent="0.3">
      <c r="R389" s="57"/>
      <c r="S389" s="58"/>
      <c r="T389" s="59"/>
      <c r="U389" s="60"/>
      <c r="V389" s="61"/>
      <c r="W389" s="60"/>
      <c r="X389" s="61"/>
      <c r="Y389" s="60"/>
      <c r="Z389" s="61"/>
      <c r="AA389" s="60"/>
      <c r="AB389" s="61"/>
    </row>
    <row r="390" spans="18:28" x14ac:dyDescent="0.3">
      <c r="R390" s="57"/>
      <c r="S390" s="58"/>
      <c r="T390" s="59"/>
      <c r="U390" s="60"/>
      <c r="V390" s="61"/>
      <c r="W390" s="60"/>
      <c r="X390" s="61"/>
      <c r="Y390" s="60"/>
      <c r="Z390" s="61"/>
      <c r="AA390" s="60"/>
      <c r="AB390" s="61"/>
    </row>
    <row r="391" spans="18:28" x14ac:dyDescent="0.3">
      <c r="R391" s="57"/>
      <c r="S391" s="58"/>
      <c r="T391" s="59"/>
      <c r="U391" s="60"/>
      <c r="V391" s="61"/>
      <c r="W391" s="60"/>
      <c r="X391" s="61"/>
      <c r="Y391" s="60"/>
      <c r="Z391" s="61"/>
      <c r="AA391" s="60"/>
      <c r="AB391" s="61"/>
    </row>
    <row r="392" spans="18:28" x14ac:dyDescent="0.3">
      <c r="R392" s="57"/>
      <c r="S392" s="58"/>
      <c r="T392" s="59"/>
      <c r="U392" s="60"/>
      <c r="V392" s="61"/>
      <c r="W392" s="60"/>
      <c r="X392" s="61"/>
      <c r="Y392" s="60"/>
      <c r="Z392" s="61"/>
      <c r="AA392" s="60"/>
      <c r="AB392" s="61"/>
    </row>
    <row r="393" spans="18:28" x14ac:dyDescent="0.3">
      <c r="R393" s="57"/>
      <c r="S393" s="58"/>
      <c r="T393" s="59"/>
      <c r="U393" s="60"/>
      <c r="V393" s="61"/>
      <c r="W393" s="60"/>
      <c r="X393" s="61"/>
      <c r="Y393" s="60"/>
      <c r="Z393" s="61"/>
      <c r="AA393" s="60"/>
      <c r="AB393" s="61"/>
    </row>
    <row r="394" spans="18:28" x14ac:dyDescent="0.3">
      <c r="R394" s="57"/>
      <c r="S394" s="58"/>
      <c r="T394" s="59"/>
      <c r="U394" s="60"/>
      <c r="V394" s="61"/>
      <c r="W394" s="60"/>
      <c r="X394" s="61"/>
      <c r="Y394" s="60"/>
      <c r="Z394" s="61"/>
      <c r="AA394" s="60"/>
      <c r="AB394" s="61"/>
    </row>
    <row r="395" spans="18:28" x14ac:dyDescent="0.3">
      <c r="R395" s="57"/>
      <c r="S395" s="58"/>
      <c r="T395" s="59"/>
      <c r="U395" s="60"/>
      <c r="V395" s="61"/>
      <c r="W395" s="60"/>
      <c r="X395" s="61"/>
      <c r="Y395" s="60"/>
      <c r="Z395" s="61"/>
      <c r="AA395" s="60"/>
      <c r="AB395" s="61"/>
    </row>
    <row r="396" spans="18:28" x14ac:dyDescent="0.3">
      <c r="R396" s="57"/>
      <c r="S396" s="58"/>
      <c r="T396" s="59"/>
      <c r="U396" s="60"/>
      <c r="V396" s="61"/>
      <c r="W396" s="60"/>
      <c r="X396" s="61"/>
      <c r="Y396" s="60"/>
      <c r="Z396" s="61"/>
      <c r="AA396" s="60"/>
      <c r="AB396" s="61"/>
    </row>
    <row r="397" spans="18:28" x14ac:dyDescent="0.3">
      <c r="R397" s="57"/>
      <c r="S397" s="58"/>
      <c r="T397" s="59"/>
      <c r="U397" s="60"/>
      <c r="V397" s="61"/>
      <c r="W397" s="60"/>
      <c r="X397" s="61"/>
      <c r="Y397" s="60"/>
      <c r="Z397" s="61"/>
      <c r="AA397" s="60"/>
      <c r="AB397" s="61"/>
    </row>
    <row r="398" spans="18:28" x14ac:dyDescent="0.3">
      <c r="R398" s="57"/>
      <c r="S398" s="58"/>
      <c r="T398" s="59"/>
      <c r="U398" s="60"/>
      <c r="V398" s="61"/>
      <c r="W398" s="60"/>
      <c r="X398" s="61"/>
      <c r="Y398" s="60"/>
      <c r="Z398" s="61"/>
      <c r="AA398" s="60"/>
      <c r="AB398" s="61"/>
    </row>
    <row r="399" spans="18:28" x14ac:dyDescent="0.3">
      <c r="R399" s="57"/>
      <c r="S399" s="58"/>
      <c r="T399" s="59"/>
      <c r="U399" s="60"/>
      <c r="V399" s="61"/>
      <c r="W399" s="60"/>
      <c r="X399" s="61"/>
      <c r="Y399" s="60"/>
      <c r="Z399" s="61"/>
      <c r="AA399" s="60"/>
      <c r="AB399" s="61"/>
    </row>
    <row r="400" spans="18:28" x14ac:dyDescent="0.3">
      <c r="R400" s="57"/>
      <c r="S400" s="58"/>
      <c r="T400" s="59"/>
      <c r="U400" s="60"/>
      <c r="V400" s="61"/>
      <c r="W400" s="60"/>
      <c r="X400" s="61"/>
      <c r="Y400" s="60"/>
      <c r="Z400" s="61"/>
      <c r="AA400" s="60"/>
      <c r="AB400" s="61"/>
    </row>
    <row r="401" spans="18:28" x14ac:dyDescent="0.3">
      <c r="R401" s="57"/>
      <c r="S401" s="58"/>
      <c r="T401" s="59"/>
      <c r="U401" s="60"/>
      <c r="V401" s="61"/>
      <c r="W401" s="60"/>
      <c r="X401" s="61"/>
      <c r="Y401" s="60"/>
      <c r="Z401" s="61"/>
      <c r="AA401" s="60"/>
      <c r="AB401" s="61"/>
    </row>
  </sheetData>
  <sheetProtection sheet="1" scenarios="1" sort="0" autoFilter="0"/>
  <mergeCells count="40">
    <mergeCell ref="A25:P25"/>
    <mergeCell ref="A26:P26"/>
    <mergeCell ref="A23:D23"/>
    <mergeCell ref="E23:H23"/>
    <mergeCell ref="I23:L23"/>
    <mergeCell ref="M23:P23"/>
    <mergeCell ref="A24:P24"/>
    <mergeCell ref="A20:P20"/>
    <mergeCell ref="A21:P21"/>
    <mergeCell ref="A22:D22"/>
    <mergeCell ref="E22:H22"/>
    <mergeCell ref="I22:L22"/>
    <mergeCell ref="M22:P22"/>
    <mergeCell ref="A6:D6"/>
    <mergeCell ref="E6:H6"/>
    <mergeCell ref="I6:L6"/>
    <mergeCell ref="M6:P6"/>
    <mergeCell ref="A19:H19"/>
    <mergeCell ref="I19:P19"/>
    <mergeCell ref="AA26:AB26"/>
    <mergeCell ref="R25:AB25"/>
    <mergeCell ref="A1:N1"/>
    <mergeCell ref="O1:P1"/>
    <mergeCell ref="A2:P2"/>
    <mergeCell ref="A3:C3"/>
    <mergeCell ref="D3:F3"/>
    <mergeCell ref="G3:I3"/>
    <mergeCell ref="J3:L3"/>
    <mergeCell ref="M3:P3"/>
    <mergeCell ref="A4:C4"/>
    <mergeCell ref="D4:F4"/>
    <mergeCell ref="G4:I4"/>
    <mergeCell ref="J4:L4"/>
    <mergeCell ref="M4:P4"/>
    <mergeCell ref="A5:P5"/>
    <mergeCell ref="R8:V8"/>
    <mergeCell ref="R26:T26"/>
    <mergeCell ref="U26:V26"/>
    <mergeCell ref="W26:X26"/>
    <mergeCell ref="Y26:Z26"/>
  </mergeCells>
  <conditionalFormatting sqref="D8:D19">
    <cfRule type="expression" dxfId="103" priority="2">
      <formula>D8="▲"</formula>
    </cfRule>
    <cfRule type="expression" dxfId="102" priority="3">
      <formula>D8="▼"</formula>
    </cfRule>
  </conditionalFormatting>
  <conditionalFormatting sqref="H8:H19">
    <cfRule type="expression" dxfId="101" priority="4">
      <formula>H8="▲"</formula>
    </cfRule>
    <cfRule type="expression" dxfId="100" priority="5">
      <formula>H8="▼"</formula>
    </cfRule>
  </conditionalFormatting>
  <conditionalFormatting sqref="L8:L19">
    <cfRule type="expression" dxfId="99" priority="6">
      <formula>L8="▲"</formula>
    </cfRule>
    <cfRule type="expression" dxfId="98" priority="7">
      <formula>L8="▼"</formula>
    </cfRule>
  </conditionalFormatting>
  <conditionalFormatting sqref="P8:P19">
    <cfRule type="expression" dxfId="97" priority="8">
      <formula>P8="▲"</formula>
    </cfRule>
    <cfRule type="expression" dxfId="96" priority="9">
      <formula>P8="▼"</formula>
    </cfRule>
  </conditionalFormatting>
  <conditionalFormatting sqref="R28:AB401">
    <cfRule type="expression" dxfId="95" priority="10" stopIfTrue="1">
      <formula>AND($R28&lt;&gt;"",$R28=MAX($R$28:$R$401))</formula>
    </cfRule>
    <cfRule type="expression" dxfId="94" priority="11" stopIfTrue="1">
      <formula>$R28&lt;&gt;""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"/>
  <sheetViews>
    <sheetView zoomScaleNormal="100" workbookViewId="0"/>
  </sheetViews>
  <sheetFormatPr defaultColWidth="8.6640625" defaultRowHeight="14.4" x14ac:dyDescent="0.3"/>
  <cols>
    <col min="1" max="4" width="18" customWidth="1"/>
  </cols>
  <sheetData>
    <row r="1" spans="1:4" ht="14.25" customHeight="1" x14ac:dyDescent="0.3">
      <c r="A1" s="16" t="s">
        <v>32</v>
      </c>
      <c r="B1" s="16" t="s">
        <v>33</v>
      </c>
      <c r="C1" s="16" t="s">
        <v>34</v>
      </c>
      <c r="D1" s="16" t="s">
        <v>35</v>
      </c>
    </row>
    <row r="2" spans="1:4" ht="14.25" customHeight="1" x14ac:dyDescent="0.3">
      <c r="A2" s="17" t="s">
        <v>36</v>
      </c>
      <c r="B2" s="17" t="s">
        <v>37</v>
      </c>
      <c r="C2" s="17" t="s">
        <v>38</v>
      </c>
      <c r="D2" s="17" t="s">
        <v>39</v>
      </c>
    </row>
    <row r="3" spans="1:4" ht="14.25" customHeight="1" x14ac:dyDescent="0.3">
      <c r="A3" s="17" t="s">
        <v>40</v>
      </c>
      <c r="B3" s="17" t="s">
        <v>41</v>
      </c>
      <c r="C3" s="17" t="s">
        <v>41</v>
      </c>
      <c r="D3" s="17" t="s">
        <v>42</v>
      </c>
    </row>
    <row r="4" spans="1:4" ht="14.25" customHeight="1" x14ac:dyDescent="0.3">
      <c r="A4" s="17" t="s">
        <v>43</v>
      </c>
      <c r="B4" s="17" t="s">
        <v>44</v>
      </c>
      <c r="C4" s="17" t="s">
        <v>45</v>
      </c>
      <c r="D4" s="17"/>
    </row>
    <row r="5" spans="1:4" ht="14.25" customHeight="1" x14ac:dyDescent="0.3">
      <c r="A5" s="17" t="s">
        <v>46</v>
      </c>
      <c r="B5" s="17" t="s">
        <v>47</v>
      </c>
      <c r="C5" s="17"/>
      <c r="D5" s="17"/>
    </row>
    <row r="6" spans="1:4" ht="14.25" customHeight="1" x14ac:dyDescent="0.3">
      <c r="A6" s="17" t="s">
        <v>48</v>
      </c>
      <c r="B6" s="17" t="s">
        <v>49</v>
      </c>
      <c r="C6" s="17"/>
      <c r="D6" s="17"/>
    </row>
    <row r="7" spans="1:4" ht="14.25" customHeight="1" x14ac:dyDescent="0.3">
      <c r="A7" s="17" t="s">
        <v>50</v>
      </c>
      <c r="B7" s="17" t="s">
        <v>51</v>
      </c>
      <c r="C7" s="17"/>
      <c r="D7" s="17"/>
    </row>
    <row r="8" spans="1:4" ht="14.25" customHeight="1" x14ac:dyDescent="0.3">
      <c r="A8" s="17" t="s">
        <v>51</v>
      </c>
      <c r="B8" s="17"/>
      <c r="C8" s="17"/>
      <c r="D8" s="17"/>
    </row>
    <row r="9" spans="1:4" ht="14.25" customHeight="1" x14ac:dyDescent="0.3">
      <c r="A9" s="17"/>
      <c r="B9" s="17"/>
      <c r="C9" s="17"/>
      <c r="D9" s="17"/>
    </row>
    <row r="10" spans="1:4" ht="14.25" customHeight="1" x14ac:dyDescent="0.3">
      <c r="A10" s="17"/>
      <c r="B10" s="17"/>
      <c r="C10" s="17"/>
      <c r="D10" s="17"/>
    </row>
    <row r="11" spans="1:4" x14ac:dyDescent="0.3">
      <c r="A11" s="17"/>
      <c r="B11" s="17"/>
      <c r="C11" s="17"/>
      <c r="D11" s="17"/>
    </row>
    <row r="12" spans="1:4" x14ac:dyDescent="0.3">
      <c r="A12" s="17"/>
      <c r="B12" s="17"/>
      <c r="C12" s="17"/>
      <c r="D12" s="17"/>
    </row>
    <row r="13" spans="1:4" x14ac:dyDescent="0.3">
      <c r="A13" s="17"/>
      <c r="B13" s="17"/>
      <c r="C13" s="17"/>
      <c r="D13" s="17"/>
    </row>
    <row r="14" spans="1:4" x14ac:dyDescent="0.3">
      <c r="A14" s="17"/>
      <c r="B14" s="17"/>
      <c r="C14" s="17"/>
      <c r="D14" s="17"/>
    </row>
    <row r="15" spans="1:4" x14ac:dyDescent="0.3">
      <c r="A15" s="17"/>
      <c r="B15" s="17"/>
      <c r="C15" s="17"/>
      <c r="D15" s="17"/>
    </row>
    <row r="16" spans="1:4" x14ac:dyDescent="0.3">
      <c r="A16" s="17"/>
      <c r="B16" s="17"/>
      <c r="C16" s="17"/>
      <c r="D16" s="17"/>
    </row>
    <row r="17" spans="1:4" x14ac:dyDescent="0.3">
      <c r="A17" s="17"/>
      <c r="B17" s="17"/>
      <c r="C17" s="17"/>
      <c r="D17" s="17"/>
    </row>
    <row r="18" spans="1:4" x14ac:dyDescent="0.3">
      <c r="A18" s="17"/>
      <c r="B18" s="17"/>
      <c r="C18" s="17"/>
      <c r="D18" s="17"/>
    </row>
    <row r="19" spans="1:4" x14ac:dyDescent="0.3">
      <c r="A19" s="17"/>
      <c r="B19" s="17"/>
      <c r="C19" s="17"/>
      <c r="D19" s="17"/>
    </row>
    <row r="20" spans="1:4" x14ac:dyDescent="0.3">
      <c r="A20" s="17"/>
      <c r="B20" s="17"/>
      <c r="C20" s="17"/>
      <c r="D20" s="17"/>
    </row>
    <row r="21" spans="1:4" x14ac:dyDescent="0.3">
      <c r="A21" s="17"/>
      <c r="B21" s="17"/>
      <c r="C21" s="17"/>
      <c r="D21" s="17"/>
    </row>
    <row r="22" spans="1:4" x14ac:dyDescent="0.3">
      <c r="A22" s="17"/>
      <c r="B22" s="17"/>
      <c r="C22" s="17"/>
      <c r="D22" s="17"/>
    </row>
    <row r="23" spans="1:4" x14ac:dyDescent="0.3">
      <c r="A23" s="17"/>
      <c r="B23" s="17"/>
      <c r="C23" s="17"/>
      <c r="D23" s="17"/>
    </row>
    <row r="24" spans="1:4" x14ac:dyDescent="0.3">
      <c r="A24" s="17"/>
      <c r="B24" s="17"/>
      <c r="C24" s="17"/>
      <c r="D24" s="17"/>
    </row>
    <row r="25" spans="1:4" x14ac:dyDescent="0.3">
      <c r="A25" s="17"/>
      <c r="B25" s="17"/>
      <c r="C25" s="17"/>
      <c r="D25" s="17"/>
    </row>
    <row r="26" spans="1:4" x14ac:dyDescent="0.3">
      <c r="A26" s="17"/>
      <c r="B26" s="17"/>
      <c r="C26" s="17"/>
      <c r="D26" s="17"/>
    </row>
    <row r="27" spans="1:4" x14ac:dyDescent="0.3">
      <c r="A27" s="17"/>
      <c r="B27" s="17"/>
      <c r="C27" s="17"/>
      <c r="D27" s="17"/>
    </row>
    <row r="28" spans="1:4" x14ac:dyDescent="0.3">
      <c r="A28" s="17"/>
      <c r="B28" s="17"/>
      <c r="C28" s="17"/>
      <c r="D28" s="17"/>
    </row>
    <row r="29" spans="1:4" x14ac:dyDescent="0.3">
      <c r="A29" s="17"/>
      <c r="B29" s="17"/>
      <c r="C29" s="17"/>
      <c r="D29" s="17"/>
    </row>
    <row r="30" spans="1:4" x14ac:dyDescent="0.3">
      <c r="A30" s="17"/>
      <c r="B30" s="17"/>
      <c r="C30" s="17"/>
      <c r="D30" s="17"/>
    </row>
    <row r="31" spans="1:4" x14ac:dyDescent="0.3">
      <c r="A31" s="17"/>
      <c r="B31" s="17"/>
      <c r="C31" s="17"/>
      <c r="D31" s="17"/>
    </row>
    <row r="32" spans="1:4" x14ac:dyDescent="0.3">
      <c r="A32" s="17"/>
      <c r="B32" s="17"/>
      <c r="C32" s="17"/>
      <c r="D32" s="17"/>
    </row>
    <row r="33" spans="1:4" x14ac:dyDescent="0.3">
      <c r="A33" s="17"/>
      <c r="B33" s="17"/>
      <c r="C33" s="17"/>
      <c r="D33" s="17"/>
    </row>
    <row r="34" spans="1:4" x14ac:dyDescent="0.3">
      <c r="A34" s="17"/>
      <c r="B34" s="17"/>
      <c r="C34" s="17"/>
      <c r="D34" s="17"/>
    </row>
    <row r="35" spans="1:4" x14ac:dyDescent="0.3">
      <c r="A35" s="17"/>
      <c r="B35" s="17"/>
      <c r="C35" s="17"/>
      <c r="D35" s="17"/>
    </row>
    <row r="36" spans="1:4" x14ac:dyDescent="0.3">
      <c r="A36" s="17"/>
      <c r="B36" s="17"/>
      <c r="C36" s="17"/>
      <c r="D36" s="17"/>
    </row>
    <row r="37" spans="1:4" x14ac:dyDescent="0.3">
      <c r="A37" s="17"/>
      <c r="B37" s="17"/>
      <c r="C37" s="17"/>
      <c r="D37" s="17"/>
    </row>
    <row r="38" spans="1:4" x14ac:dyDescent="0.3">
      <c r="A38" s="17"/>
      <c r="B38" s="17"/>
      <c r="C38" s="17"/>
      <c r="D38" s="17"/>
    </row>
    <row r="39" spans="1:4" x14ac:dyDescent="0.3">
      <c r="A39" s="17"/>
      <c r="B39" s="17"/>
      <c r="C39" s="17"/>
      <c r="D39" s="17"/>
    </row>
    <row r="40" spans="1:4" x14ac:dyDescent="0.3">
      <c r="A40" s="17"/>
      <c r="B40" s="17"/>
      <c r="C40" s="17"/>
      <c r="D40" s="17"/>
    </row>
    <row r="41" spans="1:4" x14ac:dyDescent="0.3">
      <c r="A41" s="17"/>
      <c r="B41" s="17"/>
      <c r="C41" s="17"/>
      <c r="D41" s="17"/>
    </row>
    <row r="42" spans="1:4" x14ac:dyDescent="0.3">
      <c r="A42" s="17"/>
      <c r="B42" s="17"/>
      <c r="C42" s="17"/>
      <c r="D42" s="17"/>
    </row>
    <row r="43" spans="1:4" x14ac:dyDescent="0.3">
      <c r="A43" s="17"/>
      <c r="B43" s="17"/>
      <c r="C43" s="17"/>
      <c r="D43" s="17"/>
    </row>
    <row r="44" spans="1:4" x14ac:dyDescent="0.3">
      <c r="A44" s="17"/>
      <c r="B44" s="17"/>
      <c r="C44" s="17"/>
      <c r="D44" s="17"/>
    </row>
    <row r="45" spans="1:4" x14ac:dyDescent="0.3">
      <c r="A45" s="17"/>
      <c r="B45" s="17"/>
      <c r="C45" s="17"/>
      <c r="D45" s="17"/>
    </row>
    <row r="46" spans="1:4" x14ac:dyDescent="0.3">
      <c r="A46" s="17"/>
      <c r="B46" s="17"/>
      <c r="C46" s="17"/>
      <c r="D46" s="17"/>
    </row>
    <row r="47" spans="1:4" x14ac:dyDescent="0.3">
      <c r="A47" s="17"/>
      <c r="B47" s="17"/>
      <c r="C47" s="17"/>
      <c r="D47" s="17"/>
    </row>
    <row r="48" spans="1:4" x14ac:dyDescent="0.3">
      <c r="A48" s="17"/>
      <c r="B48" s="17"/>
      <c r="C48" s="17"/>
      <c r="D48" s="17"/>
    </row>
    <row r="49" spans="1:4" x14ac:dyDescent="0.3">
      <c r="A49" s="17"/>
      <c r="B49" s="17"/>
      <c r="C49" s="17"/>
      <c r="D49" s="17"/>
    </row>
    <row r="50" spans="1:4" x14ac:dyDescent="0.3">
      <c r="A50" s="17"/>
      <c r="B50" s="17"/>
      <c r="C50" s="17"/>
      <c r="D50" s="17"/>
    </row>
  </sheetData>
  <sheetProtection sheet="1" scenarios="1" sort="0" autoFilter="0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AJ154"/>
  <sheetViews>
    <sheetView tabSelected="1" zoomScale="88" zoomScaleNormal="77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17" sqref="L17"/>
    </sheetView>
  </sheetViews>
  <sheetFormatPr defaultColWidth="8.6640625" defaultRowHeight="14.4" x14ac:dyDescent="0.3"/>
  <cols>
    <col min="1" max="1" width="8" customWidth="1"/>
    <col min="2" max="3" width="12" customWidth="1"/>
    <col min="4" max="4" width="20" customWidth="1"/>
    <col min="5" max="5" width="12" customWidth="1"/>
    <col min="6" max="6" width="16" customWidth="1"/>
    <col min="7" max="7" width="14" customWidth="1"/>
    <col min="8" max="9" width="13" customWidth="1"/>
    <col min="10" max="10" width="12" customWidth="1"/>
    <col min="11" max="11" width="13" customWidth="1"/>
    <col min="12" max="12" width="24" customWidth="1"/>
    <col min="13" max="13" width="11" customWidth="1"/>
    <col min="14" max="14" width="10" customWidth="1"/>
    <col min="15" max="15" width="12" customWidth="1"/>
    <col min="16" max="17" width="11" customWidth="1"/>
    <col min="18" max="18" width="12" customWidth="1"/>
    <col min="19" max="19" width="11" customWidth="1"/>
    <col min="20" max="20" width="10" customWidth="1"/>
    <col min="21" max="21" width="12" customWidth="1"/>
    <col min="22" max="23" width="11" customWidth="1"/>
    <col min="24" max="24" width="12" customWidth="1"/>
    <col min="25" max="25" width="11" customWidth="1"/>
    <col min="26" max="26" width="10" customWidth="1"/>
    <col min="27" max="27" width="12" customWidth="1"/>
    <col min="28" max="29" width="11" customWidth="1"/>
    <col min="30" max="30" width="12" customWidth="1"/>
    <col min="31" max="31" width="11" customWidth="1"/>
    <col min="32" max="32" width="10" customWidth="1"/>
    <col min="33" max="33" width="12" customWidth="1"/>
    <col min="34" max="35" width="11" customWidth="1"/>
    <col min="36" max="36" width="12" customWidth="1"/>
  </cols>
  <sheetData>
    <row r="1" spans="1:36" ht="19.5" customHeight="1" x14ac:dyDescent="0.3">
      <c r="A1" s="130" t="s">
        <v>52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</row>
    <row r="2" spans="1:36" ht="30" customHeight="1" x14ac:dyDescent="0.3">
      <c r="A2" s="1" t="s">
        <v>53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33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 t="s">
        <v>68</v>
      </c>
      <c r="R2" s="2" t="s">
        <v>69</v>
      </c>
      <c r="S2" s="3" t="s">
        <v>70</v>
      </c>
      <c r="T2" s="3" t="s">
        <v>71</v>
      </c>
      <c r="U2" s="3" t="s">
        <v>72</v>
      </c>
      <c r="V2" s="3" t="s">
        <v>73</v>
      </c>
      <c r="W2" s="3" t="s">
        <v>74</v>
      </c>
      <c r="X2" s="3" t="s">
        <v>75</v>
      </c>
      <c r="Y2" s="4" t="s">
        <v>76</v>
      </c>
      <c r="Z2" s="4" t="s">
        <v>77</v>
      </c>
      <c r="AA2" s="4" t="s">
        <v>78</v>
      </c>
      <c r="AB2" s="4" t="s">
        <v>79</v>
      </c>
      <c r="AC2" s="4" t="s">
        <v>80</v>
      </c>
      <c r="AD2" s="4" t="s">
        <v>81</v>
      </c>
      <c r="AE2" s="5" t="s">
        <v>82</v>
      </c>
      <c r="AF2" s="5" t="s">
        <v>83</v>
      </c>
      <c r="AG2" s="5" t="s">
        <v>84</v>
      </c>
      <c r="AH2" s="5" t="s">
        <v>85</v>
      </c>
      <c r="AI2" s="5" t="s">
        <v>86</v>
      </c>
      <c r="AJ2" s="5" t="s">
        <v>87</v>
      </c>
    </row>
    <row r="3" spans="1:36" ht="16.5" customHeight="1" x14ac:dyDescent="0.3">
      <c r="A3" s="10">
        <v>1</v>
      </c>
      <c r="B3" s="6">
        <f t="shared" ref="B3:B18" si="0">IFERROR(IF(H3&lt;&gt;"",RANK(H3,$H$3:$H$400,1),""),"")</f>
        <v>1</v>
      </c>
      <c r="C3" s="6">
        <f t="shared" ref="C3:C18" si="1">IFERROR(IF(J3="Completed",COUNTIFS(J$3:J$400,"Completed",I$3:I$400,"&lt;"&amp;I3,I$3:I$400,"&lt;&gt;"&amp;"")+COUNTIFS(J$3:J$400,"Completed",I$3:I$400,"="&amp;I3,A$3:A$400,"&lt;="&amp;A3,I$3:I$400,"&lt;&gt;"&amp;""),""),"")</f>
        <v>1</v>
      </c>
      <c r="D3" s="12" t="s">
        <v>88</v>
      </c>
      <c r="E3" s="10" t="s">
        <v>36</v>
      </c>
      <c r="F3" s="10" t="s">
        <v>37</v>
      </c>
      <c r="G3" s="10" t="s">
        <v>38</v>
      </c>
      <c r="H3" s="14">
        <v>46137</v>
      </c>
      <c r="I3" s="14">
        <v>46137</v>
      </c>
      <c r="J3" s="6" t="str">
        <f t="shared" ref="J3:J18" si="2">IF(I3&lt;&gt;"","Completed","Pending")</f>
        <v>Completed</v>
      </c>
      <c r="K3" s="10" t="s">
        <v>39</v>
      </c>
      <c r="L3" s="12"/>
      <c r="M3" s="10">
        <v>31</v>
      </c>
      <c r="N3" s="10">
        <v>88.02</v>
      </c>
      <c r="O3" s="10">
        <v>24</v>
      </c>
      <c r="P3" s="10">
        <v>13</v>
      </c>
      <c r="Q3" s="6">
        <f t="shared" ref="Q3:Q34" si="3">IF(COUNT(O3,P3)=2, O3-P3, "")</f>
        <v>11</v>
      </c>
      <c r="R3" s="7">
        <f t="shared" ref="R3:R34" si="4">IFERROR(P3/O3,"")</f>
        <v>0.54166666666666663</v>
      </c>
      <c r="S3" s="10">
        <v>24</v>
      </c>
      <c r="T3" s="10">
        <v>90.04</v>
      </c>
      <c r="U3" s="10">
        <v>11</v>
      </c>
      <c r="V3" s="10">
        <v>8</v>
      </c>
      <c r="W3" s="6">
        <f t="shared" ref="W3:W34" si="5">IF(COUNT(U3,V3)=2, U3-V3, "")</f>
        <v>3</v>
      </c>
      <c r="X3" s="7">
        <f t="shared" ref="X3:X34" si="6">IFERROR(V3/U3,"")</f>
        <v>0.72727272727272729</v>
      </c>
      <c r="Y3" s="10">
        <v>21</v>
      </c>
      <c r="Z3" s="10">
        <v>69.81</v>
      </c>
      <c r="AA3" s="10">
        <v>9</v>
      </c>
      <c r="AB3" s="10">
        <v>7</v>
      </c>
      <c r="AC3" s="6">
        <f t="shared" ref="AC3:AC34" si="7">IF(COUNT(AA3,AB3)=2, AA3-AB3, "")</f>
        <v>2</v>
      </c>
      <c r="AD3" s="7">
        <f t="shared" ref="AD3:AD34" si="8">IFERROR(AB3/AA3,"")</f>
        <v>0.77777777777777779</v>
      </c>
      <c r="AE3" s="6">
        <f t="shared" ref="AE3:AE34" si="9">IF(AND(M3="",S3="",Y3=""),"",IFERROR(M3+S3+Y3,""))</f>
        <v>76</v>
      </c>
      <c r="AF3" s="10">
        <v>88.92</v>
      </c>
      <c r="AG3" s="6">
        <f t="shared" ref="AG3:AG34" si="10">IF(AND(O3="",U3="",AA3=""),"",IFERROR(O3+U3+AA3,""))</f>
        <v>44</v>
      </c>
      <c r="AH3" s="6">
        <f t="shared" ref="AH3:AH34" si="11">IF(AND(P3="",V3="",AB3=""),"",IFERROR(P3+V3+AB3,""))</f>
        <v>28</v>
      </c>
      <c r="AI3" s="6">
        <f t="shared" ref="AI3:AI34" si="12">IF(AND(Q3="",W3="",AC3=""),"",IFERROR(Q3+W3+AC3,""))</f>
        <v>16</v>
      </c>
      <c r="AJ3" s="7">
        <f t="shared" ref="AJ3:AJ34" si="13">IFERROR(AH3/AG3,"")</f>
        <v>0.63636363636363635</v>
      </c>
    </row>
    <row r="4" spans="1:36" ht="16.5" customHeight="1" x14ac:dyDescent="0.3">
      <c r="A4" s="11">
        <v>2</v>
      </c>
      <c r="B4" s="8">
        <f t="shared" si="0"/>
        <v>2</v>
      </c>
      <c r="C4" s="8">
        <f t="shared" si="1"/>
        <v>2</v>
      </c>
      <c r="D4" s="13" t="s">
        <v>89</v>
      </c>
      <c r="E4" s="11" t="s">
        <v>36</v>
      </c>
      <c r="F4" s="11" t="s">
        <v>37</v>
      </c>
      <c r="G4" s="11" t="s">
        <v>38</v>
      </c>
      <c r="H4" s="15">
        <v>46172</v>
      </c>
      <c r="I4" s="15">
        <v>46172</v>
      </c>
      <c r="J4" s="8" t="str">
        <f t="shared" si="2"/>
        <v>Completed</v>
      </c>
      <c r="K4" s="11" t="s">
        <v>39</v>
      </c>
      <c r="L4" s="13"/>
      <c r="M4" s="11">
        <v>35</v>
      </c>
      <c r="N4" s="11">
        <v>92.72</v>
      </c>
      <c r="O4" s="11">
        <v>24</v>
      </c>
      <c r="P4" s="11">
        <v>14</v>
      </c>
      <c r="Q4" s="6">
        <f t="shared" si="3"/>
        <v>10</v>
      </c>
      <c r="R4" s="9">
        <f t="shared" si="4"/>
        <v>0.58333333333333337</v>
      </c>
      <c r="S4" s="11">
        <v>36</v>
      </c>
      <c r="T4" s="11">
        <v>94.69</v>
      </c>
      <c r="U4" s="11">
        <v>12</v>
      </c>
      <c r="V4" s="11">
        <v>12</v>
      </c>
      <c r="W4" s="6">
        <f t="shared" si="5"/>
        <v>0</v>
      </c>
      <c r="X4" s="9">
        <f t="shared" si="6"/>
        <v>1</v>
      </c>
      <c r="Y4" s="11">
        <v>24</v>
      </c>
      <c r="Z4" s="11">
        <v>85.41</v>
      </c>
      <c r="AA4" s="11">
        <v>8</v>
      </c>
      <c r="AB4" s="11">
        <v>8</v>
      </c>
      <c r="AC4" s="6">
        <f t="shared" si="7"/>
        <v>0</v>
      </c>
      <c r="AD4" s="9">
        <f t="shared" si="8"/>
        <v>1</v>
      </c>
      <c r="AE4" s="8">
        <f t="shared" si="9"/>
        <v>95</v>
      </c>
      <c r="AF4" s="11">
        <v>94.98</v>
      </c>
      <c r="AG4" s="8">
        <f t="shared" si="10"/>
        <v>44</v>
      </c>
      <c r="AH4" s="8">
        <f t="shared" si="11"/>
        <v>34</v>
      </c>
      <c r="AI4" s="8">
        <f t="shared" si="12"/>
        <v>10</v>
      </c>
      <c r="AJ4" s="9">
        <f t="shared" si="13"/>
        <v>0.77272727272727271</v>
      </c>
    </row>
    <row r="5" spans="1:36" ht="16.5" customHeight="1" x14ac:dyDescent="0.3">
      <c r="A5" s="10">
        <v>3</v>
      </c>
      <c r="B5" s="6">
        <f t="shared" si="0"/>
        <v>3</v>
      </c>
      <c r="C5" s="6">
        <f t="shared" si="1"/>
        <v>3</v>
      </c>
      <c r="D5" s="12" t="s">
        <v>90</v>
      </c>
      <c r="E5" s="10" t="s">
        <v>36</v>
      </c>
      <c r="F5" s="10" t="s">
        <v>37</v>
      </c>
      <c r="G5" s="10" t="s">
        <v>38</v>
      </c>
      <c r="H5" s="14">
        <v>46173</v>
      </c>
      <c r="I5" s="14">
        <v>46173</v>
      </c>
      <c r="J5" s="6" t="str">
        <f t="shared" si="2"/>
        <v>Completed</v>
      </c>
      <c r="K5" s="10" t="s">
        <v>39</v>
      </c>
      <c r="L5" s="12"/>
      <c r="M5" s="10">
        <v>49</v>
      </c>
      <c r="N5" s="10">
        <v>99.09</v>
      </c>
      <c r="O5" s="10">
        <v>24</v>
      </c>
      <c r="P5" s="10">
        <v>18</v>
      </c>
      <c r="Q5" s="6">
        <f t="shared" si="3"/>
        <v>6</v>
      </c>
      <c r="R5" s="7">
        <f t="shared" si="4"/>
        <v>0.75</v>
      </c>
      <c r="S5" s="10">
        <v>21</v>
      </c>
      <c r="T5" s="10">
        <v>91.49</v>
      </c>
      <c r="U5" s="10">
        <v>9</v>
      </c>
      <c r="V5" s="10">
        <v>7</v>
      </c>
      <c r="W5" s="6">
        <f t="shared" si="5"/>
        <v>2</v>
      </c>
      <c r="X5" s="7">
        <f t="shared" si="6"/>
        <v>0.77777777777777779</v>
      </c>
      <c r="Y5" s="10">
        <v>13</v>
      </c>
      <c r="Z5" s="10">
        <v>62.2</v>
      </c>
      <c r="AA5" s="10">
        <v>8</v>
      </c>
      <c r="AB5" s="10">
        <v>5</v>
      </c>
      <c r="AC5" s="6">
        <f t="shared" si="7"/>
        <v>3</v>
      </c>
      <c r="AD5" s="7">
        <f t="shared" si="8"/>
        <v>0.625</v>
      </c>
      <c r="AE5" s="6">
        <f t="shared" si="9"/>
        <v>83</v>
      </c>
      <c r="AF5" s="10">
        <v>95.61</v>
      </c>
      <c r="AG5" s="6">
        <f t="shared" si="10"/>
        <v>41</v>
      </c>
      <c r="AH5" s="6">
        <f t="shared" si="11"/>
        <v>30</v>
      </c>
      <c r="AI5" s="6">
        <f t="shared" si="12"/>
        <v>11</v>
      </c>
      <c r="AJ5" s="7">
        <f t="shared" si="13"/>
        <v>0.73170731707317072</v>
      </c>
    </row>
    <row r="6" spans="1:36" ht="16.5" customHeight="1" x14ac:dyDescent="0.3">
      <c r="A6" s="11">
        <v>4</v>
      </c>
      <c r="B6" s="8">
        <f t="shared" si="0"/>
        <v>4</v>
      </c>
      <c r="C6" s="8">
        <f t="shared" si="1"/>
        <v>4</v>
      </c>
      <c r="D6" s="13" t="s">
        <v>91</v>
      </c>
      <c r="E6" s="11" t="s">
        <v>36</v>
      </c>
      <c r="F6" s="11" t="s">
        <v>41</v>
      </c>
      <c r="G6" s="11" t="s">
        <v>41</v>
      </c>
      <c r="H6" s="15">
        <v>46179</v>
      </c>
      <c r="I6" s="15">
        <v>46179</v>
      </c>
      <c r="J6" s="8" t="str">
        <f t="shared" si="2"/>
        <v>Completed</v>
      </c>
      <c r="K6" s="11" t="s">
        <v>39</v>
      </c>
      <c r="L6" s="13"/>
      <c r="M6" s="11">
        <v>34</v>
      </c>
      <c r="N6" s="11">
        <v>90.5</v>
      </c>
      <c r="O6" s="11">
        <v>24</v>
      </c>
      <c r="P6" s="11">
        <v>14</v>
      </c>
      <c r="Q6" s="6">
        <f t="shared" si="3"/>
        <v>10</v>
      </c>
      <c r="R6" s="9">
        <f t="shared" si="4"/>
        <v>0.58333333333333337</v>
      </c>
      <c r="S6" s="11">
        <v>13</v>
      </c>
      <c r="T6" s="11">
        <v>62.87</v>
      </c>
      <c r="U6" s="11">
        <v>8</v>
      </c>
      <c r="V6" s="11">
        <v>5</v>
      </c>
      <c r="W6" s="6">
        <f t="shared" si="5"/>
        <v>3</v>
      </c>
      <c r="X6" s="9">
        <f t="shared" si="6"/>
        <v>0.625</v>
      </c>
      <c r="Y6" s="11">
        <v>23</v>
      </c>
      <c r="Z6" s="11">
        <v>74.39</v>
      </c>
      <c r="AA6" s="11">
        <v>9</v>
      </c>
      <c r="AB6" s="11">
        <v>8</v>
      </c>
      <c r="AC6" s="6">
        <f t="shared" si="7"/>
        <v>1</v>
      </c>
      <c r="AD6" s="9">
        <f t="shared" si="8"/>
        <v>0.88888888888888884</v>
      </c>
      <c r="AE6" s="8">
        <f t="shared" si="9"/>
        <v>70</v>
      </c>
      <c r="AF6" s="11">
        <v>84.3</v>
      </c>
      <c r="AG6" s="8">
        <f t="shared" si="10"/>
        <v>41</v>
      </c>
      <c r="AH6" s="8">
        <f t="shared" si="11"/>
        <v>27</v>
      </c>
      <c r="AI6" s="8">
        <f t="shared" si="12"/>
        <v>14</v>
      </c>
      <c r="AJ6" s="9">
        <f t="shared" si="13"/>
        <v>0.65853658536585369</v>
      </c>
    </row>
    <row r="7" spans="1:36" ht="16.5" customHeight="1" x14ac:dyDescent="0.3">
      <c r="A7" s="10">
        <v>5</v>
      </c>
      <c r="B7" s="6">
        <f t="shared" si="0"/>
        <v>5</v>
      </c>
      <c r="C7" s="6">
        <f t="shared" si="1"/>
        <v>5</v>
      </c>
      <c r="D7" s="12" t="s">
        <v>92</v>
      </c>
      <c r="E7" s="10" t="s">
        <v>36</v>
      </c>
      <c r="F7" s="10" t="s">
        <v>37</v>
      </c>
      <c r="G7" s="10" t="s">
        <v>38</v>
      </c>
      <c r="H7" s="14">
        <v>46186</v>
      </c>
      <c r="I7" s="14">
        <v>46186</v>
      </c>
      <c r="J7" s="6" t="str">
        <f t="shared" si="2"/>
        <v>Completed</v>
      </c>
      <c r="K7" s="10" t="s">
        <v>39</v>
      </c>
      <c r="L7" s="12"/>
      <c r="M7" s="10">
        <v>49</v>
      </c>
      <c r="N7" s="10">
        <v>98.79</v>
      </c>
      <c r="O7" s="10">
        <v>24</v>
      </c>
      <c r="P7" s="10">
        <v>18</v>
      </c>
      <c r="Q7" s="6">
        <f t="shared" si="3"/>
        <v>6</v>
      </c>
      <c r="R7" s="7">
        <f t="shared" si="4"/>
        <v>0.75</v>
      </c>
      <c r="S7" s="10">
        <v>29</v>
      </c>
      <c r="T7" s="10">
        <v>91.89</v>
      </c>
      <c r="U7" s="10">
        <v>12</v>
      </c>
      <c r="V7" s="10">
        <v>10</v>
      </c>
      <c r="W7" s="6">
        <f t="shared" si="5"/>
        <v>2</v>
      </c>
      <c r="X7" s="7">
        <f t="shared" si="6"/>
        <v>0.83333333333333337</v>
      </c>
      <c r="Y7" s="10">
        <v>10</v>
      </c>
      <c r="Z7" s="10">
        <v>54.89</v>
      </c>
      <c r="AA7" s="10">
        <v>10</v>
      </c>
      <c r="AB7" s="10">
        <v>4</v>
      </c>
      <c r="AC7" s="6">
        <f t="shared" si="7"/>
        <v>6</v>
      </c>
      <c r="AD7" s="7">
        <f t="shared" si="8"/>
        <v>0.4</v>
      </c>
      <c r="AE7" s="6">
        <f t="shared" si="9"/>
        <v>88</v>
      </c>
      <c r="AF7" s="10">
        <v>94.82</v>
      </c>
      <c r="AG7" s="6">
        <f t="shared" si="10"/>
        <v>46</v>
      </c>
      <c r="AH7" s="6">
        <f t="shared" si="11"/>
        <v>32</v>
      </c>
      <c r="AI7" s="6">
        <f t="shared" si="12"/>
        <v>14</v>
      </c>
      <c r="AJ7" s="7">
        <f t="shared" si="13"/>
        <v>0.69565217391304346</v>
      </c>
    </row>
    <row r="8" spans="1:36" ht="16.5" customHeight="1" x14ac:dyDescent="0.3">
      <c r="A8" s="11">
        <v>6</v>
      </c>
      <c r="B8" s="8">
        <f t="shared" si="0"/>
        <v>6</v>
      </c>
      <c r="C8" s="8">
        <f t="shared" si="1"/>
        <v>6</v>
      </c>
      <c r="D8" s="13" t="s">
        <v>93</v>
      </c>
      <c r="E8" s="11" t="s">
        <v>36</v>
      </c>
      <c r="F8" s="11" t="s">
        <v>41</v>
      </c>
      <c r="G8" s="11" t="s">
        <v>41</v>
      </c>
      <c r="H8" s="15">
        <v>46191</v>
      </c>
      <c r="I8" s="15">
        <v>46191</v>
      </c>
      <c r="J8" s="8" t="str">
        <f t="shared" si="2"/>
        <v>Completed</v>
      </c>
      <c r="K8" s="11" t="s">
        <v>39</v>
      </c>
      <c r="L8" s="13"/>
      <c r="M8" s="11">
        <v>50</v>
      </c>
      <c r="N8" s="11">
        <v>99.62</v>
      </c>
      <c r="O8" s="11">
        <v>24</v>
      </c>
      <c r="P8" s="11">
        <v>18</v>
      </c>
      <c r="Q8" s="6">
        <f t="shared" si="3"/>
        <v>6</v>
      </c>
      <c r="R8" s="9">
        <f t="shared" si="4"/>
        <v>0.75</v>
      </c>
      <c r="S8" s="11">
        <v>23</v>
      </c>
      <c r="T8" s="11">
        <v>75.739999999999995</v>
      </c>
      <c r="U8" s="11">
        <v>9</v>
      </c>
      <c r="V8" s="11">
        <v>8</v>
      </c>
      <c r="W8" s="6">
        <f t="shared" si="5"/>
        <v>1</v>
      </c>
      <c r="X8" s="9">
        <f t="shared" si="6"/>
        <v>0.88888888888888884</v>
      </c>
      <c r="Y8" s="11">
        <v>10</v>
      </c>
      <c r="Z8" s="11">
        <v>45.38</v>
      </c>
      <c r="AA8" s="11">
        <v>10</v>
      </c>
      <c r="AB8" s="11">
        <v>4</v>
      </c>
      <c r="AC8" s="6">
        <f t="shared" si="7"/>
        <v>6</v>
      </c>
      <c r="AD8" s="9">
        <f t="shared" si="8"/>
        <v>0.4</v>
      </c>
      <c r="AE8" s="8">
        <f t="shared" si="9"/>
        <v>83</v>
      </c>
      <c r="AF8" s="11">
        <v>94.57</v>
      </c>
      <c r="AG8" s="8">
        <f t="shared" si="10"/>
        <v>43</v>
      </c>
      <c r="AH8" s="8">
        <f t="shared" si="11"/>
        <v>30</v>
      </c>
      <c r="AI8" s="8">
        <f t="shared" si="12"/>
        <v>13</v>
      </c>
      <c r="AJ8" s="9">
        <f t="shared" si="13"/>
        <v>0.69767441860465118</v>
      </c>
    </row>
    <row r="9" spans="1:36" ht="16.5" customHeight="1" x14ac:dyDescent="0.3">
      <c r="A9" s="10">
        <v>7</v>
      </c>
      <c r="B9" s="6">
        <f t="shared" si="0"/>
        <v>7</v>
      </c>
      <c r="C9" s="6">
        <f t="shared" si="1"/>
        <v>9</v>
      </c>
      <c r="D9" s="12" t="s">
        <v>94</v>
      </c>
      <c r="E9" s="10" t="s">
        <v>36</v>
      </c>
      <c r="F9" s="10" t="s">
        <v>44</v>
      </c>
      <c r="G9" s="10" t="s">
        <v>45</v>
      </c>
      <c r="H9" s="14">
        <v>46193</v>
      </c>
      <c r="I9" s="14">
        <v>46204</v>
      </c>
      <c r="J9" s="6" t="str">
        <f t="shared" si="2"/>
        <v>Completed</v>
      </c>
      <c r="K9" s="10" t="s">
        <v>39</v>
      </c>
      <c r="L9" s="12"/>
      <c r="M9" s="10">
        <v>31</v>
      </c>
      <c r="N9" s="10"/>
      <c r="O9" s="10">
        <v>24</v>
      </c>
      <c r="P9" s="10">
        <v>14</v>
      </c>
      <c r="Q9" s="6">
        <f t="shared" si="3"/>
        <v>10</v>
      </c>
      <c r="R9" s="7">
        <f t="shared" si="4"/>
        <v>0.58333333333333337</v>
      </c>
      <c r="S9" s="10">
        <v>27</v>
      </c>
      <c r="T9" s="10"/>
      <c r="U9" s="10">
        <v>12</v>
      </c>
      <c r="V9" s="10">
        <v>9</v>
      </c>
      <c r="W9" s="6">
        <f t="shared" si="5"/>
        <v>3</v>
      </c>
      <c r="X9" s="7">
        <f t="shared" si="6"/>
        <v>0.75</v>
      </c>
      <c r="Y9" s="10">
        <v>24</v>
      </c>
      <c r="Z9" s="10"/>
      <c r="AA9" s="10">
        <v>14</v>
      </c>
      <c r="AB9" s="10">
        <v>8</v>
      </c>
      <c r="AC9" s="6">
        <f t="shared" si="7"/>
        <v>6</v>
      </c>
      <c r="AD9" s="7">
        <f t="shared" si="8"/>
        <v>0.5714285714285714</v>
      </c>
      <c r="AE9" s="6">
        <f t="shared" si="9"/>
        <v>82</v>
      </c>
      <c r="AF9" s="10"/>
      <c r="AG9" s="6">
        <f t="shared" si="10"/>
        <v>50</v>
      </c>
      <c r="AH9" s="6">
        <f t="shared" si="11"/>
        <v>31</v>
      </c>
      <c r="AI9" s="6">
        <f t="shared" si="12"/>
        <v>19</v>
      </c>
      <c r="AJ9" s="7">
        <f t="shared" si="13"/>
        <v>0.62</v>
      </c>
    </row>
    <row r="10" spans="1:36" ht="16.5" customHeight="1" x14ac:dyDescent="0.3">
      <c r="A10" s="11">
        <v>8</v>
      </c>
      <c r="B10" s="8">
        <f t="shared" si="0"/>
        <v>8</v>
      </c>
      <c r="C10" s="8">
        <f t="shared" si="1"/>
        <v>7</v>
      </c>
      <c r="D10" s="13" t="s">
        <v>95</v>
      </c>
      <c r="E10" s="11" t="s">
        <v>36</v>
      </c>
      <c r="F10" s="11" t="s">
        <v>41</v>
      </c>
      <c r="G10" s="11" t="s">
        <v>41</v>
      </c>
      <c r="H10" s="15">
        <v>46198</v>
      </c>
      <c r="I10" s="15">
        <v>46198</v>
      </c>
      <c r="J10" s="8" t="str">
        <f t="shared" si="2"/>
        <v>Completed</v>
      </c>
      <c r="K10" s="11" t="s">
        <v>39</v>
      </c>
      <c r="L10" s="13"/>
      <c r="M10" s="11">
        <v>45</v>
      </c>
      <c r="N10" s="11">
        <v>99.91</v>
      </c>
      <c r="O10" s="11">
        <v>24</v>
      </c>
      <c r="P10" s="11">
        <v>17</v>
      </c>
      <c r="Q10" s="6">
        <f t="shared" si="3"/>
        <v>7</v>
      </c>
      <c r="R10" s="9">
        <f t="shared" si="4"/>
        <v>0.70833333333333337</v>
      </c>
      <c r="S10" s="11">
        <v>3</v>
      </c>
      <c r="T10" s="11">
        <v>33.840000000000003</v>
      </c>
      <c r="U10" s="11">
        <v>9</v>
      </c>
      <c r="V10" s="11">
        <v>2</v>
      </c>
      <c r="W10" s="6">
        <f t="shared" si="5"/>
        <v>7</v>
      </c>
      <c r="X10" s="9">
        <f t="shared" si="6"/>
        <v>0.22222222222222221</v>
      </c>
      <c r="Y10" s="11">
        <v>20</v>
      </c>
      <c r="Z10" s="11">
        <v>83.13</v>
      </c>
      <c r="AA10" s="11">
        <v>13</v>
      </c>
      <c r="AB10" s="11">
        <v>7</v>
      </c>
      <c r="AC10" s="6">
        <f t="shared" si="7"/>
        <v>6</v>
      </c>
      <c r="AD10" s="9">
        <f t="shared" si="8"/>
        <v>0.53846153846153844</v>
      </c>
      <c r="AE10" s="8">
        <f t="shared" si="9"/>
        <v>68</v>
      </c>
      <c r="AF10" s="11">
        <v>98.37</v>
      </c>
      <c r="AG10" s="8">
        <f t="shared" si="10"/>
        <v>46</v>
      </c>
      <c r="AH10" s="8">
        <f t="shared" si="11"/>
        <v>26</v>
      </c>
      <c r="AI10" s="8">
        <f t="shared" si="12"/>
        <v>20</v>
      </c>
      <c r="AJ10" s="9">
        <f t="shared" si="13"/>
        <v>0.56521739130434778</v>
      </c>
    </row>
    <row r="11" spans="1:36" ht="16.5" customHeight="1" x14ac:dyDescent="0.3">
      <c r="A11" s="10">
        <v>9</v>
      </c>
      <c r="B11" s="6">
        <f t="shared" si="0"/>
        <v>9</v>
      </c>
      <c r="C11" s="6">
        <f t="shared" si="1"/>
        <v>8</v>
      </c>
      <c r="D11" s="12" t="s">
        <v>96</v>
      </c>
      <c r="E11" s="10" t="s">
        <v>36</v>
      </c>
      <c r="F11" s="10" t="s">
        <v>37</v>
      </c>
      <c r="G11" s="10" t="s">
        <v>38</v>
      </c>
      <c r="H11" s="14">
        <v>46201</v>
      </c>
      <c r="I11" s="14">
        <v>46201</v>
      </c>
      <c r="J11" s="6" t="str">
        <f t="shared" si="2"/>
        <v>Completed</v>
      </c>
      <c r="K11" s="10" t="s">
        <v>39</v>
      </c>
      <c r="L11" s="12"/>
      <c r="M11" s="10">
        <v>40</v>
      </c>
      <c r="N11" s="10">
        <v>98.12</v>
      </c>
      <c r="O11" s="10">
        <v>24</v>
      </c>
      <c r="P11" s="10">
        <v>15</v>
      </c>
      <c r="Q11" s="6">
        <f t="shared" si="3"/>
        <v>9</v>
      </c>
      <c r="R11" s="7">
        <f t="shared" si="4"/>
        <v>0.625</v>
      </c>
      <c r="S11" s="10">
        <v>15</v>
      </c>
      <c r="T11" s="10">
        <v>76.03</v>
      </c>
      <c r="U11" s="10">
        <v>15</v>
      </c>
      <c r="V11" s="10">
        <v>6</v>
      </c>
      <c r="W11" s="6">
        <f t="shared" si="5"/>
        <v>9</v>
      </c>
      <c r="X11" s="7">
        <f t="shared" si="6"/>
        <v>0.4</v>
      </c>
      <c r="Y11" s="10">
        <v>36</v>
      </c>
      <c r="Z11" s="10">
        <v>96.81</v>
      </c>
      <c r="AA11" s="10">
        <v>15</v>
      </c>
      <c r="AB11" s="10">
        <v>12</v>
      </c>
      <c r="AC11" s="6">
        <f t="shared" si="7"/>
        <v>3</v>
      </c>
      <c r="AD11" s="7">
        <f t="shared" si="8"/>
        <v>0.8</v>
      </c>
      <c r="AE11" s="6">
        <f t="shared" si="9"/>
        <v>91</v>
      </c>
      <c r="AF11" s="10">
        <v>97.35</v>
      </c>
      <c r="AG11" s="6">
        <f t="shared" si="10"/>
        <v>54</v>
      </c>
      <c r="AH11" s="6">
        <f t="shared" si="11"/>
        <v>33</v>
      </c>
      <c r="AI11" s="6">
        <f t="shared" si="12"/>
        <v>21</v>
      </c>
      <c r="AJ11" s="7">
        <f t="shared" si="13"/>
        <v>0.61111111111111116</v>
      </c>
    </row>
    <row r="12" spans="1:36" ht="16.5" customHeight="1" x14ac:dyDescent="0.3">
      <c r="A12" s="11">
        <v>10</v>
      </c>
      <c r="B12" s="8">
        <f t="shared" si="0"/>
        <v>10</v>
      </c>
      <c r="C12" s="8">
        <f t="shared" si="1"/>
        <v>10</v>
      </c>
      <c r="D12" s="13" t="s">
        <v>97</v>
      </c>
      <c r="E12" s="11" t="s">
        <v>36</v>
      </c>
      <c r="F12" s="11" t="s">
        <v>41</v>
      </c>
      <c r="G12" s="11" t="s">
        <v>41</v>
      </c>
      <c r="H12" s="15">
        <v>46207</v>
      </c>
      <c r="I12" s="15">
        <v>46216</v>
      </c>
      <c r="J12" s="8" t="str">
        <f t="shared" si="2"/>
        <v>Completed</v>
      </c>
      <c r="K12" s="11" t="s">
        <v>39</v>
      </c>
      <c r="L12" s="13"/>
      <c r="M12" s="11">
        <v>20</v>
      </c>
      <c r="N12" s="11">
        <v>65.510000000000005</v>
      </c>
      <c r="O12" s="11">
        <v>24</v>
      </c>
      <c r="P12" s="11">
        <v>10</v>
      </c>
      <c r="Q12" s="6">
        <f t="shared" si="3"/>
        <v>14</v>
      </c>
      <c r="R12" s="9">
        <f t="shared" si="4"/>
        <v>0.41666666666666669</v>
      </c>
      <c r="S12" s="11">
        <v>16</v>
      </c>
      <c r="T12" s="11">
        <v>83.74</v>
      </c>
      <c r="U12" s="11">
        <v>13</v>
      </c>
      <c r="V12" s="11">
        <v>6</v>
      </c>
      <c r="W12" s="6">
        <f t="shared" si="5"/>
        <v>7</v>
      </c>
      <c r="X12" s="9">
        <f t="shared" si="6"/>
        <v>0.46153846153846156</v>
      </c>
      <c r="Y12" s="11">
        <v>19</v>
      </c>
      <c r="Z12" s="11">
        <v>69.819999999999993</v>
      </c>
      <c r="AA12" s="11">
        <v>13</v>
      </c>
      <c r="AB12" s="11">
        <v>7</v>
      </c>
      <c r="AC12" s="6">
        <f t="shared" si="7"/>
        <v>6</v>
      </c>
      <c r="AD12" s="9">
        <f t="shared" si="8"/>
        <v>0.53846153846153844</v>
      </c>
      <c r="AE12" s="8">
        <f t="shared" si="9"/>
        <v>55</v>
      </c>
      <c r="AF12" s="11">
        <v>79.22</v>
      </c>
      <c r="AG12" s="8">
        <f t="shared" si="10"/>
        <v>50</v>
      </c>
      <c r="AH12" s="8">
        <f t="shared" si="11"/>
        <v>23</v>
      </c>
      <c r="AI12" s="8">
        <f t="shared" si="12"/>
        <v>27</v>
      </c>
      <c r="AJ12" s="9">
        <f t="shared" si="13"/>
        <v>0.46</v>
      </c>
    </row>
    <row r="13" spans="1:36" ht="16.5" customHeight="1" x14ac:dyDescent="0.3">
      <c r="A13" s="10">
        <v>11</v>
      </c>
      <c r="B13" s="6">
        <f t="shared" si="0"/>
        <v>11</v>
      </c>
      <c r="C13" s="6" t="str">
        <f t="shared" si="1"/>
        <v/>
      </c>
      <c r="D13" s="12" t="s">
        <v>98</v>
      </c>
      <c r="E13" s="10" t="s">
        <v>36</v>
      </c>
      <c r="F13" s="10" t="s">
        <v>44</v>
      </c>
      <c r="G13" s="10" t="s">
        <v>45</v>
      </c>
      <c r="H13" s="14">
        <v>46211</v>
      </c>
      <c r="I13" s="14"/>
      <c r="J13" s="6" t="str">
        <f t="shared" si="2"/>
        <v>Pending</v>
      </c>
      <c r="K13" s="10" t="s">
        <v>42</v>
      </c>
      <c r="L13" s="12"/>
      <c r="M13" s="10"/>
      <c r="N13" s="10"/>
      <c r="O13" s="10"/>
      <c r="P13" s="10"/>
      <c r="Q13" s="6" t="str">
        <f t="shared" si="3"/>
        <v/>
      </c>
      <c r="R13" s="7" t="str">
        <f t="shared" si="4"/>
        <v/>
      </c>
      <c r="S13" s="10"/>
      <c r="T13" s="10"/>
      <c r="U13" s="10"/>
      <c r="V13" s="10"/>
      <c r="W13" s="6" t="str">
        <f t="shared" si="5"/>
        <v/>
      </c>
      <c r="X13" s="7" t="str">
        <f t="shared" si="6"/>
        <v/>
      </c>
      <c r="Y13" s="10"/>
      <c r="Z13" s="10"/>
      <c r="AA13" s="10"/>
      <c r="AB13" s="10"/>
      <c r="AC13" s="6" t="str">
        <f t="shared" si="7"/>
        <v/>
      </c>
      <c r="AD13" s="7" t="str">
        <f t="shared" si="8"/>
        <v/>
      </c>
      <c r="AE13" s="6" t="str">
        <f t="shared" si="9"/>
        <v/>
      </c>
      <c r="AF13" s="10"/>
      <c r="AG13" s="6" t="str">
        <f t="shared" si="10"/>
        <v/>
      </c>
      <c r="AH13" s="6" t="str">
        <f t="shared" si="11"/>
        <v/>
      </c>
      <c r="AI13" s="6" t="str">
        <f t="shared" si="12"/>
        <v/>
      </c>
      <c r="AJ13" s="7" t="str">
        <f t="shared" si="13"/>
        <v/>
      </c>
    </row>
    <row r="14" spans="1:36" ht="16.5" customHeight="1" x14ac:dyDescent="0.3">
      <c r="A14" s="11">
        <v>12</v>
      </c>
      <c r="B14" s="8">
        <f t="shared" si="0"/>
        <v>12</v>
      </c>
      <c r="C14" s="8" t="str">
        <f t="shared" si="1"/>
        <v/>
      </c>
      <c r="D14" s="13" t="s">
        <v>99</v>
      </c>
      <c r="E14" s="11" t="s">
        <v>36</v>
      </c>
      <c r="F14" s="11" t="s">
        <v>37</v>
      </c>
      <c r="G14" s="11" t="s">
        <v>38</v>
      </c>
      <c r="H14" s="15">
        <v>46213</v>
      </c>
      <c r="I14" s="15"/>
      <c r="J14" s="8" t="str">
        <f t="shared" si="2"/>
        <v>Pending</v>
      </c>
      <c r="K14" s="11" t="s">
        <v>42</v>
      </c>
      <c r="L14" s="13"/>
      <c r="M14" s="11"/>
      <c r="N14" s="11"/>
      <c r="O14" s="11"/>
      <c r="P14" s="11"/>
      <c r="Q14" s="6" t="str">
        <f t="shared" si="3"/>
        <v/>
      </c>
      <c r="R14" s="9" t="str">
        <f t="shared" si="4"/>
        <v/>
      </c>
      <c r="S14" s="11"/>
      <c r="T14" s="11"/>
      <c r="U14" s="11"/>
      <c r="V14" s="11"/>
      <c r="W14" s="6" t="str">
        <f t="shared" si="5"/>
        <v/>
      </c>
      <c r="X14" s="9" t="str">
        <f t="shared" si="6"/>
        <v/>
      </c>
      <c r="Y14" s="11"/>
      <c r="Z14" s="11"/>
      <c r="AA14" s="11"/>
      <c r="AB14" s="11"/>
      <c r="AC14" s="6" t="str">
        <f t="shared" si="7"/>
        <v/>
      </c>
      <c r="AD14" s="9" t="str">
        <f t="shared" si="8"/>
        <v/>
      </c>
      <c r="AE14" s="8" t="str">
        <f t="shared" si="9"/>
        <v/>
      </c>
      <c r="AF14" s="11"/>
      <c r="AG14" s="8" t="str">
        <f t="shared" si="10"/>
        <v/>
      </c>
      <c r="AH14" s="8" t="str">
        <f t="shared" si="11"/>
        <v/>
      </c>
      <c r="AI14" s="8" t="str">
        <f t="shared" si="12"/>
        <v/>
      </c>
      <c r="AJ14" s="9" t="str">
        <f t="shared" si="13"/>
        <v/>
      </c>
    </row>
    <row r="15" spans="1:36" ht="16.5" customHeight="1" x14ac:dyDescent="0.3">
      <c r="A15" s="10">
        <v>13</v>
      </c>
      <c r="B15" s="6">
        <f t="shared" si="0"/>
        <v>13</v>
      </c>
      <c r="C15" s="6" t="str">
        <f t="shared" si="1"/>
        <v/>
      </c>
      <c r="D15" s="12" t="s">
        <v>100</v>
      </c>
      <c r="E15" s="10" t="s">
        <v>36</v>
      </c>
      <c r="F15" s="10" t="s">
        <v>41</v>
      </c>
      <c r="G15" s="10" t="s">
        <v>41</v>
      </c>
      <c r="H15" s="14">
        <v>46218</v>
      </c>
      <c r="I15" s="14"/>
      <c r="J15" s="6" t="str">
        <f t="shared" si="2"/>
        <v>Pending</v>
      </c>
      <c r="K15" s="10" t="s">
        <v>42</v>
      </c>
      <c r="L15" s="12"/>
      <c r="M15" s="10"/>
      <c r="N15" s="10"/>
      <c r="O15" s="10"/>
      <c r="P15" s="10"/>
      <c r="Q15" s="6" t="str">
        <f t="shared" si="3"/>
        <v/>
      </c>
      <c r="R15" s="7" t="str">
        <f t="shared" si="4"/>
        <v/>
      </c>
      <c r="S15" s="10"/>
      <c r="T15" s="10"/>
      <c r="U15" s="10"/>
      <c r="V15" s="10"/>
      <c r="W15" s="6" t="str">
        <f t="shared" si="5"/>
        <v/>
      </c>
      <c r="X15" s="7" t="str">
        <f t="shared" si="6"/>
        <v/>
      </c>
      <c r="Y15" s="10"/>
      <c r="Z15" s="10"/>
      <c r="AA15" s="10"/>
      <c r="AB15" s="10"/>
      <c r="AC15" s="6" t="str">
        <f t="shared" si="7"/>
        <v/>
      </c>
      <c r="AD15" s="7" t="str">
        <f t="shared" si="8"/>
        <v/>
      </c>
      <c r="AE15" s="6" t="str">
        <f t="shared" si="9"/>
        <v/>
      </c>
      <c r="AF15" s="10"/>
      <c r="AG15" s="6" t="str">
        <f t="shared" si="10"/>
        <v/>
      </c>
      <c r="AH15" s="6" t="str">
        <f t="shared" si="11"/>
        <v/>
      </c>
      <c r="AI15" s="6" t="str">
        <f t="shared" si="12"/>
        <v/>
      </c>
      <c r="AJ15" s="7" t="str">
        <f t="shared" si="13"/>
        <v/>
      </c>
    </row>
    <row r="16" spans="1:36" ht="16.5" customHeight="1" x14ac:dyDescent="0.3">
      <c r="A16" s="11">
        <v>14</v>
      </c>
      <c r="B16" s="8">
        <f t="shared" si="0"/>
        <v>14</v>
      </c>
      <c r="C16" s="8" t="str">
        <f t="shared" si="1"/>
        <v/>
      </c>
      <c r="D16" s="13" t="s">
        <v>101</v>
      </c>
      <c r="E16" s="11" t="s">
        <v>36</v>
      </c>
      <c r="F16" s="11" t="s">
        <v>37</v>
      </c>
      <c r="G16" s="11" t="s">
        <v>38</v>
      </c>
      <c r="H16" s="15">
        <v>46220</v>
      </c>
      <c r="I16" s="15"/>
      <c r="J16" s="8" t="str">
        <f t="shared" si="2"/>
        <v>Pending</v>
      </c>
      <c r="K16" s="11" t="s">
        <v>42</v>
      </c>
      <c r="L16" s="13"/>
      <c r="M16" s="11"/>
      <c r="N16" s="11"/>
      <c r="O16" s="11"/>
      <c r="P16" s="11"/>
      <c r="Q16" s="6" t="str">
        <f t="shared" si="3"/>
        <v/>
      </c>
      <c r="R16" s="9" t="str">
        <f t="shared" si="4"/>
        <v/>
      </c>
      <c r="S16" s="11"/>
      <c r="T16" s="11"/>
      <c r="U16" s="11"/>
      <c r="V16" s="11"/>
      <c r="W16" s="6" t="str">
        <f t="shared" si="5"/>
        <v/>
      </c>
      <c r="X16" s="9" t="str">
        <f t="shared" si="6"/>
        <v/>
      </c>
      <c r="Y16" s="11"/>
      <c r="Z16" s="11"/>
      <c r="AA16" s="11"/>
      <c r="AB16" s="11"/>
      <c r="AC16" s="6" t="str">
        <f t="shared" si="7"/>
        <v/>
      </c>
      <c r="AD16" s="9" t="str">
        <f t="shared" si="8"/>
        <v/>
      </c>
      <c r="AE16" s="8" t="str">
        <f t="shared" si="9"/>
        <v/>
      </c>
      <c r="AF16" s="11"/>
      <c r="AG16" s="8" t="str">
        <f t="shared" si="10"/>
        <v/>
      </c>
      <c r="AH16" s="8" t="str">
        <f t="shared" si="11"/>
        <v/>
      </c>
      <c r="AI16" s="8" t="str">
        <f t="shared" si="12"/>
        <v/>
      </c>
      <c r="AJ16" s="9" t="str">
        <f t="shared" si="13"/>
        <v/>
      </c>
    </row>
    <row r="17" spans="1:36" ht="16.5" customHeight="1" x14ac:dyDescent="0.3">
      <c r="A17" s="10">
        <v>15</v>
      </c>
      <c r="B17" s="6">
        <f t="shared" si="0"/>
        <v>15</v>
      </c>
      <c r="C17" s="6" t="str">
        <f t="shared" si="1"/>
        <v/>
      </c>
      <c r="D17" s="12" t="s">
        <v>102</v>
      </c>
      <c r="E17" s="10" t="s">
        <v>36</v>
      </c>
      <c r="F17" s="10" t="s">
        <v>44</v>
      </c>
      <c r="G17" s="10" t="s">
        <v>45</v>
      </c>
      <c r="H17" s="14">
        <v>46225</v>
      </c>
      <c r="I17" s="14"/>
      <c r="J17" s="6" t="str">
        <f t="shared" si="2"/>
        <v>Pending</v>
      </c>
      <c r="K17" s="10" t="s">
        <v>42</v>
      </c>
      <c r="L17" s="12"/>
      <c r="M17" s="10"/>
      <c r="N17" s="10"/>
      <c r="O17" s="10"/>
      <c r="P17" s="10"/>
      <c r="Q17" s="6" t="str">
        <f t="shared" si="3"/>
        <v/>
      </c>
      <c r="R17" s="7" t="str">
        <f t="shared" si="4"/>
        <v/>
      </c>
      <c r="S17" s="10"/>
      <c r="T17" s="10"/>
      <c r="U17" s="10"/>
      <c r="V17" s="10"/>
      <c r="W17" s="6" t="str">
        <f t="shared" si="5"/>
        <v/>
      </c>
      <c r="X17" s="7" t="str">
        <f t="shared" si="6"/>
        <v/>
      </c>
      <c r="Y17" s="10"/>
      <c r="Z17" s="10"/>
      <c r="AA17" s="10"/>
      <c r="AB17" s="10"/>
      <c r="AC17" s="6" t="str">
        <f t="shared" si="7"/>
        <v/>
      </c>
      <c r="AD17" s="7" t="str">
        <f t="shared" si="8"/>
        <v/>
      </c>
      <c r="AE17" s="6" t="str">
        <f t="shared" si="9"/>
        <v/>
      </c>
      <c r="AF17" s="10"/>
      <c r="AG17" s="6" t="str">
        <f t="shared" si="10"/>
        <v/>
      </c>
      <c r="AH17" s="6" t="str">
        <f t="shared" si="11"/>
        <v/>
      </c>
      <c r="AI17" s="6" t="str">
        <f t="shared" si="12"/>
        <v/>
      </c>
      <c r="AJ17" s="7" t="str">
        <f t="shared" si="13"/>
        <v/>
      </c>
    </row>
    <row r="18" spans="1:36" ht="16.5" customHeight="1" x14ac:dyDescent="0.3">
      <c r="A18" s="11">
        <v>16</v>
      </c>
      <c r="B18" s="8">
        <f t="shared" si="0"/>
        <v>16</v>
      </c>
      <c r="C18" s="8" t="str">
        <f t="shared" si="1"/>
        <v/>
      </c>
      <c r="D18" s="13" t="s">
        <v>103</v>
      </c>
      <c r="E18" s="11" t="s">
        <v>36</v>
      </c>
      <c r="F18" s="11" t="s">
        <v>41</v>
      </c>
      <c r="G18" s="11" t="s">
        <v>41</v>
      </c>
      <c r="H18" s="15">
        <v>46228</v>
      </c>
      <c r="I18" s="15"/>
      <c r="J18" s="8" t="str">
        <f t="shared" si="2"/>
        <v>Pending</v>
      </c>
      <c r="K18" s="11" t="s">
        <v>42</v>
      </c>
      <c r="L18" s="13"/>
      <c r="M18" s="11"/>
      <c r="N18" s="11"/>
      <c r="O18" s="11"/>
      <c r="P18" s="11"/>
      <c r="Q18" s="6" t="str">
        <f t="shared" si="3"/>
        <v/>
      </c>
      <c r="R18" s="9" t="str">
        <f t="shared" si="4"/>
        <v/>
      </c>
      <c r="S18" s="11"/>
      <c r="T18" s="11"/>
      <c r="U18" s="11"/>
      <c r="V18" s="11"/>
      <c r="W18" s="6" t="str">
        <f t="shared" si="5"/>
        <v/>
      </c>
      <c r="X18" s="9" t="str">
        <f t="shared" si="6"/>
        <v/>
      </c>
      <c r="Y18" s="11"/>
      <c r="Z18" s="11"/>
      <c r="AA18" s="11"/>
      <c r="AB18" s="11"/>
      <c r="AC18" s="6" t="str">
        <f t="shared" si="7"/>
        <v/>
      </c>
      <c r="AD18" s="9" t="str">
        <f t="shared" si="8"/>
        <v/>
      </c>
      <c r="AE18" s="8" t="str">
        <f t="shared" si="9"/>
        <v/>
      </c>
      <c r="AF18" s="11"/>
      <c r="AG18" s="8" t="str">
        <f t="shared" si="10"/>
        <v/>
      </c>
      <c r="AH18" s="8" t="str">
        <f t="shared" si="11"/>
        <v/>
      </c>
      <c r="AI18" s="8" t="str">
        <f t="shared" si="12"/>
        <v/>
      </c>
      <c r="AJ18" s="9" t="str">
        <f t="shared" si="13"/>
        <v/>
      </c>
    </row>
    <row r="19" spans="1:36" ht="16.5" customHeight="1" x14ac:dyDescent="0.3">
      <c r="A19" s="10">
        <v>17</v>
      </c>
      <c r="B19" s="6">
        <f t="shared" ref="B19:B60" si="14">IFERROR(IF(H19&lt;&gt;"",RANK(H19,$H$3:$H$400,1),""),"")</f>
        <v>17</v>
      </c>
      <c r="C19" s="6" t="str">
        <f t="shared" ref="C19:C60" si="15">IFERROR(IF(J19="Completed",COUNTIFS(J$3:J$400,"Completed",I$3:I$400,"&lt;"&amp;I19,I$3:I$400,"&lt;&gt;"&amp;"")+COUNTIFS(J$3:J$400,"Completed",I$3:I$400,"="&amp;I19,A$3:A$400,"&lt;="&amp;A19,I$3:I$400,"&lt;&gt;"&amp;""),""),"")</f>
        <v/>
      </c>
      <c r="D19" s="12" t="s">
        <v>229</v>
      </c>
      <c r="E19" s="10" t="s">
        <v>40</v>
      </c>
      <c r="F19" s="10" t="s">
        <v>49</v>
      </c>
      <c r="G19" s="10" t="s">
        <v>41</v>
      </c>
      <c r="H19" s="14">
        <v>46229</v>
      </c>
      <c r="I19" s="14"/>
      <c r="J19" s="6" t="str">
        <f t="shared" ref="J19:J60" si="16">IF(I19&lt;&gt;"","Completed","Pending")</f>
        <v>Pending</v>
      </c>
      <c r="K19" s="10" t="s">
        <v>42</v>
      </c>
      <c r="L19" s="12"/>
      <c r="M19" s="10"/>
      <c r="N19" s="10"/>
      <c r="O19" s="10"/>
      <c r="P19" s="10"/>
      <c r="Q19" s="6" t="str">
        <f t="shared" si="3"/>
        <v/>
      </c>
      <c r="R19" s="7" t="str">
        <f t="shared" si="4"/>
        <v/>
      </c>
      <c r="S19" s="10"/>
      <c r="T19" s="10"/>
      <c r="U19" s="10"/>
      <c r="V19" s="10"/>
      <c r="W19" s="6" t="str">
        <f t="shared" si="5"/>
        <v/>
      </c>
      <c r="X19" s="7" t="str">
        <f t="shared" si="6"/>
        <v/>
      </c>
      <c r="Y19" s="10"/>
      <c r="Z19" s="10"/>
      <c r="AA19" s="10"/>
      <c r="AB19" s="10"/>
      <c r="AC19" s="6" t="str">
        <f t="shared" si="7"/>
        <v/>
      </c>
      <c r="AD19" s="7" t="str">
        <f t="shared" si="8"/>
        <v/>
      </c>
      <c r="AE19" s="6" t="str">
        <f t="shared" si="9"/>
        <v/>
      </c>
      <c r="AF19" s="10"/>
      <c r="AG19" s="6" t="str">
        <f t="shared" si="10"/>
        <v/>
      </c>
      <c r="AH19" s="6" t="str">
        <f t="shared" si="11"/>
        <v/>
      </c>
      <c r="AI19" s="6" t="str">
        <f t="shared" si="12"/>
        <v/>
      </c>
      <c r="AJ19" s="7" t="str">
        <f t="shared" si="13"/>
        <v/>
      </c>
    </row>
    <row r="20" spans="1:36" ht="16.5" customHeight="1" x14ac:dyDescent="0.3">
      <c r="A20" s="11">
        <v>18</v>
      </c>
      <c r="B20" s="8">
        <f t="shared" si="14"/>
        <v>18</v>
      </c>
      <c r="C20" s="8" t="str">
        <f t="shared" si="15"/>
        <v/>
      </c>
      <c r="D20" s="13" t="s">
        <v>230</v>
      </c>
      <c r="E20" s="11" t="s">
        <v>40</v>
      </c>
      <c r="F20" s="11" t="s">
        <v>47</v>
      </c>
      <c r="G20" s="11" t="s">
        <v>41</v>
      </c>
      <c r="H20" s="15">
        <v>46231</v>
      </c>
      <c r="I20" s="15"/>
      <c r="J20" s="8" t="str">
        <f t="shared" si="16"/>
        <v>Pending</v>
      </c>
      <c r="K20" s="11" t="s">
        <v>42</v>
      </c>
      <c r="L20" s="13"/>
      <c r="M20" s="11"/>
      <c r="N20" s="11"/>
      <c r="O20" s="11"/>
      <c r="P20" s="11"/>
      <c r="Q20" s="6" t="str">
        <f t="shared" si="3"/>
        <v/>
      </c>
      <c r="R20" s="9" t="str">
        <f t="shared" si="4"/>
        <v/>
      </c>
      <c r="S20" s="11"/>
      <c r="T20" s="11"/>
      <c r="U20" s="11"/>
      <c r="V20" s="11"/>
      <c r="W20" s="6" t="str">
        <f t="shared" si="5"/>
        <v/>
      </c>
      <c r="X20" s="9" t="str">
        <f t="shared" si="6"/>
        <v/>
      </c>
      <c r="Y20" s="11"/>
      <c r="Z20" s="11"/>
      <c r="AA20" s="11"/>
      <c r="AB20" s="11"/>
      <c r="AC20" s="6" t="str">
        <f t="shared" si="7"/>
        <v/>
      </c>
      <c r="AD20" s="9" t="str">
        <f t="shared" si="8"/>
        <v/>
      </c>
      <c r="AE20" s="8" t="str">
        <f t="shared" si="9"/>
        <v/>
      </c>
      <c r="AF20" s="11"/>
      <c r="AG20" s="8" t="str">
        <f t="shared" si="10"/>
        <v/>
      </c>
      <c r="AH20" s="8" t="str">
        <f t="shared" si="11"/>
        <v/>
      </c>
      <c r="AI20" s="8" t="str">
        <f t="shared" si="12"/>
        <v/>
      </c>
      <c r="AJ20" s="9" t="str">
        <f t="shared" si="13"/>
        <v/>
      </c>
    </row>
    <row r="21" spans="1:36" ht="16.5" customHeight="1" x14ac:dyDescent="0.3">
      <c r="A21" s="10">
        <v>19</v>
      </c>
      <c r="B21" s="6">
        <f t="shared" si="14"/>
        <v>19</v>
      </c>
      <c r="C21" s="6" t="str">
        <f t="shared" si="15"/>
        <v/>
      </c>
      <c r="D21" s="12" t="s">
        <v>231</v>
      </c>
      <c r="E21" s="10" t="s">
        <v>40</v>
      </c>
      <c r="F21" s="10" t="s">
        <v>47</v>
      </c>
      <c r="G21" s="10" t="s">
        <v>41</v>
      </c>
      <c r="H21" s="14">
        <v>46232</v>
      </c>
      <c r="I21" s="14"/>
      <c r="J21" s="6" t="str">
        <f t="shared" si="16"/>
        <v>Pending</v>
      </c>
      <c r="K21" s="10" t="s">
        <v>42</v>
      </c>
      <c r="L21" s="12"/>
      <c r="M21" s="10"/>
      <c r="N21" s="10"/>
      <c r="O21" s="10"/>
      <c r="P21" s="10"/>
      <c r="Q21" s="6" t="str">
        <f t="shared" si="3"/>
        <v/>
      </c>
      <c r="R21" s="7" t="str">
        <f t="shared" si="4"/>
        <v/>
      </c>
      <c r="S21" s="10"/>
      <c r="T21" s="10"/>
      <c r="U21" s="10"/>
      <c r="V21" s="10"/>
      <c r="W21" s="6" t="str">
        <f t="shared" si="5"/>
        <v/>
      </c>
      <c r="X21" s="7" t="str">
        <f t="shared" si="6"/>
        <v/>
      </c>
      <c r="Y21" s="10"/>
      <c r="Z21" s="10"/>
      <c r="AA21" s="10"/>
      <c r="AB21" s="10"/>
      <c r="AC21" s="6" t="str">
        <f t="shared" si="7"/>
        <v/>
      </c>
      <c r="AD21" s="7" t="str">
        <f t="shared" si="8"/>
        <v/>
      </c>
      <c r="AE21" s="6" t="str">
        <f t="shared" si="9"/>
        <v/>
      </c>
      <c r="AF21" s="10"/>
      <c r="AG21" s="6" t="str">
        <f t="shared" si="10"/>
        <v/>
      </c>
      <c r="AH21" s="6" t="str">
        <f t="shared" si="11"/>
        <v/>
      </c>
      <c r="AI21" s="6" t="str">
        <f t="shared" si="12"/>
        <v/>
      </c>
      <c r="AJ21" s="7" t="str">
        <f t="shared" si="13"/>
        <v/>
      </c>
    </row>
    <row r="22" spans="1:36" ht="16.5" customHeight="1" x14ac:dyDescent="0.3">
      <c r="A22" s="11">
        <v>20</v>
      </c>
      <c r="B22" s="8">
        <f t="shared" si="14"/>
        <v>20</v>
      </c>
      <c r="C22" s="8" t="str">
        <f t="shared" si="15"/>
        <v/>
      </c>
      <c r="D22" s="13" t="s">
        <v>104</v>
      </c>
      <c r="E22" s="11" t="s">
        <v>36</v>
      </c>
      <c r="F22" s="11" t="s">
        <v>37</v>
      </c>
      <c r="G22" s="11" t="s">
        <v>38</v>
      </c>
      <c r="H22" s="15">
        <v>46234</v>
      </c>
      <c r="I22" s="15"/>
      <c r="J22" s="8" t="str">
        <f t="shared" si="16"/>
        <v>Pending</v>
      </c>
      <c r="K22" s="11" t="s">
        <v>42</v>
      </c>
      <c r="L22" s="13"/>
      <c r="M22" s="11"/>
      <c r="N22" s="11"/>
      <c r="O22" s="11"/>
      <c r="P22" s="11"/>
      <c r="Q22" s="6" t="str">
        <f t="shared" si="3"/>
        <v/>
      </c>
      <c r="R22" s="9" t="str">
        <f t="shared" si="4"/>
        <v/>
      </c>
      <c r="S22" s="11"/>
      <c r="T22" s="11"/>
      <c r="U22" s="11"/>
      <c r="V22" s="11"/>
      <c r="W22" s="6" t="str">
        <f t="shared" si="5"/>
        <v/>
      </c>
      <c r="X22" s="9" t="str">
        <f t="shared" si="6"/>
        <v/>
      </c>
      <c r="Y22" s="11"/>
      <c r="Z22" s="11"/>
      <c r="AA22" s="11"/>
      <c r="AB22" s="11"/>
      <c r="AC22" s="6" t="str">
        <f t="shared" si="7"/>
        <v/>
      </c>
      <c r="AD22" s="9" t="str">
        <f t="shared" si="8"/>
        <v/>
      </c>
      <c r="AE22" s="8" t="str">
        <f t="shared" si="9"/>
        <v/>
      </c>
      <c r="AF22" s="11"/>
      <c r="AG22" s="8" t="str">
        <f t="shared" si="10"/>
        <v/>
      </c>
      <c r="AH22" s="8" t="str">
        <f t="shared" si="11"/>
        <v/>
      </c>
      <c r="AI22" s="8" t="str">
        <f t="shared" si="12"/>
        <v/>
      </c>
      <c r="AJ22" s="9" t="str">
        <f t="shared" si="13"/>
        <v/>
      </c>
    </row>
    <row r="23" spans="1:36" ht="16.5" customHeight="1" x14ac:dyDescent="0.3">
      <c r="A23" s="10">
        <v>21</v>
      </c>
      <c r="B23" s="6">
        <f t="shared" si="14"/>
        <v>21</v>
      </c>
      <c r="C23" s="6" t="str">
        <f t="shared" si="15"/>
        <v/>
      </c>
      <c r="D23" s="12" t="s">
        <v>105</v>
      </c>
      <c r="E23" s="10" t="s">
        <v>36</v>
      </c>
      <c r="F23" s="10" t="s">
        <v>41</v>
      </c>
      <c r="G23" s="10" t="s">
        <v>41</v>
      </c>
      <c r="H23" s="14">
        <v>46239</v>
      </c>
      <c r="I23" s="14"/>
      <c r="J23" s="6" t="str">
        <f t="shared" si="16"/>
        <v>Pending</v>
      </c>
      <c r="K23" s="10" t="s">
        <v>42</v>
      </c>
      <c r="L23" s="12"/>
      <c r="M23" s="10"/>
      <c r="N23" s="10"/>
      <c r="O23" s="10"/>
      <c r="P23" s="10"/>
      <c r="Q23" s="6" t="str">
        <f t="shared" si="3"/>
        <v/>
      </c>
      <c r="R23" s="7" t="str">
        <f t="shared" si="4"/>
        <v/>
      </c>
      <c r="S23" s="10"/>
      <c r="T23" s="10"/>
      <c r="U23" s="10"/>
      <c r="V23" s="10"/>
      <c r="W23" s="6" t="str">
        <f t="shared" si="5"/>
        <v/>
      </c>
      <c r="X23" s="7" t="str">
        <f t="shared" si="6"/>
        <v/>
      </c>
      <c r="Y23" s="10"/>
      <c r="Z23" s="10"/>
      <c r="AA23" s="10"/>
      <c r="AB23" s="10"/>
      <c r="AC23" s="6" t="str">
        <f t="shared" si="7"/>
        <v/>
      </c>
      <c r="AD23" s="7" t="str">
        <f t="shared" si="8"/>
        <v/>
      </c>
      <c r="AE23" s="6" t="str">
        <f t="shared" si="9"/>
        <v/>
      </c>
      <c r="AF23" s="10"/>
      <c r="AG23" s="6" t="str">
        <f t="shared" si="10"/>
        <v/>
      </c>
      <c r="AH23" s="6" t="str">
        <f t="shared" si="11"/>
        <v/>
      </c>
      <c r="AI23" s="6" t="str">
        <f t="shared" si="12"/>
        <v/>
      </c>
      <c r="AJ23" s="7" t="str">
        <f t="shared" si="13"/>
        <v/>
      </c>
    </row>
    <row r="24" spans="1:36" ht="16.5" customHeight="1" x14ac:dyDescent="0.3">
      <c r="A24" s="11">
        <v>22</v>
      </c>
      <c r="B24" s="8">
        <f t="shared" si="14"/>
        <v>22</v>
      </c>
      <c r="C24" s="8" t="str">
        <f t="shared" si="15"/>
        <v/>
      </c>
      <c r="D24" s="13" t="s">
        <v>106</v>
      </c>
      <c r="E24" s="11" t="s">
        <v>36</v>
      </c>
      <c r="F24" s="11" t="s">
        <v>37</v>
      </c>
      <c r="G24" s="11" t="s">
        <v>38</v>
      </c>
      <c r="H24" s="15">
        <v>46243</v>
      </c>
      <c r="I24" s="15"/>
      <c r="J24" s="8" t="str">
        <f t="shared" si="16"/>
        <v>Pending</v>
      </c>
      <c r="K24" s="11" t="s">
        <v>42</v>
      </c>
      <c r="L24" s="13"/>
      <c r="M24" s="11"/>
      <c r="N24" s="11"/>
      <c r="O24" s="11"/>
      <c r="P24" s="11"/>
      <c r="Q24" s="6" t="str">
        <f t="shared" si="3"/>
        <v/>
      </c>
      <c r="R24" s="9" t="str">
        <f t="shared" si="4"/>
        <v/>
      </c>
      <c r="S24" s="11"/>
      <c r="T24" s="11"/>
      <c r="U24" s="11"/>
      <c r="V24" s="11"/>
      <c r="W24" s="6" t="str">
        <f t="shared" si="5"/>
        <v/>
      </c>
      <c r="X24" s="9" t="str">
        <f t="shared" si="6"/>
        <v/>
      </c>
      <c r="Y24" s="11"/>
      <c r="Z24" s="11"/>
      <c r="AA24" s="11"/>
      <c r="AB24" s="11"/>
      <c r="AC24" s="6" t="str">
        <f t="shared" si="7"/>
        <v/>
      </c>
      <c r="AD24" s="9" t="str">
        <f t="shared" si="8"/>
        <v/>
      </c>
      <c r="AE24" s="8" t="str">
        <f t="shared" si="9"/>
        <v/>
      </c>
      <c r="AF24" s="11"/>
      <c r="AG24" s="8" t="str">
        <f t="shared" si="10"/>
        <v/>
      </c>
      <c r="AH24" s="8" t="str">
        <f t="shared" si="11"/>
        <v/>
      </c>
      <c r="AI24" s="8" t="str">
        <f t="shared" si="12"/>
        <v/>
      </c>
      <c r="AJ24" s="9" t="str">
        <f t="shared" si="13"/>
        <v/>
      </c>
    </row>
    <row r="25" spans="1:36" ht="16.5" customHeight="1" x14ac:dyDescent="0.3">
      <c r="A25" s="10">
        <v>23</v>
      </c>
      <c r="B25" s="6">
        <f t="shared" si="14"/>
        <v>23</v>
      </c>
      <c r="C25" s="6" t="str">
        <f t="shared" si="15"/>
        <v/>
      </c>
      <c r="D25" s="12" t="s">
        <v>320</v>
      </c>
      <c r="E25" s="10" t="s">
        <v>40</v>
      </c>
      <c r="F25" s="10" t="s">
        <v>51</v>
      </c>
      <c r="G25" s="10" t="s">
        <v>41</v>
      </c>
      <c r="H25" s="14">
        <v>46244</v>
      </c>
      <c r="I25" s="14"/>
      <c r="J25" s="6" t="str">
        <f t="shared" si="16"/>
        <v>Pending</v>
      </c>
      <c r="K25" s="10" t="s">
        <v>42</v>
      </c>
      <c r="L25" s="12"/>
      <c r="M25" s="10"/>
      <c r="N25" s="10"/>
      <c r="O25" s="10"/>
      <c r="P25" s="10"/>
      <c r="Q25" s="6" t="str">
        <f t="shared" si="3"/>
        <v/>
      </c>
      <c r="R25" s="7" t="str">
        <f t="shared" si="4"/>
        <v/>
      </c>
      <c r="S25" s="10"/>
      <c r="T25" s="10"/>
      <c r="U25" s="10"/>
      <c r="V25" s="10"/>
      <c r="W25" s="6" t="str">
        <f t="shared" si="5"/>
        <v/>
      </c>
      <c r="X25" s="7" t="str">
        <f t="shared" si="6"/>
        <v/>
      </c>
      <c r="Y25" s="10"/>
      <c r="Z25" s="10"/>
      <c r="AA25" s="10"/>
      <c r="AB25" s="10"/>
      <c r="AC25" s="6" t="str">
        <f t="shared" si="7"/>
        <v/>
      </c>
      <c r="AD25" s="7" t="str">
        <f t="shared" si="8"/>
        <v/>
      </c>
      <c r="AE25" s="6" t="str">
        <f t="shared" si="9"/>
        <v/>
      </c>
      <c r="AF25" s="10"/>
      <c r="AG25" s="6" t="str">
        <f t="shared" si="10"/>
        <v/>
      </c>
      <c r="AH25" s="6" t="str">
        <f t="shared" si="11"/>
        <v/>
      </c>
      <c r="AI25" s="6" t="str">
        <f t="shared" si="12"/>
        <v/>
      </c>
      <c r="AJ25" s="7" t="str">
        <f t="shared" si="13"/>
        <v/>
      </c>
    </row>
    <row r="26" spans="1:36" ht="16.5" customHeight="1" x14ac:dyDescent="0.3">
      <c r="A26" s="11">
        <v>24</v>
      </c>
      <c r="B26" s="8">
        <f t="shared" si="14"/>
        <v>24</v>
      </c>
      <c r="C26" s="8" t="str">
        <f t="shared" si="15"/>
        <v/>
      </c>
      <c r="D26" s="13" t="s">
        <v>107</v>
      </c>
      <c r="E26" s="11" t="s">
        <v>36</v>
      </c>
      <c r="F26" s="11" t="s">
        <v>44</v>
      </c>
      <c r="G26" s="11" t="s">
        <v>45</v>
      </c>
      <c r="H26" s="15">
        <v>46246</v>
      </c>
      <c r="I26" s="15"/>
      <c r="J26" s="8" t="str">
        <f t="shared" si="16"/>
        <v>Pending</v>
      </c>
      <c r="K26" s="11" t="s">
        <v>42</v>
      </c>
      <c r="L26" s="13"/>
      <c r="M26" s="11"/>
      <c r="N26" s="11"/>
      <c r="O26" s="11"/>
      <c r="P26" s="11"/>
      <c r="Q26" s="6" t="str">
        <f t="shared" si="3"/>
        <v/>
      </c>
      <c r="R26" s="9" t="str">
        <f t="shared" si="4"/>
        <v/>
      </c>
      <c r="S26" s="11"/>
      <c r="T26" s="11"/>
      <c r="U26" s="11"/>
      <c r="V26" s="11"/>
      <c r="W26" s="6" t="str">
        <f t="shared" si="5"/>
        <v/>
      </c>
      <c r="X26" s="9" t="str">
        <f t="shared" si="6"/>
        <v/>
      </c>
      <c r="Y26" s="11"/>
      <c r="Z26" s="11"/>
      <c r="AA26" s="11"/>
      <c r="AB26" s="11"/>
      <c r="AC26" s="6" t="str">
        <f t="shared" si="7"/>
        <v/>
      </c>
      <c r="AD26" s="9" t="str">
        <f t="shared" si="8"/>
        <v/>
      </c>
      <c r="AE26" s="8" t="str">
        <f t="shared" si="9"/>
        <v/>
      </c>
      <c r="AF26" s="11"/>
      <c r="AG26" s="8" t="str">
        <f t="shared" si="10"/>
        <v/>
      </c>
      <c r="AH26" s="8" t="str">
        <f t="shared" si="11"/>
        <v/>
      </c>
      <c r="AI26" s="8" t="str">
        <f t="shared" si="12"/>
        <v/>
      </c>
      <c r="AJ26" s="9" t="str">
        <f t="shared" si="13"/>
        <v/>
      </c>
    </row>
    <row r="27" spans="1:36" ht="16.5" customHeight="1" x14ac:dyDescent="0.3">
      <c r="A27" s="10">
        <v>25</v>
      </c>
      <c r="B27" s="6">
        <f t="shared" si="14"/>
        <v>25</v>
      </c>
      <c r="C27" s="6" t="str">
        <f t="shared" si="15"/>
        <v/>
      </c>
      <c r="D27" s="12" t="s">
        <v>285</v>
      </c>
      <c r="E27" s="10" t="s">
        <v>40</v>
      </c>
      <c r="F27" s="10" t="s">
        <v>47</v>
      </c>
      <c r="G27" s="10" t="s">
        <v>41</v>
      </c>
      <c r="H27" s="14">
        <v>46247</v>
      </c>
      <c r="I27" s="14"/>
      <c r="J27" s="6" t="str">
        <f t="shared" si="16"/>
        <v>Pending</v>
      </c>
      <c r="K27" s="10" t="s">
        <v>42</v>
      </c>
      <c r="L27" s="12"/>
      <c r="M27" s="10"/>
      <c r="N27" s="10"/>
      <c r="O27" s="10"/>
      <c r="P27" s="10"/>
      <c r="Q27" s="6" t="str">
        <f t="shared" si="3"/>
        <v/>
      </c>
      <c r="R27" s="7" t="str">
        <f t="shared" si="4"/>
        <v/>
      </c>
      <c r="S27" s="10"/>
      <c r="T27" s="10"/>
      <c r="U27" s="10"/>
      <c r="V27" s="10"/>
      <c r="W27" s="6" t="str">
        <f t="shared" si="5"/>
        <v/>
      </c>
      <c r="X27" s="7" t="str">
        <f t="shared" si="6"/>
        <v/>
      </c>
      <c r="Y27" s="10"/>
      <c r="Z27" s="10"/>
      <c r="AA27" s="10"/>
      <c r="AB27" s="10"/>
      <c r="AC27" s="6" t="str">
        <f t="shared" si="7"/>
        <v/>
      </c>
      <c r="AD27" s="7" t="str">
        <f t="shared" si="8"/>
        <v/>
      </c>
      <c r="AE27" s="6" t="str">
        <f t="shared" si="9"/>
        <v/>
      </c>
      <c r="AF27" s="10"/>
      <c r="AG27" s="6" t="str">
        <f t="shared" si="10"/>
        <v/>
      </c>
      <c r="AH27" s="6" t="str">
        <f t="shared" si="11"/>
        <v/>
      </c>
      <c r="AI27" s="6" t="str">
        <f t="shared" si="12"/>
        <v/>
      </c>
      <c r="AJ27" s="7" t="str">
        <f t="shared" si="13"/>
        <v/>
      </c>
    </row>
    <row r="28" spans="1:36" ht="16.5" customHeight="1" x14ac:dyDescent="0.3">
      <c r="A28" s="11">
        <v>26</v>
      </c>
      <c r="B28" s="8">
        <f t="shared" si="14"/>
        <v>26</v>
      </c>
      <c r="C28" s="8" t="str">
        <f t="shared" si="15"/>
        <v/>
      </c>
      <c r="D28" s="13" t="s">
        <v>282</v>
      </c>
      <c r="E28" s="11" t="s">
        <v>36</v>
      </c>
      <c r="F28" s="11" t="s">
        <v>44</v>
      </c>
      <c r="G28" s="11" t="s">
        <v>45</v>
      </c>
      <c r="H28" s="15">
        <v>46248</v>
      </c>
      <c r="I28" s="15"/>
      <c r="J28" s="8" t="str">
        <f t="shared" si="16"/>
        <v>Pending</v>
      </c>
      <c r="K28" s="11" t="s">
        <v>42</v>
      </c>
      <c r="L28" s="13"/>
      <c r="M28" s="11"/>
      <c r="N28" s="11"/>
      <c r="O28" s="11"/>
      <c r="P28" s="11"/>
      <c r="Q28" s="6" t="str">
        <f t="shared" si="3"/>
        <v/>
      </c>
      <c r="R28" s="9" t="str">
        <f t="shared" si="4"/>
        <v/>
      </c>
      <c r="S28" s="11"/>
      <c r="T28" s="11"/>
      <c r="U28" s="11"/>
      <c r="V28" s="11"/>
      <c r="W28" s="6" t="str">
        <f t="shared" si="5"/>
        <v/>
      </c>
      <c r="X28" s="9" t="str">
        <f t="shared" si="6"/>
        <v/>
      </c>
      <c r="Y28" s="11"/>
      <c r="Z28" s="11"/>
      <c r="AA28" s="11"/>
      <c r="AB28" s="11"/>
      <c r="AC28" s="6" t="str">
        <f t="shared" si="7"/>
        <v/>
      </c>
      <c r="AD28" s="9" t="str">
        <f t="shared" si="8"/>
        <v/>
      </c>
      <c r="AE28" s="8" t="str">
        <f t="shared" si="9"/>
        <v/>
      </c>
      <c r="AF28" s="11"/>
      <c r="AG28" s="8" t="str">
        <f t="shared" si="10"/>
        <v/>
      </c>
      <c r="AH28" s="8" t="str">
        <f t="shared" si="11"/>
        <v/>
      </c>
      <c r="AI28" s="8" t="str">
        <f t="shared" si="12"/>
        <v/>
      </c>
      <c r="AJ28" s="9" t="str">
        <f t="shared" si="13"/>
        <v/>
      </c>
    </row>
    <row r="29" spans="1:36" ht="16.5" customHeight="1" x14ac:dyDescent="0.3">
      <c r="A29" s="10">
        <v>27</v>
      </c>
      <c r="B29" s="6">
        <f t="shared" si="14"/>
        <v>27</v>
      </c>
      <c r="C29" s="6" t="str">
        <f t="shared" si="15"/>
        <v/>
      </c>
      <c r="D29" s="12" t="s">
        <v>108</v>
      </c>
      <c r="E29" s="10" t="s">
        <v>36</v>
      </c>
      <c r="F29" s="10" t="s">
        <v>41</v>
      </c>
      <c r="G29" s="10" t="s">
        <v>41</v>
      </c>
      <c r="H29" s="14">
        <v>46249</v>
      </c>
      <c r="I29" s="14"/>
      <c r="J29" s="6" t="str">
        <f t="shared" si="16"/>
        <v>Pending</v>
      </c>
      <c r="K29" s="10" t="s">
        <v>42</v>
      </c>
      <c r="L29" s="12"/>
      <c r="M29" s="10"/>
      <c r="N29" s="10"/>
      <c r="O29" s="10"/>
      <c r="P29" s="10"/>
      <c r="Q29" s="6" t="str">
        <f t="shared" si="3"/>
        <v/>
      </c>
      <c r="R29" s="7" t="str">
        <f t="shared" si="4"/>
        <v/>
      </c>
      <c r="S29" s="10"/>
      <c r="T29" s="10"/>
      <c r="U29" s="10"/>
      <c r="V29" s="10"/>
      <c r="W29" s="6" t="str">
        <f t="shared" si="5"/>
        <v/>
      </c>
      <c r="X29" s="7" t="str">
        <f t="shared" si="6"/>
        <v/>
      </c>
      <c r="Y29" s="10"/>
      <c r="Z29" s="10"/>
      <c r="AA29" s="10"/>
      <c r="AB29" s="10"/>
      <c r="AC29" s="6" t="str">
        <f t="shared" si="7"/>
        <v/>
      </c>
      <c r="AD29" s="7" t="str">
        <f t="shared" si="8"/>
        <v/>
      </c>
      <c r="AE29" s="6" t="str">
        <f t="shared" si="9"/>
        <v/>
      </c>
      <c r="AF29" s="10"/>
      <c r="AG29" s="6" t="str">
        <f t="shared" si="10"/>
        <v/>
      </c>
      <c r="AH29" s="6" t="str">
        <f t="shared" si="11"/>
        <v/>
      </c>
      <c r="AI29" s="6" t="str">
        <f t="shared" si="12"/>
        <v/>
      </c>
      <c r="AJ29" s="7" t="str">
        <f t="shared" si="13"/>
        <v/>
      </c>
    </row>
    <row r="30" spans="1:36" ht="16.5" customHeight="1" x14ac:dyDescent="0.3">
      <c r="A30" s="11">
        <v>28</v>
      </c>
      <c r="B30" s="8">
        <f t="shared" si="14"/>
        <v>28</v>
      </c>
      <c r="C30" s="8" t="str">
        <f t="shared" si="15"/>
        <v/>
      </c>
      <c r="D30" s="13" t="s">
        <v>296</v>
      </c>
      <c r="E30" s="11" t="s">
        <v>48</v>
      </c>
      <c r="F30" s="11" t="s">
        <v>51</v>
      </c>
      <c r="G30" s="11" t="s">
        <v>41</v>
      </c>
      <c r="H30" s="14">
        <v>46250</v>
      </c>
      <c r="I30" s="15"/>
      <c r="J30" s="8" t="str">
        <f t="shared" si="16"/>
        <v>Pending</v>
      </c>
      <c r="K30" s="11" t="s">
        <v>42</v>
      </c>
      <c r="L30" s="13"/>
      <c r="M30" s="11"/>
      <c r="N30" s="11"/>
      <c r="O30" s="11"/>
      <c r="P30" s="11"/>
      <c r="Q30" s="6" t="str">
        <f t="shared" si="3"/>
        <v/>
      </c>
      <c r="R30" s="9" t="str">
        <f t="shared" si="4"/>
        <v/>
      </c>
      <c r="S30" s="11"/>
      <c r="T30" s="11"/>
      <c r="U30" s="11"/>
      <c r="V30" s="11"/>
      <c r="W30" s="6" t="str">
        <f t="shared" si="5"/>
        <v/>
      </c>
      <c r="X30" s="9" t="str">
        <f t="shared" si="6"/>
        <v/>
      </c>
      <c r="Y30" s="11"/>
      <c r="Z30" s="11"/>
      <c r="AA30" s="11"/>
      <c r="AB30" s="11"/>
      <c r="AC30" s="6" t="str">
        <f t="shared" si="7"/>
        <v/>
      </c>
      <c r="AD30" s="9" t="str">
        <f t="shared" si="8"/>
        <v/>
      </c>
      <c r="AE30" s="8" t="str">
        <f t="shared" si="9"/>
        <v/>
      </c>
      <c r="AF30" s="11"/>
      <c r="AG30" s="8" t="str">
        <f t="shared" si="10"/>
        <v/>
      </c>
      <c r="AH30" s="8" t="str">
        <f t="shared" si="11"/>
        <v/>
      </c>
      <c r="AI30" s="8" t="str">
        <f t="shared" si="12"/>
        <v/>
      </c>
      <c r="AJ30" s="9" t="str">
        <f t="shared" si="13"/>
        <v/>
      </c>
    </row>
    <row r="31" spans="1:36" ht="16.5" customHeight="1" x14ac:dyDescent="0.3">
      <c r="A31" s="10">
        <v>29</v>
      </c>
      <c r="B31" s="6">
        <f t="shared" si="14"/>
        <v>29</v>
      </c>
      <c r="C31" s="6" t="str">
        <f t="shared" si="15"/>
        <v/>
      </c>
      <c r="D31" s="12" t="s">
        <v>287</v>
      </c>
      <c r="E31" s="10" t="s">
        <v>43</v>
      </c>
      <c r="F31" s="10" t="s">
        <v>51</v>
      </c>
      <c r="G31" s="10" t="s">
        <v>41</v>
      </c>
      <c r="H31" s="14">
        <v>46252</v>
      </c>
      <c r="I31" s="14"/>
      <c r="J31" s="6" t="str">
        <f t="shared" si="16"/>
        <v>Pending</v>
      </c>
      <c r="K31" s="10" t="s">
        <v>42</v>
      </c>
      <c r="L31" s="12"/>
      <c r="M31" s="10"/>
      <c r="N31" s="10"/>
      <c r="O31" s="10"/>
      <c r="P31" s="10"/>
      <c r="Q31" s="6" t="str">
        <f t="shared" si="3"/>
        <v/>
      </c>
      <c r="R31" s="7" t="str">
        <f t="shared" si="4"/>
        <v/>
      </c>
      <c r="S31" s="10"/>
      <c r="T31" s="10"/>
      <c r="U31" s="10"/>
      <c r="V31" s="10"/>
      <c r="W31" s="6" t="str">
        <f t="shared" si="5"/>
        <v/>
      </c>
      <c r="X31" s="7" t="str">
        <f t="shared" si="6"/>
        <v/>
      </c>
      <c r="Y31" s="10"/>
      <c r="Z31" s="10"/>
      <c r="AA31" s="10"/>
      <c r="AB31" s="10"/>
      <c r="AC31" s="6" t="str">
        <f t="shared" si="7"/>
        <v/>
      </c>
      <c r="AD31" s="7" t="str">
        <f t="shared" si="8"/>
        <v/>
      </c>
      <c r="AE31" s="6" t="str">
        <f t="shared" si="9"/>
        <v/>
      </c>
      <c r="AF31" s="10"/>
      <c r="AG31" s="6" t="str">
        <f t="shared" si="10"/>
        <v/>
      </c>
      <c r="AH31" s="6" t="str">
        <f t="shared" si="11"/>
        <v/>
      </c>
      <c r="AI31" s="6" t="str">
        <f t="shared" si="12"/>
        <v/>
      </c>
      <c r="AJ31" s="7" t="str">
        <f t="shared" si="13"/>
        <v/>
      </c>
    </row>
    <row r="32" spans="1:36" ht="16.5" customHeight="1" x14ac:dyDescent="0.3">
      <c r="A32" s="11">
        <v>30</v>
      </c>
      <c r="B32" s="8">
        <f t="shared" si="14"/>
        <v>30</v>
      </c>
      <c r="C32" s="8" t="str">
        <f t="shared" si="15"/>
        <v/>
      </c>
      <c r="D32" s="13" t="s">
        <v>109</v>
      </c>
      <c r="E32" s="11" t="s">
        <v>36</v>
      </c>
      <c r="F32" s="11" t="s">
        <v>44</v>
      </c>
      <c r="G32" s="11" t="s">
        <v>45</v>
      </c>
      <c r="H32" s="15">
        <v>46253</v>
      </c>
      <c r="I32" s="15"/>
      <c r="J32" s="8" t="str">
        <f t="shared" si="16"/>
        <v>Pending</v>
      </c>
      <c r="K32" s="11" t="s">
        <v>42</v>
      </c>
      <c r="L32" s="13"/>
      <c r="M32" s="11"/>
      <c r="N32" s="11"/>
      <c r="O32" s="11"/>
      <c r="P32" s="11"/>
      <c r="Q32" s="6" t="str">
        <f t="shared" si="3"/>
        <v/>
      </c>
      <c r="R32" s="9" t="str">
        <f t="shared" si="4"/>
        <v/>
      </c>
      <c r="S32" s="11"/>
      <c r="T32" s="11"/>
      <c r="U32" s="11"/>
      <c r="V32" s="11"/>
      <c r="W32" s="6" t="str">
        <f t="shared" si="5"/>
        <v/>
      </c>
      <c r="X32" s="9" t="str">
        <f t="shared" si="6"/>
        <v/>
      </c>
      <c r="Y32" s="11"/>
      <c r="Z32" s="11"/>
      <c r="AA32" s="11"/>
      <c r="AB32" s="11"/>
      <c r="AC32" s="6" t="str">
        <f t="shared" si="7"/>
        <v/>
      </c>
      <c r="AD32" s="9" t="str">
        <f t="shared" si="8"/>
        <v/>
      </c>
      <c r="AE32" s="8" t="str">
        <f t="shared" si="9"/>
        <v/>
      </c>
      <c r="AF32" s="11"/>
      <c r="AG32" s="8" t="str">
        <f t="shared" si="10"/>
        <v/>
      </c>
      <c r="AH32" s="8" t="str">
        <f t="shared" si="11"/>
        <v/>
      </c>
      <c r="AI32" s="8" t="str">
        <f t="shared" si="12"/>
        <v/>
      </c>
      <c r="AJ32" s="9" t="str">
        <f t="shared" si="13"/>
        <v/>
      </c>
    </row>
    <row r="33" spans="1:36" ht="16.5" customHeight="1" x14ac:dyDescent="0.3">
      <c r="A33" s="10">
        <v>31</v>
      </c>
      <c r="B33" s="6">
        <f t="shared" si="14"/>
        <v>31</v>
      </c>
      <c r="C33" s="6" t="str">
        <f t="shared" si="15"/>
        <v/>
      </c>
      <c r="D33" s="12" t="s">
        <v>298</v>
      </c>
      <c r="E33" s="10" t="s">
        <v>46</v>
      </c>
      <c r="F33" s="10" t="s">
        <v>51</v>
      </c>
      <c r="G33" s="10" t="s">
        <v>41</v>
      </c>
      <c r="H33" s="14">
        <v>46254</v>
      </c>
      <c r="I33" s="14"/>
      <c r="J33" s="6" t="str">
        <f t="shared" si="16"/>
        <v>Pending</v>
      </c>
      <c r="K33" s="10" t="s">
        <v>42</v>
      </c>
      <c r="L33" s="12"/>
      <c r="M33" s="10"/>
      <c r="N33" s="10"/>
      <c r="O33" s="10"/>
      <c r="P33" s="10"/>
      <c r="Q33" s="6" t="str">
        <f t="shared" si="3"/>
        <v/>
      </c>
      <c r="R33" s="7" t="str">
        <f t="shared" si="4"/>
        <v/>
      </c>
      <c r="S33" s="10"/>
      <c r="T33" s="10"/>
      <c r="U33" s="10"/>
      <c r="V33" s="10"/>
      <c r="W33" s="6" t="str">
        <f t="shared" si="5"/>
        <v/>
      </c>
      <c r="X33" s="7" t="str">
        <f t="shared" si="6"/>
        <v/>
      </c>
      <c r="Y33" s="10"/>
      <c r="Z33" s="10"/>
      <c r="AA33" s="10"/>
      <c r="AB33" s="10"/>
      <c r="AC33" s="6" t="str">
        <f t="shared" si="7"/>
        <v/>
      </c>
      <c r="AD33" s="7" t="str">
        <f t="shared" si="8"/>
        <v/>
      </c>
      <c r="AE33" s="6" t="str">
        <f t="shared" si="9"/>
        <v/>
      </c>
      <c r="AF33" s="10"/>
      <c r="AG33" s="6" t="str">
        <f t="shared" si="10"/>
        <v/>
      </c>
      <c r="AH33" s="6" t="str">
        <f t="shared" si="11"/>
        <v/>
      </c>
      <c r="AI33" s="6" t="str">
        <f t="shared" si="12"/>
        <v/>
      </c>
      <c r="AJ33" s="7" t="str">
        <f t="shared" si="13"/>
        <v/>
      </c>
    </row>
    <row r="34" spans="1:36" ht="16.5" customHeight="1" x14ac:dyDescent="0.3">
      <c r="A34" s="11">
        <v>32</v>
      </c>
      <c r="B34" s="8">
        <f t="shared" si="14"/>
        <v>32</v>
      </c>
      <c r="C34" s="8" t="str">
        <f t="shared" si="15"/>
        <v/>
      </c>
      <c r="D34" s="13" t="s">
        <v>291</v>
      </c>
      <c r="E34" s="11" t="s">
        <v>40</v>
      </c>
      <c r="F34" s="11" t="s">
        <v>47</v>
      </c>
      <c r="G34" s="11" t="s">
        <v>41</v>
      </c>
      <c r="H34" s="15">
        <v>46255</v>
      </c>
      <c r="I34" s="15"/>
      <c r="J34" s="8" t="str">
        <f t="shared" si="16"/>
        <v>Pending</v>
      </c>
      <c r="K34" s="11" t="s">
        <v>42</v>
      </c>
      <c r="L34" s="13"/>
      <c r="M34" s="11"/>
      <c r="N34" s="11"/>
      <c r="O34" s="11"/>
      <c r="P34" s="11"/>
      <c r="Q34" s="6" t="str">
        <f t="shared" si="3"/>
        <v/>
      </c>
      <c r="R34" s="9" t="str">
        <f t="shared" si="4"/>
        <v/>
      </c>
      <c r="S34" s="11"/>
      <c r="T34" s="11"/>
      <c r="U34" s="11"/>
      <c r="V34" s="11"/>
      <c r="W34" s="6" t="str">
        <f t="shared" si="5"/>
        <v/>
      </c>
      <c r="X34" s="9" t="str">
        <f t="shared" si="6"/>
        <v/>
      </c>
      <c r="Y34" s="11"/>
      <c r="Z34" s="11"/>
      <c r="AA34" s="11"/>
      <c r="AB34" s="11"/>
      <c r="AC34" s="6" t="str">
        <f t="shared" si="7"/>
        <v/>
      </c>
      <c r="AD34" s="9" t="str">
        <f t="shared" si="8"/>
        <v/>
      </c>
      <c r="AE34" s="8" t="str">
        <f t="shared" si="9"/>
        <v/>
      </c>
      <c r="AF34" s="11"/>
      <c r="AG34" s="8" t="str">
        <f t="shared" si="10"/>
        <v/>
      </c>
      <c r="AH34" s="8" t="str">
        <f t="shared" si="11"/>
        <v/>
      </c>
      <c r="AI34" s="8" t="str">
        <f t="shared" si="12"/>
        <v/>
      </c>
      <c r="AJ34" s="9" t="str">
        <f t="shared" si="13"/>
        <v/>
      </c>
    </row>
    <row r="35" spans="1:36" ht="16.5" customHeight="1" x14ac:dyDescent="0.3">
      <c r="A35" s="10">
        <v>33</v>
      </c>
      <c r="B35" s="6">
        <f t="shared" si="14"/>
        <v>33</v>
      </c>
      <c r="C35" s="6" t="str">
        <f t="shared" si="15"/>
        <v/>
      </c>
      <c r="D35" s="12" t="s">
        <v>110</v>
      </c>
      <c r="E35" s="10" t="s">
        <v>36</v>
      </c>
      <c r="F35" s="10" t="s">
        <v>37</v>
      </c>
      <c r="G35" s="10" t="s">
        <v>38</v>
      </c>
      <c r="H35" s="14">
        <v>46257</v>
      </c>
      <c r="I35" s="14"/>
      <c r="J35" s="6" t="str">
        <f t="shared" si="16"/>
        <v>Pending</v>
      </c>
      <c r="K35" s="10" t="s">
        <v>42</v>
      </c>
      <c r="L35" s="12"/>
      <c r="M35" s="10"/>
      <c r="N35" s="10"/>
      <c r="O35" s="10"/>
      <c r="P35" s="10"/>
      <c r="Q35" s="6" t="str">
        <f t="shared" ref="Q35:Q66" si="17">IF(COUNT(O35,P35)=2, O35-P35, "")</f>
        <v/>
      </c>
      <c r="R35" s="7" t="str">
        <f t="shared" ref="R35:R66" si="18">IFERROR(P35/O35,"")</f>
        <v/>
      </c>
      <c r="S35" s="10"/>
      <c r="T35" s="10"/>
      <c r="U35" s="10"/>
      <c r="V35" s="10"/>
      <c r="W35" s="6" t="str">
        <f t="shared" ref="W35:W66" si="19">IF(COUNT(U35,V35)=2, U35-V35, "")</f>
        <v/>
      </c>
      <c r="X35" s="7" t="str">
        <f t="shared" ref="X35:X66" si="20">IFERROR(V35/U35,"")</f>
        <v/>
      </c>
      <c r="Y35" s="10"/>
      <c r="Z35" s="10"/>
      <c r="AA35" s="10"/>
      <c r="AB35" s="10"/>
      <c r="AC35" s="6" t="str">
        <f t="shared" ref="AC35:AC66" si="21">IF(COUNT(AA35,AB35)=2, AA35-AB35, "")</f>
        <v/>
      </c>
      <c r="AD35" s="7" t="str">
        <f t="shared" ref="AD35:AD66" si="22">IFERROR(AB35/AA35,"")</f>
        <v/>
      </c>
      <c r="AE35" s="6" t="str">
        <f t="shared" ref="AE35:AE66" si="23">IF(AND(M35="",S35="",Y35=""),"",IFERROR(M35+S35+Y35,""))</f>
        <v/>
      </c>
      <c r="AF35" s="10"/>
      <c r="AG35" s="6" t="str">
        <f t="shared" ref="AG35:AG66" si="24">IF(AND(O35="",U35="",AA35=""),"",IFERROR(O35+U35+AA35,""))</f>
        <v/>
      </c>
      <c r="AH35" s="6" t="str">
        <f t="shared" ref="AH35:AH66" si="25">IF(AND(P35="",V35="",AB35=""),"",IFERROR(P35+V35+AB35,""))</f>
        <v/>
      </c>
      <c r="AI35" s="6" t="str">
        <f t="shared" ref="AI35:AI66" si="26">IF(AND(Q35="",W35="",AC35=""),"",IFERROR(Q35+W35+AC35,""))</f>
        <v/>
      </c>
      <c r="AJ35" s="7" t="str">
        <f t="shared" ref="AJ35:AJ66" si="27">IFERROR(AH35/AG35,"")</f>
        <v/>
      </c>
    </row>
    <row r="36" spans="1:36" ht="16.5" customHeight="1" x14ac:dyDescent="0.3">
      <c r="A36" s="11">
        <v>34</v>
      </c>
      <c r="B36" s="8">
        <f t="shared" si="14"/>
        <v>34</v>
      </c>
      <c r="C36" s="8" t="str">
        <f t="shared" si="15"/>
        <v/>
      </c>
      <c r="D36" s="13" t="s">
        <v>303</v>
      </c>
      <c r="E36" s="11" t="s">
        <v>50</v>
      </c>
      <c r="F36" s="11" t="s">
        <v>51</v>
      </c>
      <c r="G36" s="11" t="s">
        <v>41</v>
      </c>
      <c r="H36" s="15">
        <v>46258</v>
      </c>
      <c r="I36" s="15"/>
      <c r="J36" s="8" t="str">
        <f t="shared" si="16"/>
        <v>Pending</v>
      </c>
      <c r="K36" s="11" t="s">
        <v>42</v>
      </c>
      <c r="L36" s="13"/>
      <c r="M36" s="11"/>
      <c r="N36" s="11"/>
      <c r="O36" s="11"/>
      <c r="P36" s="11"/>
      <c r="Q36" s="6" t="str">
        <f t="shared" si="17"/>
        <v/>
      </c>
      <c r="R36" s="9" t="str">
        <f t="shared" si="18"/>
        <v/>
      </c>
      <c r="S36" s="11"/>
      <c r="T36" s="11"/>
      <c r="U36" s="11"/>
      <c r="V36" s="11"/>
      <c r="W36" s="6" t="str">
        <f t="shared" si="19"/>
        <v/>
      </c>
      <c r="X36" s="9" t="str">
        <f t="shared" si="20"/>
        <v/>
      </c>
      <c r="Y36" s="11"/>
      <c r="Z36" s="11"/>
      <c r="AA36" s="11"/>
      <c r="AB36" s="11"/>
      <c r="AC36" s="6" t="str">
        <f t="shared" si="21"/>
        <v/>
      </c>
      <c r="AD36" s="9" t="str">
        <f t="shared" si="22"/>
        <v/>
      </c>
      <c r="AE36" s="8" t="str">
        <f t="shared" si="23"/>
        <v/>
      </c>
      <c r="AF36" s="11"/>
      <c r="AG36" s="8" t="str">
        <f t="shared" si="24"/>
        <v/>
      </c>
      <c r="AH36" s="8" t="str">
        <f t="shared" si="25"/>
        <v/>
      </c>
      <c r="AI36" s="8" t="str">
        <f t="shared" si="26"/>
        <v/>
      </c>
      <c r="AJ36" s="9" t="str">
        <f t="shared" si="27"/>
        <v/>
      </c>
    </row>
    <row r="37" spans="1:36" ht="16.5" customHeight="1" x14ac:dyDescent="0.3">
      <c r="A37" s="10">
        <v>35</v>
      </c>
      <c r="B37" s="6">
        <f t="shared" si="14"/>
        <v>35</v>
      </c>
      <c r="C37" s="6" t="str">
        <f t="shared" si="15"/>
        <v/>
      </c>
      <c r="D37" s="12" t="s">
        <v>111</v>
      </c>
      <c r="E37" s="10" t="s">
        <v>36</v>
      </c>
      <c r="F37" s="10" t="s">
        <v>41</v>
      </c>
      <c r="G37" s="10" t="s">
        <v>41</v>
      </c>
      <c r="H37" s="14">
        <v>46260</v>
      </c>
      <c r="I37" s="14"/>
      <c r="J37" s="6" t="str">
        <f t="shared" si="16"/>
        <v>Pending</v>
      </c>
      <c r="K37" s="10" t="s">
        <v>42</v>
      </c>
      <c r="L37" s="12"/>
      <c r="M37" s="10"/>
      <c r="N37" s="10"/>
      <c r="O37" s="10"/>
      <c r="P37" s="10"/>
      <c r="Q37" s="6" t="str">
        <f t="shared" si="17"/>
        <v/>
      </c>
      <c r="R37" s="7" t="str">
        <f t="shared" si="18"/>
        <v/>
      </c>
      <c r="S37" s="10"/>
      <c r="T37" s="10"/>
      <c r="U37" s="10"/>
      <c r="V37" s="10"/>
      <c r="W37" s="6" t="str">
        <f t="shared" si="19"/>
        <v/>
      </c>
      <c r="X37" s="7" t="str">
        <f t="shared" si="20"/>
        <v/>
      </c>
      <c r="Y37" s="10"/>
      <c r="Z37" s="10"/>
      <c r="AA37" s="10"/>
      <c r="AB37" s="10"/>
      <c r="AC37" s="6" t="str">
        <f t="shared" si="21"/>
        <v/>
      </c>
      <c r="AD37" s="7" t="str">
        <f t="shared" si="22"/>
        <v/>
      </c>
      <c r="AE37" s="6" t="str">
        <f t="shared" si="23"/>
        <v/>
      </c>
      <c r="AF37" s="10"/>
      <c r="AG37" s="6" t="str">
        <f t="shared" si="24"/>
        <v/>
      </c>
      <c r="AH37" s="6" t="str">
        <f t="shared" si="25"/>
        <v/>
      </c>
      <c r="AI37" s="6" t="str">
        <f t="shared" si="26"/>
        <v/>
      </c>
      <c r="AJ37" s="7" t="str">
        <f t="shared" si="27"/>
        <v/>
      </c>
    </row>
    <row r="38" spans="1:36" ht="16.5" customHeight="1" x14ac:dyDescent="0.3">
      <c r="A38" s="11">
        <v>36</v>
      </c>
      <c r="B38" s="8">
        <f t="shared" si="14"/>
        <v>36</v>
      </c>
      <c r="C38" s="8" t="str">
        <f t="shared" si="15"/>
        <v/>
      </c>
      <c r="D38" s="13" t="s">
        <v>283</v>
      </c>
      <c r="E38" s="11" t="s">
        <v>40</v>
      </c>
      <c r="F38" s="11" t="s">
        <v>49</v>
      </c>
      <c r="G38" s="11" t="s">
        <v>41</v>
      </c>
      <c r="H38" s="15">
        <v>46261</v>
      </c>
      <c r="I38" s="15"/>
      <c r="J38" s="8" t="str">
        <f t="shared" si="16"/>
        <v>Pending</v>
      </c>
      <c r="K38" s="11" t="s">
        <v>42</v>
      </c>
      <c r="L38" s="13"/>
      <c r="M38" s="11"/>
      <c r="N38" s="11"/>
      <c r="O38" s="11"/>
      <c r="P38" s="11"/>
      <c r="Q38" s="6" t="str">
        <f t="shared" si="17"/>
        <v/>
      </c>
      <c r="R38" s="9" t="str">
        <f t="shared" si="18"/>
        <v/>
      </c>
      <c r="S38" s="11"/>
      <c r="T38" s="11"/>
      <c r="U38" s="11"/>
      <c r="V38" s="11"/>
      <c r="W38" s="6" t="str">
        <f t="shared" si="19"/>
        <v/>
      </c>
      <c r="X38" s="9" t="str">
        <f t="shared" si="20"/>
        <v/>
      </c>
      <c r="Y38" s="11"/>
      <c r="Z38" s="11"/>
      <c r="AA38" s="11"/>
      <c r="AB38" s="11"/>
      <c r="AC38" s="6" t="str">
        <f t="shared" si="21"/>
        <v/>
      </c>
      <c r="AD38" s="9" t="str">
        <f t="shared" si="22"/>
        <v/>
      </c>
      <c r="AE38" s="8" t="str">
        <f t="shared" si="23"/>
        <v/>
      </c>
      <c r="AF38" s="11"/>
      <c r="AG38" s="8" t="str">
        <f t="shared" si="24"/>
        <v/>
      </c>
      <c r="AH38" s="8" t="str">
        <f t="shared" si="25"/>
        <v/>
      </c>
      <c r="AI38" s="8" t="str">
        <f t="shared" si="26"/>
        <v/>
      </c>
      <c r="AJ38" s="9" t="str">
        <f t="shared" si="27"/>
        <v/>
      </c>
    </row>
    <row r="39" spans="1:36" ht="16.5" customHeight="1" x14ac:dyDescent="0.3">
      <c r="A39" s="10">
        <v>37</v>
      </c>
      <c r="B39" s="6">
        <f t="shared" si="14"/>
        <v>37</v>
      </c>
      <c r="C39" s="6" t="str">
        <f t="shared" si="15"/>
        <v/>
      </c>
      <c r="D39" s="12" t="s">
        <v>292</v>
      </c>
      <c r="E39" s="10" t="s">
        <v>40</v>
      </c>
      <c r="F39" s="10" t="s">
        <v>47</v>
      </c>
      <c r="G39" s="10" t="s">
        <v>41</v>
      </c>
      <c r="H39" s="14">
        <v>46262</v>
      </c>
      <c r="I39" s="14"/>
      <c r="J39" s="6" t="str">
        <f t="shared" si="16"/>
        <v>Pending</v>
      </c>
      <c r="K39" s="10" t="s">
        <v>42</v>
      </c>
      <c r="L39" s="12"/>
      <c r="M39" s="10"/>
      <c r="N39" s="10"/>
      <c r="O39" s="10"/>
      <c r="P39" s="10"/>
      <c r="Q39" s="6" t="str">
        <f t="shared" si="17"/>
        <v/>
      </c>
      <c r="R39" s="7" t="str">
        <f t="shared" si="18"/>
        <v/>
      </c>
      <c r="S39" s="10"/>
      <c r="T39" s="10"/>
      <c r="U39" s="10"/>
      <c r="V39" s="10"/>
      <c r="W39" s="6" t="str">
        <f t="shared" si="19"/>
        <v/>
      </c>
      <c r="X39" s="7" t="str">
        <f t="shared" si="20"/>
        <v/>
      </c>
      <c r="Y39" s="10"/>
      <c r="Z39" s="10"/>
      <c r="AA39" s="10"/>
      <c r="AB39" s="10"/>
      <c r="AC39" s="6" t="str">
        <f t="shared" si="21"/>
        <v/>
      </c>
      <c r="AD39" s="7" t="str">
        <f t="shared" si="22"/>
        <v/>
      </c>
      <c r="AE39" s="6" t="str">
        <f t="shared" si="23"/>
        <v/>
      </c>
      <c r="AF39" s="10"/>
      <c r="AG39" s="6" t="str">
        <f t="shared" si="24"/>
        <v/>
      </c>
      <c r="AH39" s="6" t="str">
        <f t="shared" si="25"/>
        <v/>
      </c>
      <c r="AI39" s="6" t="str">
        <f t="shared" si="26"/>
        <v/>
      </c>
      <c r="AJ39" s="7" t="str">
        <f t="shared" si="27"/>
        <v/>
      </c>
    </row>
    <row r="40" spans="1:36" ht="16.5" customHeight="1" x14ac:dyDescent="0.3">
      <c r="A40" s="11">
        <v>38</v>
      </c>
      <c r="B40" s="8">
        <f t="shared" si="14"/>
        <v>38</v>
      </c>
      <c r="C40" s="8" t="str">
        <f t="shared" si="15"/>
        <v/>
      </c>
      <c r="D40" s="13" t="s">
        <v>112</v>
      </c>
      <c r="E40" s="11" t="s">
        <v>36</v>
      </c>
      <c r="F40" s="11" t="s">
        <v>37</v>
      </c>
      <c r="G40" s="11" t="s">
        <v>38</v>
      </c>
      <c r="H40" s="15">
        <v>46264</v>
      </c>
      <c r="I40" s="15"/>
      <c r="J40" s="8" t="str">
        <f t="shared" si="16"/>
        <v>Pending</v>
      </c>
      <c r="K40" s="11" t="s">
        <v>42</v>
      </c>
      <c r="L40" s="13"/>
      <c r="M40" s="11"/>
      <c r="N40" s="11"/>
      <c r="O40" s="11"/>
      <c r="P40" s="11"/>
      <c r="Q40" s="6" t="str">
        <f t="shared" si="17"/>
        <v/>
      </c>
      <c r="R40" s="9" t="str">
        <f t="shared" si="18"/>
        <v/>
      </c>
      <c r="S40" s="11"/>
      <c r="T40" s="11"/>
      <c r="U40" s="11"/>
      <c r="V40" s="11"/>
      <c r="W40" s="6" t="str">
        <f t="shared" si="19"/>
        <v/>
      </c>
      <c r="X40" s="9" t="str">
        <f t="shared" si="20"/>
        <v/>
      </c>
      <c r="Y40" s="11"/>
      <c r="Z40" s="11"/>
      <c r="AA40" s="11"/>
      <c r="AB40" s="11"/>
      <c r="AC40" s="6" t="str">
        <f t="shared" si="21"/>
        <v/>
      </c>
      <c r="AD40" s="9" t="str">
        <f t="shared" si="22"/>
        <v/>
      </c>
      <c r="AE40" s="8" t="str">
        <f t="shared" si="23"/>
        <v/>
      </c>
      <c r="AF40" s="11"/>
      <c r="AG40" s="8" t="str">
        <f t="shared" si="24"/>
        <v/>
      </c>
      <c r="AH40" s="8" t="str">
        <f t="shared" si="25"/>
        <v/>
      </c>
      <c r="AI40" s="8" t="str">
        <f t="shared" si="26"/>
        <v/>
      </c>
      <c r="AJ40" s="9" t="str">
        <f t="shared" si="27"/>
        <v/>
      </c>
    </row>
    <row r="41" spans="1:36" ht="16.5" customHeight="1" x14ac:dyDescent="0.3">
      <c r="A41" s="10">
        <v>39</v>
      </c>
      <c r="B41" s="6">
        <f t="shared" si="14"/>
        <v>39</v>
      </c>
      <c r="C41" s="6" t="str">
        <f t="shared" si="15"/>
        <v/>
      </c>
      <c r="D41" s="12" t="s">
        <v>294</v>
      </c>
      <c r="E41" s="10" t="s">
        <v>43</v>
      </c>
      <c r="F41" s="10" t="s">
        <v>51</v>
      </c>
      <c r="G41" s="10" t="s">
        <v>41</v>
      </c>
      <c r="H41" s="14">
        <v>46265</v>
      </c>
      <c r="I41" s="14"/>
      <c r="J41" s="6" t="str">
        <f t="shared" si="16"/>
        <v>Pending</v>
      </c>
      <c r="K41" s="10" t="s">
        <v>42</v>
      </c>
      <c r="L41" s="12"/>
      <c r="M41" s="10"/>
      <c r="N41" s="10"/>
      <c r="O41" s="10"/>
      <c r="P41" s="10"/>
      <c r="Q41" s="6" t="str">
        <f t="shared" si="17"/>
        <v/>
      </c>
      <c r="R41" s="7" t="str">
        <f t="shared" si="18"/>
        <v/>
      </c>
      <c r="S41" s="10"/>
      <c r="T41" s="10"/>
      <c r="U41" s="10"/>
      <c r="V41" s="10"/>
      <c r="W41" s="6" t="str">
        <f t="shared" si="19"/>
        <v/>
      </c>
      <c r="X41" s="7" t="str">
        <f t="shared" si="20"/>
        <v/>
      </c>
      <c r="Y41" s="10"/>
      <c r="Z41" s="10"/>
      <c r="AA41" s="10"/>
      <c r="AB41" s="10"/>
      <c r="AC41" s="6" t="str">
        <f t="shared" si="21"/>
        <v/>
      </c>
      <c r="AD41" s="7" t="str">
        <f t="shared" si="22"/>
        <v/>
      </c>
      <c r="AE41" s="6" t="str">
        <f t="shared" si="23"/>
        <v/>
      </c>
      <c r="AF41" s="10"/>
      <c r="AG41" s="6" t="str">
        <f t="shared" si="24"/>
        <v/>
      </c>
      <c r="AH41" s="6" t="str">
        <f t="shared" si="25"/>
        <v/>
      </c>
      <c r="AI41" s="6" t="str">
        <f t="shared" si="26"/>
        <v/>
      </c>
      <c r="AJ41" s="7" t="str">
        <f t="shared" si="27"/>
        <v/>
      </c>
    </row>
    <row r="42" spans="1:36" ht="16.5" customHeight="1" x14ac:dyDescent="0.3">
      <c r="A42" s="11">
        <v>40</v>
      </c>
      <c r="B42" s="8">
        <f t="shared" si="14"/>
        <v>40</v>
      </c>
      <c r="C42" s="8" t="str">
        <f t="shared" si="15"/>
        <v/>
      </c>
      <c r="D42" s="13" t="s">
        <v>284</v>
      </c>
      <c r="E42" s="11" t="s">
        <v>36</v>
      </c>
      <c r="F42" s="11" t="s">
        <v>44</v>
      </c>
      <c r="G42" s="11" t="s">
        <v>45</v>
      </c>
      <c r="H42" s="15">
        <v>46266</v>
      </c>
      <c r="I42" s="15"/>
      <c r="J42" s="8" t="str">
        <f t="shared" si="16"/>
        <v>Pending</v>
      </c>
      <c r="K42" s="11" t="s">
        <v>42</v>
      </c>
      <c r="L42" s="13"/>
      <c r="M42" s="11"/>
      <c r="N42" s="11"/>
      <c r="O42" s="11"/>
      <c r="P42" s="11"/>
      <c r="Q42" s="6" t="str">
        <f t="shared" si="17"/>
        <v/>
      </c>
      <c r="R42" s="9" t="str">
        <f t="shared" si="18"/>
        <v/>
      </c>
      <c r="S42" s="11"/>
      <c r="T42" s="11"/>
      <c r="U42" s="11"/>
      <c r="V42" s="11"/>
      <c r="W42" s="6" t="str">
        <f t="shared" si="19"/>
        <v/>
      </c>
      <c r="X42" s="9" t="str">
        <f t="shared" si="20"/>
        <v/>
      </c>
      <c r="Y42" s="11"/>
      <c r="Z42" s="11"/>
      <c r="AA42" s="11"/>
      <c r="AB42" s="11"/>
      <c r="AC42" s="6" t="str">
        <f t="shared" si="21"/>
        <v/>
      </c>
      <c r="AD42" s="9" t="str">
        <f t="shared" si="22"/>
        <v/>
      </c>
      <c r="AE42" s="8" t="str">
        <f t="shared" si="23"/>
        <v/>
      </c>
      <c r="AF42" s="11"/>
      <c r="AG42" s="8" t="str">
        <f t="shared" si="24"/>
        <v/>
      </c>
      <c r="AH42" s="8" t="str">
        <f t="shared" si="25"/>
        <v/>
      </c>
      <c r="AI42" s="8" t="str">
        <f t="shared" si="26"/>
        <v/>
      </c>
      <c r="AJ42" s="9" t="str">
        <f t="shared" si="27"/>
        <v/>
      </c>
    </row>
    <row r="43" spans="1:36" ht="16.5" customHeight="1" x14ac:dyDescent="0.3">
      <c r="A43" s="10">
        <v>41</v>
      </c>
      <c r="B43" s="6">
        <f t="shared" si="14"/>
        <v>41</v>
      </c>
      <c r="C43" s="6" t="str">
        <f t="shared" si="15"/>
        <v/>
      </c>
      <c r="D43" s="12" t="s">
        <v>113</v>
      </c>
      <c r="E43" s="10" t="s">
        <v>36</v>
      </c>
      <c r="F43" s="10" t="s">
        <v>44</v>
      </c>
      <c r="G43" s="10" t="s">
        <v>45</v>
      </c>
      <c r="H43" s="14">
        <v>46267</v>
      </c>
      <c r="I43" s="14"/>
      <c r="J43" s="6" t="str">
        <f t="shared" si="16"/>
        <v>Pending</v>
      </c>
      <c r="K43" s="10" t="s">
        <v>42</v>
      </c>
      <c r="L43" s="12"/>
      <c r="M43" s="10"/>
      <c r="N43" s="10"/>
      <c r="O43" s="10"/>
      <c r="P43" s="10"/>
      <c r="Q43" s="6" t="str">
        <f t="shared" si="17"/>
        <v/>
      </c>
      <c r="R43" s="7" t="str">
        <f t="shared" si="18"/>
        <v/>
      </c>
      <c r="S43" s="10"/>
      <c r="T43" s="10"/>
      <c r="U43" s="10"/>
      <c r="V43" s="10"/>
      <c r="W43" s="6" t="str">
        <f t="shared" si="19"/>
        <v/>
      </c>
      <c r="X43" s="7" t="str">
        <f t="shared" si="20"/>
        <v/>
      </c>
      <c r="Y43" s="10"/>
      <c r="Z43" s="10"/>
      <c r="AA43" s="10"/>
      <c r="AB43" s="10"/>
      <c r="AC43" s="6" t="str">
        <f t="shared" si="21"/>
        <v/>
      </c>
      <c r="AD43" s="7" t="str">
        <f t="shared" si="22"/>
        <v/>
      </c>
      <c r="AE43" s="6" t="str">
        <f t="shared" si="23"/>
        <v/>
      </c>
      <c r="AF43" s="10"/>
      <c r="AG43" s="6" t="str">
        <f t="shared" si="24"/>
        <v/>
      </c>
      <c r="AH43" s="6" t="str">
        <f t="shared" si="25"/>
        <v/>
      </c>
      <c r="AI43" s="6" t="str">
        <f t="shared" si="26"/>
        <v/>
      </c>
      <c r="AJ43" s="7" t="str">
        <f t="shared" si="27"/>
        <v/>
      </c>
    </row>
    <row r="44" spans="1:36" ht="16.5" customHeight="1" x14ac:dyDescent="0.3">
      <c r="A44" s="11">
        <v>42</v>
      </c>
      <c r="B44" s="8">
        <f t="shared" si="14"/>
        <v>42</v>
      </c>
      <c r="C44" s="8" t="str">
        <f t="shared" si="15"/>
        <v/>
      </c>
      <c r="D44" s="13" t="s">
        <v>114</v>
      </c>
      <c r="E44" s="11" t="s">
        <v>36</v>
      </c>
      <c r="F44" s="11" t="s">
        <v>37</v>
      </c>
      <c r="G44" s="11" t="s">
        <v>38</v>
      </c>
      <c r="H44" s="15">
        <v>46271</v>
      </c>
      <c r="I44" s="15"/>
      <c r="J44" s="8" t="str">
        <f t="shared" si="16"/>
        <v>Pending</v>
      </c>
      <c r="K44" s="11" t="s">
        <v>42</v>
      </c>
      <c r="L44" s="13"/>
      <c r="M44" s="11"/>
      <c r="N44" s="11"/>
      <c r="O44" s="11"/>
      <c r="P44" s="11"/>
      <c r="Q44" s="6" t="str">
        <f t="shared" si="17"/>
        <v/>
      </c>
      <c r="R44" s="9" t="str">
        <f t="shared" si="18"/>
        <v/>
      </c>
      <c r="S44" s="11"/>
      <c r="T44" s="11"/>
      <c r="U44" s="11"/>
      <c r="V44" s="11"/>
      <c r="W44" s="6" t="str">
        <f t="shared" si="19"/>
        <v/>
      </c>
      <c r="X44" s="9" t="str">
        <f t="shared" si="20"/>
        <v/>
      </c>
      <c r="Y44" s="11"/>
      <c r="Z44" s="11"/>
      <c r="AA44" s="11"/>
      <c r="AB44" s="11"/>
      <c r="AC44" s="6" t="str">
        <f t="shared" si="21"/>
        <v/>
      </c>
      <c r="AD44" s="9" t="str">
        <f t="shared" si="22"/>
        <v/>
      </c>
      <c r="AE44" s="8" t="str">
        <f t="shared" si="23"/>
        <v/>
      </c>
      <c r="AF44" s="11"/>
      <c r="AG44" s="8" t="str">
        <f t="shared" si="24"/>
        <v/>
      </c>
      <c r="AH44" s="8" t="str">
        <f t="shared" si="25"/>
        <v/>
      </c>
      <c r="AI44" s="8" t="str">
        <f t="shared" si="26"/>
        <v/>
      </c>
      <c r="AJ44" s="9" t="str">
        <f t="shared" si="27"/>
        <v/>
      </c>
    </row>
    <row r="45" spans="1:36" ht="16.5" customHeight="1" x14ac:dyDescent="0.3">
      <c r="A45" s="10">
        <v>43</v>
      </c>
      <c r="B45" s="6">
        <f t="shared" si="14"/>
        <v>43</v>
      </c>
      <c r="C45" s="6" t="str">
        <f t="shared" si="15"/>
        <v/>
      </c>
      <c r="D45" s="12" t="s">
        <v>115</v>
      </c>
      <c r="E45" s="10" t="s">
        <v>36</v>
      </c>
      <c r="F45" s="10" t="s">
        <v>41</v>
      </c>
      <c r="G45" s="10" t="s">
        <v>41</v>
      </c>
      <c r="H45" s="14">
        <v>46274</v>
      </c>
      <c r="I45" s="14"/>
      <c r="J45" s="6" t="str">
        <f t="shared" si="16"/>
        <v>Pending</v>
      </c>
      <c r="K45" s="10" t="s">
        <v>42</v>
      </c>
      <c r="L45" s="12"/>
      <c r="M45" s="10"/>
      <c r="N45" s="10"/>
      <c r="O45" s="10"/>
      <c r="P45" s="10"/>
      <c r="Q45" s="6" t="str">
        <f t="shared" si="17"/>
        <v/>
      </c>
      <c r="R45" s="7" t="str">
        <f t="shared" si="18"/>
        <v/>
      </c>
      <c r="S45" s="10"/>
      <c r="T45" s="10"/>
      <c r="U45" s="10"/>
      <c r="V45" s="10"/>
      <c r="W45" s="6" t="str">
        <f t="shared" si="19"/>
        <v/>
      </c>
      <c r="X45" s="7" t="str">
        <f t="shared" si="20"/>
        <v/>
      </c>
      <c r="Y45" s="10"/>
      <c r="Z45" s="10"/>
      <c r="AA45" s="10"/>
      <c r="AB45" s="10"/>
      <c r="AC45" s="6" t="str">
        <f t="shared" si="21"/>
        <v/>
      </c>
      <c r="AD45" s="7" t="str">
        <f t="shared" si="22"/>
        <v/>
      </c>
      <c r="AE45" s="6" t="str">
        <f t="shared" si="23"/>
        <v/>
      </c>
      <c r="AF45" s="10"/>
      <c r="AG45" s="6" t="str">
        <f t="shared" si="24"/>
        <v/>
      </c>
      <c r="AH45" s="6" t="str">
        <f t="shared" si="25"/>
        <v/>
      </c>
      <c r="AI45" s="6" t="str">
        <f t="shared" si="26"/>
        <v/>
      </c>
      <c r="AJ45" s="7" t="str">
        <f t="shared" si="27"/>
        <v/>
      </c>
    </row>
    <row r="46" spans="1:36" ht="16.5" customHeight="1" x14ac:dyDescent="0.3">
      <c r="A46" s="11">
        <v>44</v>
      </c>
      <c r="B46" s="8">
        <f t="shared" si="14"/>
        <v>44</v>
      </c>
      <c r="C46" s="8" t="str">
        <f t="shared" si="15"/>
        <v/>
      </c>
      <c r="D46" s="13" t="s">
        <v>295</v>
      </c>
      <c r="E46" s="11" t="s">
        <v>40</v>
      </c>
      <c r="F46" s="11" t="s">
        <v>47</v>
      </c>
      <c r="G46" s="11" t="s">
        <v>41</v>
      </c>
      <c r="H46" s="15">
        <v>46276</v>
      </c>
      <c r="I46" s="15"/>
      <c r="J46" s="8" t="str">
        <f t="shared" si="16"/>
        <v>Pending</v>
      </c>
      <c r="K46" s="11" t="s">
        <v>42</v>
      </c>
      <c r="L46" s="13"/>
      <c r="M46" s="11"/>
      <c r="N46" s="11"/>
      <c r="O46" s="11"/>
      <c r="P46" s="11"/>
      <c r="Q46" s="6" t="str">
        <f t="shared" si="17"/>
        <v/>
      </c>
      <c r="R46" s="9" t="str">
        <f t="shared" si="18"/>
        <v/>
      </c>
      <c r="S46" s="11"/>
      <c r="T46" s="11"/>
      <c r="U46" s="11"/>
      <c r="V46" s="11"/>
      <c r="W46" s="6" t="str">
        <f t="shared" si="19"/>
        <v/>
      </c>
      <c r="X46" s="9" t="str">
        <f t="shared" si="20"/>
        <v/>
      </c>
      <c r="Y46" s="11"/>
      <c r="Z46" s="11"/>
      <c r="AA46" s="11"/>
      <c r="AB46" s="11"/>
      <c r="AC46" s="6" t="str">
        <f t="shared" si="21"/>
        <v/>
      </c>
      <c r="AD46" s="9" t="str">
        <f t="shared" si="22"/>
        <v/>
      </c>
      <c r="AE46" s="8" t="str">
        <f t="shared" si="23"/>
        <v/>
      </c>
      <c r="AF46" s="11"/>
      <c r="AG46" s="8" t="str">
        <f t="shared" si="24"/>
        <v/>
      </c>
      <c r="AH46" s="8" t="str">
        <f t="shared" si="25"/>
        <v/>
      </c>
      <c r="AI46" s="8" t="str">
        <f t="shared" si="26"/>
        <v/>
      </c>
      <c r="AJ46" s="9" t="str">
        <f t="shared" si="27"/>
        <v/>
      </c>
    </row>
    <row r="47" spans="1:36" ht="16.5" customHeight="1" x14ac:dyDescent="0.3">
      <c r="A47" s="10">
        <v>45</v>
      </c>
      <c r="B47" s="6">
        <f t="shared" si="14"/>
        <v>45</v>
      </c>
      <c r="C47" s="6" t="str">
        <f t="shared" si="15"/>
        <v/>
      </c>
      <c r="D47" s="12" t="s">
        <v>116</v>
      </c>
      <c r="E47" s="10" t="s">
        <v>36</v>
      </c>
      <c r="F47" s="10" t="s">
        <v>37</v>
      </c>
      <c r="G47" s="10" t="s">
        <v>38</v>
      </c>
      <c r="H47" s="14">
        <v>46278</v>
      </c>
      <c r="I47" s="14"/>
      <c r="J47" s="6" t="str">
        <f t="shared" si="16"/>
        <v>Pending</v>
      </c>
      <c r="K47" s="10" t="s">
        <v>42</v>
      </c>
      <c r="L47" s="12"/>
      <c r="M47" s="10"/>
      <c r="N47" s="10"/>
      <c r="O47" s="10"/>
      <c r="P47" s="10"/>
      <c r="Q47" s="6" t="str">
        <f t="shared" si="17"/>
        <v/>
      </c>
      <c r="R47" s="7" t="str">
        <f t="shared" si="18"/>
        <v/>
      </c>
      <c r="S47" s="10"/>
      <c r="T47" s="10"/>
      <c r="U47" s="10"/>
      <c r="V47" s="10"/>
      <c r="W47" s="6" t="str">
        <f t="shared" si="19"/>
        <v/>
      </c>
      <c r="X47" s="7" t="str">
        <f t="shared" si="20"/>
        <v/>
      </c>
      <c r="Y47" s="10"/>
      <c r="Z47" s="10"/>
      <c r="AA47" s="10"/>
      <c r="AB47" s="10"/>
      <c r="AC47" s="6" t="str">
        <f t="shared" si="21"/>
        <v/>
      </c>
      <c r="AD47" s="7" t="str">
        <f t="shared" si="22"/>
        <v/>
      </c>
      <c r="AE47" s="6" t="str">
        <f t="shared" si="23"/>
        <v/>
      </c>
      <c r="AF47" s="10"/>
      <c r="AG47" s="6" t="str">
        <f t="shared" si="24"/>
        <v/>
      </c>
      <c r="AH47" s="6" t="str">
        <f t="shared" si="25"/>
        <v/>
      </c>
      <c r="AI47" s="6" t="str">
        <f t="shared" si="26"/>
        <v/>
      </c>
      <c r="AJ47" s="7" t="str">
        <f t="shared" si="27"/>
        <v/>
      </c>
    </row>
    <row r="48" spans="1:36" ht="16.5" customHeight="1" x14ac:dyDescent="0.3">
      <c r="A48" s="11">
        <v>46</v>
      </c>
      <c r="B48" s="8">
        <f t="shared" si="14"/>
        <v>46</v>
      </c>
      <c r="C48" s="8" t="str">
        <f t="shared" si="15"/>
        <v/>
      </c>
      <c r="D48" s="13" t="s">
        <v>117</v>
      </c>
      <c r="E48" s="11" t="s">
        <v>36</v>
      </c>
      <c r="F48" s="11" t="s">
        <v>44</v>
      </c>
      <c r="G48" s="11" t="s">
        <v>45</v>
      </c>
      <c r="H48" s="15">
        <v>46281</v>
      </c>
      <c r="I48" s="15"/>
      <c r="J48" s="8" t="str">
        <f t="shared" si="16"/>
        <v>Pending</v>
      </c>
      <c r="K48" s="11" t="s">
        <v>42</v>
      </c>
      <c r="L48" s="13"/>
      <c r="M48" s="11"/>
      <c r="N48" s="11"/>
      <c r="O48" s="11"/>
      <c r="P48" s="11"/>
      <c r="Q48" s="6" t="str">
        <f t="shared" si="17"/>
        <v/>
      </c>
      <c r="R48" s="9" t="str">
        <f t="shared" si="18"/>
        <v/>
      </c>
      <c r="S48" s="11"/>
      <c r="T48" s="11"/>
      <c r="U48" s="11"/>
      <c r="V48" s="11"/>
      <c r="W48" s="6" t="str">
        <f t="shared" si="19"/>
        <v/>
      </c>
      <c r="X48" s="9" t="str">
        <f t="shared" si="20"/>
        <v/>
      </c>
      <c r="Y48" s="11"/>
      <c r="Z48" s="11"/>
      <c r="AA48" s="11"/>
      <c r="AB48" s="11"/>
      <c r="AC48" s="6" t="str">
        <f t="shared" si="21"/>
        <v/>
      </c>
      <c r="AD48" s="9" t="str">
        <f t="shared" si="22"/>
        <v/>
      </c>
      <c r="AE48" s="8" t="str">
        <f t="shared" si="23"/>
        <v/>
      </c>
      <c r="AF48" s="11"/>
      <c r="AG48" s="8" t="str">
        <f t="shared" si="24"/>
        <v/>
      </c>
      <c r="AH48" s="8" t="str">
        <f t="shared" si="25"/>
        <v/>
      </c>
      <c r="AI48" s="8" t="str">
        <f t="shared" si="26"/>
        <v/>
      </c>
      <c r="AJ48" s="9" t="str">
        <f t="shared" si="27"/>
        <v/>
      </c>
    </row>
    <row r="49" spans="1:36" ht="16.5" customHeight="1" x14ac:dyDescent="0.3">
      <c r="A49" s="10">
        <v>47</v>
      </c>
      <c r="B49" s="6">
        <f t="shared" si="14"/>
        <v>47</v>
      </c>
      <c r="C49" s="6" t="str">
        <f t="shared" si="15"/>
        <v/>
      </c>
      <c r="D49" s="12" t="s">
        <v>118</v>
      </c>
      <c r="E49" s="10" t="s">
        <v>36</v>
      </c>
      <c r="F49" s="10" t="s">
        <v>41</v>
      </c>
      <c r="G49" s="10" t="s">
        <v>41</v>
      </c>
      <c r="H49" s="14">
        <v>46284</v>
      </c>
      <c r="I49" s="14"/>
      <c r="J49" s="6" t="str">
        <f t="shared" si="16"/>
        <v>Pending</v>
      </c>
      <c r="K49" s="10" t="s">
        <v>42</v>
      </c>
      <c r="L49" s="12"/>
      <c r="M49" s="10"/>
      <c r="N49" s="10"/>
      <c r="O49" s="10"/>
      <c r="P49" s="10"/>
      <c r="Q49" s="6" t="str">
        <f t="shared" si="17"/>
        <v/>
      </c>
      <c r="R49" s="7" t="str">
        <f t="shared" si="18"/>
        <v/>
      </c>
      <c r="S49" s="10"/>
      <c r="T49" s="10"/>
      <c r="U49" s="10"/>
      <c r="V49" s="10"/>
      <c r="W49" s="6" t="str">
        <f t="shared" si="19"/>
        <v/>
      </c>
      <c r="X49" s="7" t="str">
        <f t="shared" si="20"/>
        <v/>
      </c>
      <c r="Y49" s="10"/>
      <c r="Z49" s="10"/>
      <c r="AA49" s="10"/>
      <c r="AB49" s="10"/>
      <c r="AC49" s="6" t="str">
        <f t="shared" si="21"/>
        <v/>
      </c>
      <c r="AD49" s="7" t="str">
        <f t="shared" si="22"/>
        <v/>
      </c>
      <c r="AE49" s="6" t="str">
        <f t="shared" si="23"/>
        <v/>
      </c>
      <c r="AF49" s="10"/>
      <c r="AG49" s="6" t="str">
        <f t="shared" si="24"/>
        <v/>
      </c>
      <c r="AH49" s="6" t="str">
        <f t="shared" si="25"/>
        <v/>
      </c>
      <c r="AI49" s="6" t="str">
        <f t="shared" si="26"/>
        <v/>
      </c>
      <c r="AJ49" s="7" t="str">
        <f t="shared" si="27"/>
        <v/>
      </c>
    </row>
    <row r="50" spans="1:36" ht="16.5" customHeight="1" x14ac:dyDescent="0.3">
      <c r="A50" s="11">
        <v>48</v>
      </c>
      <c r="B50" s="8">
        <f t="shared" si="14"/>
        <v>48</v>
      </c>
      <c r="C50" s="8" t="str">
        <f t="shared" si="15"/>
        <v/>
      </c>
      <c r="D50" s="13" t="s">
        <v>286</v>
      </c>
      <c r="E50" s="11" t="s">
        <v>36</v>
      </c>
      <c r="F50" s="11" t="s">
        <v>44</v>
      </c>
      <c r="G50" s="11" t="s">
        <v>45</v>
      </c>
      <c r="H50" s="15">
        <v>46285</v>
      </c>
      <c r="I50" s="15"/>
      <c r="J50" s="8" t="str">
        <f t="shared" si="16"/>
        <v>Pending</v>
      </c>
      <c r="K50" s="11" t="s">
        <v>42</v>
      </c>
      <c r="L50" s="13"/>
      <c r="M50" s="11"/>
      <c r="N50" s="11"/>
      <c r="O50" s="11"/>
      <c r="P50" s="11"/>
      <c r="Q50" s="6" t="str">
        <f t="shared" si="17"/>
        <v/>
      </c>
      <c r="R50" s="9" t="str">
        <f t="shared" si="18"/>
        <v/>
      </c>
      <c r="S50" s="11"/>
      <c r="T50" s="11"/>
      <c r="U50" s="11"/>
      <c r="V50" s="11"/>
      <c r="W50" s="6" t="str">
        <f t="shared" si="19"/>
        <v/>
      </c>
      <c r="X50" s="9" t="str">
        <f t="shared" si="20"/>
        <v/>
      </c>
      <c r="Y50" s="11"/>
      <c r="Z50" s="11"/>
      <c r="AA50" s="11"/>
      <c r="AB50" s="11"/>
      <c r="AC50" s="6" t="str">
        <f t="shared" si="21"/>
        <v/>
      </c>
      <c r="AD50" s="9" t="str">
        <f t="shared" si="22"/>
        <v/>
      </c>
      <c r="AE50" s="8" t="str">
        <f t="shared" si="23"/>
        <v/>
      </c>
      <c r="AF50" s="11"/>
      <c r="AG50" s="8" t="str">
        <f t="shared" si="24"/>
        <v/>
      </c>
      <c r="AH50" s="8" t="str">
        <f t="shared" si="25"/>
        <v/>
      </c>
      <c r="AI50" s="8" t="str">
        <f t="shared" si="26"/>
        <v/>
      </c>
      <c r="AJ50" s="9" t="str">
        <f t="shared" si="27"/>
        <v/>
      </c>
    </row>
    <row r="51" spans="1:36" ht="16.5" customHeight="1" x14ac:dyDescent="0.3">
      <c r="A51" s="10">
        <v>49</v>
      </c>
      <c r="B51" s="6">
        <f t="shared" si="14"/>
        <v>49</v>
      </c>
      <c r="C51" s="6" t="str">
        <f t="shared" si="15"/>
        <v/>
      </c>
      <c r="D51" s="12" t="s">
        <v>119</v>
      </c>
      <c r="E51" s="10" t="s">
        <v>36</v>
      </c>
      <c r="F51" s="10" t="s">
        <v>44</v>
      </c>
      <c r="G51" s="10" t="s">
        <v>45</v>
      </c>
      <c r="H51" s="14">
        <v>46288</v>
      </c>
      <c r="I51" s="14"/>
      <c r="J51" s="6" t="str">
        <f t="shared" si="16"/>
        <v>Pending</v>
      </c>
      <c r="K51" s="10" t="s">
        <v>42</v>
      </c>
      <c r="L51" s="12"/>
      <c r="M51" s="10"/>
      <c r="N51" s="10"/>
      <c r="O51" s="10"/>
      <c r="P51" s="10"/>
      <c r="Q51" s="6" t="str">
        <f t="shared" si="17"/>
        <v/>
      </c>
      <c r="R51" s="7" t="str">
        <f t="shared" si="18"/>
        <v/>
      </c>
      <c r="S51" s="10"/>
      <c r="T51" s="10"/>
      <c r="U51" s="10"/>
      <c r="V51" s="10"/>
      <c r="W51" s="6" t="str">
        <f t="shared" si="19"/>
        <v/>
      </c>
      <c r="X51" s="7" t="str">
        <f t="shared" si="20"/>
        <v/>
      </c>
      <c r="Y51" s="10"/>
      <c r="Z51" s="10"/>
      <c r="AA51" s="10"/>
      <c r="AB51" s="10"/>
      <c r="AC51" s="6" t="str">
        <f t="shared" si="21"/>
        <v/>
      </c>
      <c r="AD51" s="7" t="str">
        <f t="shared" si="22"/>
        <v/>
      </c>
      <c r="AE51" s="6" t="str">
        <f t="shared" si="23"/>
        <v/>
      </c>
      <c r="AF51" s="10"/>
      <c r="AG51" s="6" t="str">
        <f t="shared" si="24"/>
        <v/>
      </c>
      <c r="AH51" s="6" t="str">
        <f t="shared" si="25"/>
        <v/>
      </c>
      <c r="AI51" s="6" t="str">
        <f t="shared" si="26"/>
        <v/>
      </c>
      <c r="AJ51" s="7" t="str">
        <f t="shared" si="27"/>
        <v/>
      </c>
    </row>
    <row r="52" spans="1:36" ht="16.5" customHeight="1" x14ac:dyDescent="0.3">
      <c r="A52" s="11">
        <v>50</v>
      </c>
      <c r="B52" s="8">
        <f t="shared" si="14"/>
        <v>50</v>
      </c>
      <c r="C52" s="8" t="str">
        <f t="shared" si="15"/>
        <v/>
      </c>
      <c r="D52" s="13" t="s">
        <v>120</v>
      </c>
      <c r="E52" s="11" t="s">
        <v>36</v>
      </c>
      <c r="F52" s="11" t="s">
        <v>37</v>
      </c>
      <c r="G52" s="11" t="s">
        <v>38</v>
      </c>
      <c r="H52" s="15">
        <v>46292</v>
      </c>
      <c r="I52" s="15"/>
      <c r="J52" s="8" t="str">
        <f t="shared" si="16"/>
        <v>Pending</v>
      </c>
      <c r="K52" s="11" t="s">
        <v>42</v>
      </c>
      <c r="L52" s="13"/>
      <c r="M52" s="11"/>
      <c r="N52" s="11"/>
      <c r="O52" s="11"/>
      <c r="P52" s="11"/>
      <c r="Q52" s="6" t="str">
        <f t="shared" si="17"/>
        <v/>
      </c>
      <c r="R52" s="9" t="str">
        <f t="shared" si="18"/>
        <v/>
      </c>
      <c r="S52" s="11"/>
      <c r="T52" s="11"/>
      <c r="U52" s="11"/>
      <c r="V52" s="11"/>
      <c r="W52" s="6" t="str">
        <f t="shared" si="19"/>
        <v/>
      </c>
      <c r="X52" s="9" t="str">
        <f t="shared" si="20"/>
        <v/>
      </c>
      <c r="Y52" s="11"/>
      <c r="Z52" s="11"/>
      <c r="AA52" s="11"/>
      <c r="AB52" s="11"/>
      <c r="AC52" s="6" t="str">
        <f t="shared" si="21"/>
        <v/>
      </c>
      <c r="AD52" s="9" t="str">
        <f t="shared" si="22"/>
        <v/>
      </c>
      <c r="AE52" s="8" t="str">
        <f t="shared" si="23"/>
        <v/>
      </c>
      <c r="AF52" s="11"/>
      <c r="AG52" s="8" t="str">
        <f t="shared" si="24"/>
        <v/>
      </c>
      <c r="AH52" s="8" t="str">
        <f t="shared" si="25"/>
        <v/>
      </c>
      <c r="AI52" s="8" t="str">
        <f t="shared" si="26"/>
        <v/>
      </c>
      <c r="AJ52" s="9" t="str">
        <f t="shared" si="27"/>
        <v/>
      </c>
    </row>
    <row r="53" spans="1:36" ht="16.5" customHeight="1" x14ac:dyDescent="0.3">
      <c r="A53" s="10">
        <v>51</v>
      </c>
      <c r="B53" s="6">
        <f t="shared" si="14"/>
        <v>51</v>
      </c>
      <c r="C53" s="6" t="str">
        <f t="shared" si="15"/>
        <v/>
      </c>
      <c r="D53" s="12" t="s">
        <v>297</v>
      </c>
      <c r="E53" s="10" t="s">
        <v>40</v>
      </c>
      <c r="F53" s="10" t="s">
        <v>47</v>
      </c>
      <c r="G53" s="10" t="s">
        <v>41</v>
      </c>
      <c r="H53" s="14">
        <v>46294</v>
      </c>
      <c r="I53" s="14"/>
      <c r="J53" s="6" t="str">
        <f t="shared" si="16"/>
        <v>Pending</v>
      </c>
      <c r="K53" s="10" t="s">
        <v>42</v>
      </c>
      <c r="L53" s="12"/>
      <c r="M53" s="10"/>
      <c r="N53" s="10"/>
      <c r="O53" s="10"/>
      <c r="P53" s="10"/>
      <c r="Q53" s="6" t="str">
        <f t="shared" si="17"/>
        <v/>
      </c>
      <c r="R53" s="7" t="str">
        <f t="shared" si="18"/>
        <v/>
      </c>
      <c r="S53" s="10"/>
      <c r="T53" s="10"/>
      <c r="U53" s="10"/>
      <c r="V53" s="10"/>
      <c r="W53" s="6" t="str">
        <f t="shared" si="19"/>
        <v/>
      </c>
      <c r="X53" s="7" t="str">
        <f t="shared" si="20"/>
        <v/>
      </c>
      <c r="Y53" s="10"/>
      <c r="Z53" s="10"/>
      <c r="AA53" s="10"/>
      <c r="AB53" s="10"/>
      <c r="AC53" s="6" t="str">
        <f t="shared" si="21"/>
        <v/>
      </c>
      <c r="AD53" s="7" t="str">
        <f t="shared" si="22"/>
        <v/>
      </c>
      <c r="AE53" s="6" t="str">
        <f t="shared" si="23"/>
        <v/>
      </c>
      <c r="AF53" s="10"/>
      <c r="AG53" s="6" t="str">
        <f t="shared" si="24"/>
        <v/>
      </c>
      <c r="AH53" s="6" t="str">
        <f t="shared" si="25"/>
        <v/>
      </c>
      <c r="AI53" s="6" t="str">
        <f t="shared" si="26"/>
        <v/>
      </c>
      <c r="AJ53" s="7" t="str">
        <f t="shared" si="27"/>
        <v/>
      </c>
    </row>
    <row r="54" spans="1:36" ht="16.5" customHeight="1" x14ac:dyDescent="0.3">
      <c r="A54" s="11">
        <v>52</v>
      </c>
      <c r="B54" s="8">
        <f t="shared" si="14"/>
        <v>52</v>
      </c>
      <c r="C54" s="8" t="str">
        <f t="shared" si="15"/>
        <v/>
      </c>
      <c r="D54" s="13" t="s">
        <v>121</v>
      </c>
      <c r="E54" s="11" t="s">
        <v>36</v>
      </c>
      <c r="F54" s="11" t="s">
        <v>41</v>
      </c>
      <c r="G54" s="11" t="s">
        <v>41</v>
      </c>
      <c r="H54" s="15">
        <v>46295</v>
      </c>
      <c r="I54" s="15"/>
      <c r="J54" s="8" t="str">
        <f t="shared" si="16"/>
        <v>Pending</v>
      </c>
      <c r="K54" s="11" t="s">
        <v>42</v>
      </c>
      <c r="L54" s="13"/>
      <c r="M54" s="11"/>
      <c r="N54" s="11"/>
      <c r="O54" s="11"/>
      <c r="P54" s="11"/>
      <c r="Q54" s="6" t="str">
        <f t="shared" si="17"/>
        <v/>
      </c>
      <c r="R54" s="9" t="str">
        <f t="shared" si="18"/>
        <v/>
      </c>
      <c r="S54" s="11"/>
      <c r="T54" s="11"/>
      <c r="U54" s="11"/>
      <c r="V54" s="11"/>
      <c r="W54" s="6" t="str">
        <f t="shared" si="19"/>
        <v/>
      </c>
      <c r="X54" s="9" t="str">
        <f t="shared" si="20"/>
        <v/>
      </c>
      <c r="Y54" s="11"/>
      <c r="Z54" s="11"/>
      <c r="AA54" s="11"/>
      <c r="AB54" s="11"/>
      <c r="AC54" s="6" t="str">
        <f t="shared" si="21"/>
        <v/>
      </c>
      <c r="AD54" s="9" t="str">
        <f t="shared" si="22"/>
        <v/>
      </c>
      <c r="AE54" s="8" t="str">
        <f t="shared" si="23"/>
        <v/>
      </c>
      <c r="AF54" s="11"/>
      <c r="AG54" s="8" t="str">
        <f t="shared" si="24"/>
        <v/>
      </c>
      <c r="AH54" s="8" t="str">
        <f t="shared" si="25"/>
        <v/>
      </c>
      <c r="AI54" s="8" t="str">
        <f t="shared" si="26"/>
        <v/>
      </c>
      <c r="AJ54" s="9" t="str">
        <f t="shared" si="27"/>
        <v/>
      </c>
    </row>
    <row r="55" spans="1:36" ht="16.5" customHeight="1" x14ac:dyDescent="0.3">
      <c r="A55" s="10">
        <v>53</v>
      </c>
      <c r="B55" s="6">
        <f t="shared" si="14"/>
        <v>53</v>
      </c>
      <c r="C55" s="6" t="str">
        <f t="shared" si="15"/>
        <v/>
      </c>
      <c r="D55" s="12" t="s">
        <v>289</v>
      </c>
      <c r="E55" s="10" t="s">
        <v>40</v>
      </c>
      <c r="F55" s="10" t="s">
        <v>49</v>
      </c>
      <c r="G55" s="10" t="s">
        <v>41</v>
      </c>
      <c r="H55" s="14">
        <v>46297</v>
      </c>
      <c r="I55" s="14"/>
      <c r="J55" s="6" t="str">
        <f t="shared" si="16"/>
        <v>Pending</v>
      </c>
      <c r="K55" s="10" t="s">
        <v>42</v>
      </c>
      <c r="L55" s="12"/>
      <c r="M55" s="10"/>
      <c r="N55" s="10"/>
      <c r="O55" s="10"/>
      <c r="P55" s="10"/>
      <c r="Q55" s="6" t="str">
        <f t="shared" si="17"/>
        <v/>
      </c>
      <c r="R55" s="7" t="str">
        <f t="shared" si="18"/>
        <v/>
      </c>
      <c r="S55" s="10"/>
      <c r="T55" s="10"/>
      <c r="U55" s="10"/>
      <c r="V55" s="10"/>
      <c r="W55" s="6" t="str">
        <f t="shared" si="19"/>
        <v/>
      </c>
      <c r="X55" s="7" t="str">
        <f t="shared" si="20"/>
        <v/>
      </c>
      <c r="Y55" s="10"/>
      <c r="Z55" s="10"/>
      <c r="AA55" s="10"/>
      <c r="AB55" s="10"/>
      <c r="AC55" s="6" t="str">
        <f t="shared" si="21"/>
        <v/>
      </c>
      <c r="AD55" s="7" t="str">
        <f t="shared" si="22"/>
        <v/>
      </c>
      <c r="AE55" s="6" t="str">
        <f t="shared" si="23"/>
        <v/>
      </c>
      <c r="AF55" s="10"/>
      <c r="AG55" s="6" t="str">
        <f t="shared" si="24"/>
        <v/>
      </c>
      <c r="AH55" s="6" t="str">
        <f t="shared" si="25"/>
        <v/>
      </c>
      <c r="AI55" s="6" t="str">
        <f t="shared" si="26"/>
        <v/>
      </c>
      <c r="AJ55" s="7" t="str">
        <f t="shared" si="27"/>
        <v/>
      </c>
    </row>
    <row r="56" spans="1:36" ht="16.5" customHeight="1" x14ac:dyDescent="0.3">
      <c r="A56" s="11">
        <v>54</v>
      </c>
      <c r="B56" s="8">
        <f t="shared" si="14"/>
        <v>54</v>
      </c>
      <c r="C56" s="8" t="str">
        <f t="shared" si="15"/>
        <v/>
      </c>
      <c r="D56" s="13" t="s">
        <v>300</v>
      </c>
      <c r="E56" s="11" t="s">
        <v>43</v>
      </c>
      <c r="F56" s="11" t="s">
        <v>51</v>
      </c>
      <c r="G56" s="11" t="s">
        <v>41</v>
      </c>
      <c r="H56" s="15">
        <v>46298</v>
      </c>
      <c r="I56" s="15"/>
      <c r="J56" s="8" t="str">
        <f t="shared" si="16"/>
        <v>Pending</v>
      </c>
      <c r="K56" s="11" t="s">
        <v>42</v>
      </c>
      <c r="L56" s="13"/>
      <c r="M56" s="11"/>
      <c r="N56" s="11"/>
      <c r="O56" s="11"/>
      <c r="P56" s="11"/>
      <c r="Q56" s="6" t="str">
        <f t="shared" si="17"/>
        <v/>
      </c>
      <c r="R56" s="9" t="str">
        <f t="shared" si="18"/>
        <v/>
      </c>
      <c r="S56" s="11"/>
      <c r="T56" s="11"/>
      <c r="U56" s="11"/>
      <c r="V56" s="11"/>
      <c r="W56" s="6" t="str">
        <f t="shared" si="19"/>
        <v/>
      </c>
      <c r="X56" s="9" t="str">
        <f t="shared" si="20"/>
        <v/>
      </c>
      <c r="Y56" s="11"/>
      <c r="Z56" s="11"/>
      <c r="AA56" s="11"/>
      <c r="AB56" s="11"/>
      <c r="AC56" s="6" t="str">
        <f t="shared" si="21"/>
        <v/>
      </c>
      <c r="AD56" s="9" t="str">
        <f t="shared" si="22"/>
        <v/>
      </c>
      <c r="AE56" s="8" t="str">
        <f t="shared" si="23"/>
        <v/>
      </c>
      <c r="AF56" s="11"/>
      <c r="AG56" s="8" t="str">
        <f t="shared" si="24"/>
        <v/>
      </c>
      <c r="AH56" s="8" t="str">
        <f t="shared" si="25"/>
        <v/>
      </c>
      <c r="AI56" s="8" t="str">
        <f t="shared" si="26"/>
        <v/>
      </c>
      <c r="AJ56" s="9" t="str">
        <f t="shared" si="27"/>
        <v/>
      </c>
    </row>
    <row r="57" spans="1:36" ht="16.5" customHeight="1" x14ac:dyDescent="0.3">
      <c r="A57" s="10">
        <v>55</v>
      </c>
      <c r="B57" s="6">
        <f t="shared" si="14"/>
        <v>55</v>
      </c>
      <c r="C57" s="6" t="str">
        <f t="shared" si="15"/>
        <v/>
      </c>
      <c r="D57" s="12" t="s">
        <v>122</v>
      </c>
      <c r="E57" s="10" t="s">
        <v>36</v>
      </c>
      <c r="F57" s="10" t="s">
        <v>37</v>
      </c>
      <c r="G57" s="10" t="s">
        <v>38</v>
      </c>
      <c r="H57" s="14">
        <v>46299</v>
      </c>
      <c r="I57" s="14"/>
      <c r="J57" s="6" t="str">
        <f t="shared" si="16"/>
        <v>Pending</v>
      </c>
      <c r="K57" s="10" t="s">
        <v>42</v>
      </c>
      <c r="L57" s="12"/>
      <c r="M57" s="10"/>
      <c r="N57" s="10"/>
      <c r="O57" s="10"/>
      <c r="P57" s="10"/>
      <c r="Q57" s="6" t="str">
        <f t="shared" si="17"/>
        <v/>
      </c>
      <c r="R57" s="7" t="str">
        <f t="shared" si="18"/>
        <v/>
      </c>
      <c r="S57" s="10"/>
      <c r="T57" s="10"/>
      <c r="U57" s="10"/>
      <c r="V57" s="10"/>
      <c r="W57" s="6" t="str">
        <f t="shared" si="19"/>
        <v/>
      </c>
      <c r="X57" s="7" t="str">
        <f t="shared" si="20"/>
        <v/>
      </c>
      <c r="Y57" s="10"/>
      <c r="Z57" s="10"/>
      <c r="AA57" s="10"/>
      <c r="AB57" s="10"/>
      <c r="AC57" s="6" t="str">
        <f t="shared" si="21"/>
        <v/>
      </c>
      <c r="AD57" s="7" t="str">
        <f t="shared" si="22"/>
        <v/>
      </c>
      <c r="AE57" s="6" t="str">
        <f t="shared" si="23"/>
        <v/>
      </c>
      <c r="AF57" s="10"/>
      <c r="AG57" s="6" t="str">
        <f t="shared" si="24"/>
        <v/>
      </c>
      <c r="AH57" s="6" t="str">
        <f t="shared" si="25"/>
        <v/>
      </c>
      <c r="AI57" s="6" t="str">
        <f t="shared" si="26"/>
        <v/>
      </c>
      <c r="AJ57" s="7" t="str">
        <f t="shared" si="27"/>
        <v/>
      </c>
    </row>
    <row r="58" spans="1:36" ht="16.5" customHeight="1" x14ac:dyDescent="0.3">
      <c r="A58" s="11">
        <v>56</v>
      </c>
      <c r="B58" s="8">
        <f t="shared" si="14"/>
        <v>56</v>
      </c>
      <c r="C58" s="8" t="str">
        <f t="shared" si="15"/>
        <v/>
      </c>
      <c r="D58" s="13" t="s">
        <v>299</v>
      </c>
      <c r="E58" s="11" t="s">
        <v>40</v>
      </c>
      <c r="F58" s="11" t="s">
        <v>47</v>
      </c>
      <c r="G58" s="11" t="s">
        <v>41</v>
      </c>
      <c r="H58" s="15">
        <v>46300</v>
      </c>
      <c r="I58" s="15"/>
      <c r="J58" s="8" t="str">
        <f t="shared" si="16"/>
        <v>Pending</v>
      </c>
      <c r="K58" s="11" t="s">
        <v>42</v>
      </c>
      <c r="L58" s="13"/>
      <c r="M58" s="11"/>
      <c r="N58" s="11"/>
      <c r="O58" s="11"/>
      <c r="P58" s="11"/>
      <c r="Q58" s="6" t="str">
        <f t="shared" si="17"/>
        <v/>
      </c>
      <c r="R58" s="9" t="str">
        <f t="shared" si="18"/>
        <v/>
      </c>
      <c r="S58" s="11"/>
      <c r="T58" s="11"/>
      <c r="U58" s="11"/>
      <c r="V58" s="11"/>
      <c r="W58" s="6" t="str">
        <f t="shared" si="19"/>
        <v/>
      </c>
      <c r="X58" s="9" t="str">
        <f t="shared" si="20"/>
        <v/>
      </c>
      <c r="Y58" s="11"/>
      <c r="Z58" s="11"/>
      <c r="AA58" s="11"/>
      <c r="AB58" s="11"/>
      <c r="AC58" s="6" t="str">
        <f t="shared" si="21"/>
        <v/>
      </c>
      <c r="AD58" s="9" t="str">
        <f t="shared" si="22"/>
        <v/>
      </c>
      <c r="AE58" s="8" t="str">
        <f t="shared" si="23"/>
        <v/>
      </c>
      <c r="AF58" s="11"/>
      <c r="AG58" s="8" t="str">
        <f t="shared" si="24"/>
        <v/>
      </c>
      <c r="AH58" s="8" t="str">
        <f t="shared" si="25"/>
        <v/>
      </c>
      <c r="AI58" s="8" t="str">
        <f t="shared" si="26"/>
        <v/>
      </c>
      <c r="AJ58" s="9" t="str">
        <f t="shared" si="27"/>
        <v/>
      </c>
    </row>
    <row r="59" spans="1:36" ht="16.5" customHeight="1" x14ac:dyDescent="0.3">
      <c r="A59" s="10">
        <v>57</v>
      </c>
      <c r="B59" s="6">
        <f t="shared" si="14"/>
        <v>57</v>
      </c>
      <c r="C59" s="6" t="str">
        <f t="shared" si="15"/>
        <v/>
      </c>
      <c r="D59" s="12" t="s">
        <v>123</v>
      </c>
      <c r="E59" s="10" t="s">
        <v>36</v>
      </c>
      <c r="F59" s="10" t="s">
        <v>44</v>
      </c>
      <c r="G59" s="10" t="s">
        <v>45</v>
      </c>
      <c r="H59" s="14">
        <v>46301</v>
      </c>
      <c r="I59" s="14"/>
      <c r="J59" s="6" t="str">
        <f t="shared" si="16"/>
        <v>Pending</v>
      </c>
      <c r="K59" s="10" t="s">
        <v>42</v>
      </c>
      <c r="L59" s="12"/>
      <c r="M59" s="10"/>
      <c r="N59" s="10"/>
      <c r="O59" s="10"/>
      <c r="P59" s="10"/>
      <c r="Q59" s="6" t="str">
        <f t="shared" si="17"/>
        <v/>
      </c>
      <c r="R59" s="7" t="str">
        <f t="shared" si="18"/>
        <v/>
      </c>
      <c r="S59" s="10"/>
      <c r="T59" s="10"/>
      <c r="U59" s="10"/>
      <c r="V59" s="10"/>
      <c r="W59" s="6" t="str">
        <f t="shared" si="19"/>
        <v/>
      </c>
      <c r="X59" s="7" t="str">
        <f t="shared" si="20"/>
        <v/>
      </c>
      <c r="Y59" s="10"/>
      <c r="Z59" s="10"/>
      <c r="AA59" s="10"/>
      <c r="AB59" s="10"/>
      <c r="AC59" s="6" t="str">
        <f t="shared" si="21"/>
        <v/>
      </c>
      <c r="AD59" s="7" t="str">
        <f t="shared" si="22"/>
        <v/>
      </c>
      <c r="AE59" s="6" t="str">
        <f t="shared" si="23"/>
        <v/>
      </c>
      <c r="AF59" s="10"/>
      <c r="AG59" s="6" t="str">
        <f t="shared" si="24"/>
        <v/>
      </c>
      <c r="AH59" s="6" t="str">
        <f t="shared" si="25"/>
        <v/>
      </c>
      <c r="AI59" s="6" t="str">
        <f t="shared" si="26"/>
        <v/>
      </c>
      <c r="AJ59" s="7" t="str">
        <f t="shared" si="27"/>
        <v/>
      </c>
    </row>
    <row r="60" spans="1:36" ht="16.5" customHeight="1" x14ac:dyDescent="0.3">
      <c r="A60" s="11">
        <v>58</v>
      </c>
      <c r="B60" s="8">
        <f t="shared" si="14"/>
        <v>58</v>
      </c>
      <c r="C60" s="8" t="str">
        <f t="shared" si="15"/>
        <v/>
      </c>
      <c r="D60" s="13" t="s">
        <v>288</v>
      </c>
      <c r="E60" s="11" t="s">
        <v>36</v>
      </c>
      <c r="F60" s="11" t="s">
        <v>44</v>
      </c>
      <c r="G60" s="11" t="s">
        <v>45</v>
      </c>
      <c r="H60" s="15">
        <v>46302</v>
      </c>
      <c r="I60" s="15"/>
      <c r="J60" s="8" t="str">
        <f t="shared" si="16"/>
        <v>Pending</v>
      </c>
      <c r="K60" s="11" t="s">
        <v>42</v>
      </c>
      <c r="L60" s="13"/>
      <c r="M60" s="11"/>
      <c r="N60" s="11"/>
      <c r="O60" s="11"/>
      <c r="P60" s="11"/>
      <c r="Q60" s="6" t="str">
        <f t="shared" si="17"/>
        <v/>
      </c>
      <c r="R60" s="9" t="str">
        <f t="shared" si="18"/>
        <v/>
      </c>
      <c r="S60" s="11"/>
      <c r="T60" s="11"/>
      <c r="U60" s="11"/>
      <c r="V60" s="11"/>
      <c r="W60" s="6" t="str">
        <f t="shared" si="19"/>
        <v/>
      </c>
      <c r="X60" s="9" t="str">
        <f t="shared" si="20"/>
        <v/>
      </c>
      <c r="Y60" s="11"/>
      <c r="Z60" s="11"/>
      <c r="AA60" s="11"/>
      <c r="AB60" s="11"/>
      <c r="AC60" s="6" t="str">
        <f t="shared" si="21"/>
        <v/>
      </c>
      <c r="AD60" s="9" t="str">
        <f t="shared" si="22"/>
        <v/>
      </c>
      <c r="AE60" s="8" t="str">
        <f t="shared" si="23"/>
        <v/>
      </c>
      <c r="AF60" s="11"/>
      <c r="AG60" s="8" t="str">
        <f t="shared" si="24"/>
        <v/>
      </c>
      <c r="AH60" s="8" t="str">
        <f t="shared" si="25"/>
        <v/>
      </c>
      <c r="AI60" s="8" t="str">
        <f t="shared" si="26"/>
        <v/>
      </c>
      <c r="AJ60" s="9" t="str">
        <f t="shared" si="27"/>
        <v/>
      </c>
    </row>
    <row r="61" spans="1:36" ht="16.5" customHeight="1" x14ac:dyDescent="0.3">
      <c r="A61" s="10">
        <v>59</v>
      </c>
      <c r="B61" s="6">
        <f t="shared" ref="B61:B66" si="28">IFERROR(IF(H61&lt;&gt;"",RANK(H61,$H$3:$H$400,1),""),"")</f>
        <v>59</v>
      </c>
      <c r="C61" s="6" t="str">
        <f t="shared" ref="C61:C66" si="29">IFERROR(IF(J61="Completed",COUNTIFS(J$3:J$400,"Completed",I$3:I$400,"&lt;"&amp;I61,I$3:I$400,"&lt;&gt;"&amp;"")+COUNTIFS(J$3:J$400,"Completed",I$3:I$400,"="&amp;I61,A$3:A$400,"&lt;="&amp;A61,I$3:I$400,"&lt;&gt;"&amp;""),""),"")</f>
        <v/>
      </c>
      <c r="D61" s="12" t="s">
        <v>323</v>
      </c>
      <c r="E61" s="10" t="s">
        <v>51</v>
      </c>
      <c r="F61" s="10" t="s">
        <v>51</v>
      </c>
      <c r="G61" s="10" t="s">
        <v>41</v>
      </c>
      <c r="H61" s="14">
        <v>46303</v>
      </c>
      <c r="I61" s="14"/>
      <c r="J61" s="6" t="str">
        <f t="shared" ref="J61:J66" si="30">IF(I61&lt;&gt;"","Completed","Pending")</f>
        <v>Pending</v>
      </c>
      <c r="K61" s="10" t="s">
        <v>42</v>
      </c>
      <c r="L61" s="12"/>
      <c r="M61" s="10"/>
      <c r="N61" s="10"/>
      <c r="O61" s="10"/>
      <c r="P61" s="10"/>
      <c r="Q61" s="6" t="str">
        <f t="shared" si="17"/>
        <v/>
      </c>
      <c r="R61" s="7" t="str">
        <f t="shared" si="18"/>
        <v/>
      </c>
      <c r="S61" s="10"/>
      <c r="T61" s="10"/>
      <c r="U61" s="10"/>
      <c r="V61" s="10"/>
      <c r="W61" s="6" t="str">
        <f t="shared" si="19"/>
        <v/>
      </c>
      <c r="X61" s="7" t="str">
        <f t="shared" si="20"/>
        <v/>
      </c>
      <c r="Y61" s="10"/>
      <c r="Z61" s="10"/>
      <c r="AA61" s="10"/>
      <c r="AB61" s="10"/>
      <c r="AC61" s="6" t="str">
        <f t="shared" si="21"/>
        <v/>
      </c>
      <c r="AD61" s="7" t="str">
        <f t="shared" si="22"/>
        <v/>
      </c>
      <c r="AE61" s="6" t="str">
        <f t="shared" si="23"/>
        <v/>
      </c>
      <c r="AF61" s="10"/>
      <c r="AG61" s="6" t="str">
        <f t="shared" si="24"/>
        <v/>
      </c>
      <c r="AH61" s="6" t="str">
        <f t="shared" si="25"/>
        <v/>
      </c>
      <c r="AI61" s="6" t="str">
        <f t="shared" si="26"/>
        <v/>
      </c>
      <c r="AJ61" s="7" t="str">
        <f t="shared" si="27"/>
        <v/>
      </c>
    </row>
    <row r="62" spans="1:36" ht="16.5" customHeight="1" x14ac:dyDescent="0.3">
      <c r="A62" s="11">
        <v>60</v>
      </c>
      <c r="B62" s="8">
        <f t="shared" si="28"/>
        <v>60</v>
      </c>
      <c r="C62" s="8" t="str">
        <f t="shared" si="29"/>
        <v/>
      </c>
      <c r="D62" s="13" t="s">
        <v>124</v>
      </c>
      <c r="E62" s="11" t="s">
        <v>36</v>
      </c>
      <c r="F62" s="11" t="s">
        <v>41</v>
      </c>
      <c r="G62" s="11" t="s">
        <v>41</v>
      </c>
      <c r="H62" s="15">
        <v>46304</v>
      </c>
      <c r="I62" s="15"/>
      <c r="J62" s="8" t="str">
        <f t="shared" si="30"/>
        <v>Pending</v>
      </c>
      <c r="K62" s="11" t="s">
        <v>42</v>
      </c>
      <c r="L62" s="13"/>
      <c r="M62" s="11"/>
      <c r="N62" s="11"/>
      <c r="O62" s="11"/>
      <c r="P62" s="11"/>
      <c r="Q62" s="6" t="str">
        <f t="shared" si="17"/>
        <v/>
      </c>
      <c r="R62" s="9" t="str">
        <f t="shared" si="18"/>
        <v/>
      </c>
      <c r="S62" s="11"/>
      <c r="T62" s="11"/>
      <c r="U62" s="11"/>
      <c r="V62" s="11"/>
      <c r="W62" s="6" t="str">
        <f t="shared" si="19"/>
        <v/>
      </c>
      <c r="X62" s="9" t="str">
        <f t="shared" si="20"/>
        <v/>
      </c>
      <c r="Y62" s="11"/>
      <c r="Z62" s="11"/>
      <c r="AA62" s="11"/>
      <c r="AB62" s="11"/>
      <c r="AC62" s="6" t="str">
        <f t="shared" si="21"/>
        <v/>
      </c>
      <c r="AD62" s="9" t="str">
        <f t="shared" si="22"/>
        <v/>
      </c>
      <c r="AE62" s="8" t="str">
        <f t="shared" si="23"/>
        <v/>
      </c>
      <c r="AF62" s="11"/>
      <c r="AG62" s="8" t="str">
        <f t="shared" si="24"/>
        <v/>
      </c>
      <c r="AH62" s="8" t="str">
        <f t="shared" si="25"/>
        <v/>
      </c>
      <c r="AI62" s="8" t="str">
        <f t="shared" si="26"/>
        <v/>
      </c>
      <c r="AJ62" s="9" t="str">
        <f t="shared" si="27"/>
        <v/>
      </c>
    </row>
    <row r="63" spans="1:36" ht="16.5" customHeight="1" x14ac:dyDescent="0.3">
      <c r="A63" s="10">
        <v>61</v>
      </c>
      <c r="B63" s="6">
        <f t="shared" si="28"/>
        <v>61</v>
      </c>
      <c r="C63" s="6" t="str">
        <f t="shared" si="29"/>
        <v/>
      </c>
      <c r="D63" s="12" t="s">
        <v>302</v>
      </c>
      <c r="E63" s="10" t="s">
        <v>40</v>
      </c>
      <c r="F63" s="10" t="s">
        <v>47</v>
      </c>
      <c r="G63" s="10" t="s">
        <v>41</v>
      </c>
      <c r="H63" s="14">
        <v>46306</v>
      </c>
      <c r="I63" s="14"/>
      <c r="J63" s="6" t="str">
        <f t="shared" si="30"/>
        <v>Pending</v>
      </c>
      <c r="K63" s="10" t="s">
        <v>42</v>
      </c>
      <c r="L63" s="12"/>
      <c r="M63" s="10"/>
      <c r="N63" s="10"/>
      <c r="O63" s="10"/>
      <c r="P63" s="10"/>
      <c r="Q63" s="6" t="str">
        <f t="shared" si="17"/>
        <v/>
      </c>
      <c r="R63" s="7" t="str">
        <f t="shared" si="18"/>
        <v/>
      </c>
      <c r="S63" s="10"/>
      <c r="T63" s="10"/>
      <c r="U63" s="10"/>
      <c r="V63" s="10"/>
      <c r="W63" s="6" t="str">
        <f t="shared" si="19"/>
        <v/>
      </c>
      <c r="X63" s="7" t="str">
        <f t="shared" si="20"/>
        <v/>
      </c>
      <c r="Y63" s="10"/>
      <c r="Z63" s="10"/>
      <c r="AA63" s="10"/>
      <c r="AB63" s="10"/>
      <c r="AC63" s="6" t="str">
        <f t="shared" si="21"/>
        <v/>
      </c>
      <c r="AD63" s="7" t="str">
        <f t="shared" si="22"/>
        <v/>
      </c>
      <c r="AE63" s="6" t="str">
        <f t="shared" si="23"/>
        <v/>
      </c>
      <c r="AF63" s="10"/>
      <c r="AG63" s="6" t="str">
        <f t="shared" si="24"/>
        <v/>
      </c>
      <c r="AH63" s="6" t="str">
        <f t="shared" si="25"/>
        <v/>
      </c>
      <c r="AI63" s="6" t="str">
        <f t="shared" si="26"/>
        <v/>
      </c>
      <c r="AJ63" s="7" t="str">
        <f t="shared" si="27"/>
        <v/>
      </c>
    </row>
    <row r="64" spans="1:36" ht="16.5" customHeight="1" x14ac:dyDescent="0.3">
      <c r="A64" s="11">
        <v>62</v>
      </c>
      <c r="B64" s="8">
        <f t="shared" si="28"/>
        <v>62</v>
      </c>
      <c r="C64" s="8" t="str">
        <f t="shared" si="29"/>
        <v/>
      </c>
      <c r="D64" s="13" t="s">
        <v>125</v>
      </c>
      <c r="E64" s="11" t="s">
        <v>36</v>
      </c>
      <c r="F64" s="11" t="s">
        <v>44</v>
      </c>
      <c r="G64" s="11" t="s">
        <v>45</v>
      </c>
      <c r="H64" s="15">
        <v>46307</v>
      </c>
      <c r="I64" s="15"/>
      <c r="J64" s="8" t="str">
        <f t="shared" si="30"/>
        <v>Pending</v>
      </c>
      <c r="K64" s="11" t="s">
        <v>42</v>
      </c>
      <c r="L64" s="13"/>
      <c r="M64" s="11"/>
      <c r="N64" s="11"/>
      <c r="O64" s="11"/>
      <c r="P64" s="11"/>
      <c r="Q64" s="6" t="str">
        <f t="shared" si="17"/>
        <v/>
      </c>
      <c r="R64" s="9" t="str">
        <f t="shared" si="18"/>
        <v/>
      </c>
      <c r="S64" s="11"/>
      <c r="T64" s="11"/>
      <c r="U64" s="11"/>
      <c r="V64" s="11"/>
      <c r="W64" s="6" t="str">
        <f t="shared" si="19"/>
        <v/>
      </c>
      <c r="X64" s="9" t="str">
        <f t="shared" si="20"/>
        <v/>
      </c>
      <c r="Y64" s="11"/>
      <c r="Z64" s="11"/>
      <c r="AA64" s="11"/>
      <c r="AB64" s="11"/>
      <c r="AC64" s="6" t="str">
        <f t="shared" si="21"/>
        <v/>
      </c>
      <c r="AD64" s="9" t="str">
        <f t="shared" si="22"/>
        <v/>
      </c>
      <c r="AE64" s="8" t="str">
        <f t="shared" si="23"/>
        <v/>
      </c>
      <c r="AF64" s="11"/>
      <c r="AG64" s="8" t="str">
        <f t="shared" si="24"/>
        <v/>
      </c>
      <c r="AH64" s="8" t="str">
        <f t="shared" si="25"/>
        <v/>
      </c>
      <c r="AI64" s="8" t="str">
        <f t="shared" si="26"/>
        <v/>
      </c>
      <c r="AJ64" s="9" t="str">
        <f t="shared" si="27"/>
        <v/>
      </c>
    </row>
    <row r="65" spans="1:36" ht="16.5" customHeight="1" x14ac:dyDescent="0.3">
      <c r="A65" s="10">
        <v>63</v>
      </c>
      <c r="B65" s="6">
        <f t="shared" si="28"/>
        <v>63</v>
      </c>
      <c r="C65" s="6" t="str">
        <f t="shared" si="29"/>
        <v/>
      </c>
      <c r="D65" s="12" t="s">
        <v>305</v>
      </c>
      <c r="E65" s="10" t="s">
        <v>48</v>
      </c>
      <c r="F65" s="10" t="s">
        <v>51</v>
      </c>
      <c r="G65" s="10" t="s">
        <v>41</v>
      </c>
      <c r="H65" s="14">
        <v>46308</v>
      </c>
      <c r="I65" s="14"/>
      <c r="J65" s="6" t="str">
        <f t="shared" si="30"/>
        <v>Pending</v>
      </c>
      <c r="K65" s="10" t="s">
        <v>42</v>
      </c>
      <c r="L65" s="12"/>
      <c r="M65" s="10"/>
      <c r="N65" s="10"/>
      <c r="O65" s="10"/>
      <c r="P65" s="10"/>
      <c r="Q65" s="6" t="str">
        <f t="shared" si="17"/>
        <v/>
      </c>
      <c r="R65" s="7" t="str">
        <f t="shared" si="18"/>
        <v/>
      </c>
      <c r="S65" s="10"/>
      <c r="T65" s="10"/>
      <c r="U65" s="10"/>
      <c r="V65" s="10"/>
      <c r="W65" s="6" t="str">
        <f t="shared" si="19"/>
        <v/>
      </c>
      <c r="X65" s="7" t="str">
        <f t="shared" si="20"/>
        <v/>
      </c>
      <c r="Y65" s="10"/>
      <c r="Z65" s="10"/>
      <c r="AA65" s="10"/>
      <c r="AB65" s="10"/>
      <c r="AC65" s="6" t="str">
        <f t="shared" si="21"/>
        <v/>
      </c>
      <c r="AD65" s="7" t="str">
        <f t="shared" si="22"/>
        <v/>
      </c>
      <c r="AE65" s="6" t="str">
        <f t="shared" si="23"/>
        <v/>
      </c>
      <c r="AF65" s="10"/>
      <c r="AG65" s="6" t="str">
        <f t="shared" si="24"/>
        <v/>
      </c>
      <c r="AH65" s="6" t="str">
        <f t="shared" si="25"/>
        <v/>
      </c>
      <c r="AI65" s="6" t="str">
        <f t="shared" si="26"/>
        <v/>
      </c>
      <c r="AJ65" s="7" t="str">
        <f t="shared" si="27"/>
        <v/>
      </c>
    </row>
    <row r="66" spans="1:36" ht="16.5" customHeight="1" x14ac:dyDescent="0.3">
      <c r="A66" s="11">
        <v>64</v>
      </c>
      <c r="B66" s="8">
        <f t="shared" si="28"/>
        <v>64</v>
      </c>
      <c r="C66" s="8" t="str">
        <f t="shared" si="29"/>
        <v/>
      </c>
      <c r="D66" s="13" t="s">
        <v>126</v>
      </c>
      <c r="E66" s="11" t="s">
        <v>36</v>
      </c>
      <c r="F66" s="11" t="s">
        <v>41</v>
      </c>
      <c r="G66" s="11" t="s">
        <v>41</v>
      </c>
      <c r="H66" s="15">
        <v>46309</v>
      </c>
      <c r="I66" s="15"/>
      <c r="J66" s="8" t="str">
        <f t="shared" si="30"/>
        <v>Pending</v>
      </c>
      <c r="K66" s="11" t="s">
        <v>42</v>
      </c>
      <c r="L66" s="13"/>
      <c r="M66" s="11"/>
      <c r="N66" s="11"/>
      <c r="O66" s="11"/>
      <c r="P66" s="11"/>
      <c r="Q66" s="6" t="str">
        <f t="shared" si="17"/>
        <v/>
      </c>
      <c r="R66" s="9" t="str">
        <f t="shared" si="18"/>
        <v/>
      </c>
      <c r="S66" s="11"/>
      <c r="T66" s="11"/>
      <c r="U66" s="11"/>
      <c r="V66" s="11"/>
      <c r="W66" s="6" t="str">
        <f t="shared" si="19"/>
        <v/>
      </c>
      <c r="X66" s="9" t="str">
        <f t="shared" si="20"/>
        <v/>
      </c>
      <c r="Y66" s="11"/>
      <c r="Z66" s="11"/>
      <c r="AA66" s="11"/>
      <c r="AB66" s="11"/>
      <c r="AC66" s="6" t="str">
        <f t="shared" si="21"/>
        <v/>
      </c>
      <c r="AD66" s="9" t="str">
        <f t="shared" si="22"/>
        <v/>
      </c>
      <c r="AE66" s="8" t="str">
        <f t="shared" si="23"/>
        <v/>
      </c>
      <c r="AF66" s="11"/>
      <c r="AG66" s="8" t="str">
        <f t="shared" si="24"/>
        <v/>
      </c>
      <c r="AH66" s="8" t="str">
        <f t="shared" si="25"/>
        <v/>
      </c>
      <c r="AI66" s="8" t="str">
        <f t="shared" si="26"/>
        <v/>
      </c>
      <c r="AJ66" s="9" t="str">
        <f t="shared" si="27"/>
        <v/>
      </c>
    </row>
    <row r="67" spans="1:36" ht="16.5" customHeight="1" x14ac:dyDescent="0.3">
      <c r="A67" s="10">
        <v>65</v>
      </c>
      <c r="B67" s="6">
        <f t="shared" ref="B67:B98" si="31">IFERROR(IF(H67&lt;&gt;"",RANK(H67,$H$3:$H$400,1),""),"")</f>
        <v>65</v>
      </c>
      <c r="C67" s="6" t="str">
        <f t="shared" ref="C67:C98" si="32">IFERROR(IF(J67="Completed",COUNTIFS(J$3:J$400,"Completed",I$3:I$400,"&lt;"&amp;I67,I$3:I$400,"&lt;&gt;"&amp;"")+COUNTIFS(J$3:J$400,"Completed",I$3:I$400,"="&amp;I67,A$3:A$400,"&lt;="&amp;A67,I$3:I$400,"&lt;&gt;"&amp;""),""),"")</f>
        <v/>
      </c>
      <c r="D67" s="12" t="s">
        <v>307</v>
      </c>
      <c r="E67" s="10" t="s">
        <v>40</v>
      </c>
      <c r="F67" s="10" t="s">
        <v>47</v>
      </c>
      <c r="G67" s="10" t="s">
        <v>41</v>
      </c>
      <c r="H67" s="14">
        <v>46311</v>
      </c>
      <c r="I67" s="14"/>
      <c r="J67" s="6" t="str">
        <f t="shared" ref="J67:J98" si="33">IF(I67&lt;&gt;"","Completed","Pending")</f>
        <v>Pending</v>
      </c>
      <c r="K67" s="10" t="s">
        <v>42</v>
      </c>
      <c r="L67" s="12"/>
      <c r="M67" s="10"/>
      <c r="N67" s="10"/>
      <c r="O67" s="10"/>
      <c r="P67" s="10"/>
      <c r="Q67" s="6" t="str">
        <f t="shared" ref="Q67:Q98" si="34">IF(COUNT(O67,P67)=2, O67-P67, "")</f>
        <v/>
      </c>
      <c r="R67" s="7" t="str">
        <f t="shared" ref="R67:R98" si="35">IFERROR(P67/O67,"")</f>
        <v/>
      </c>
      <c r="S67" s="10"/>
      <c r="T67" s="10"/>
      <c r="U67" s="10"/>
      <c r="V67" s="10"/>
      <c r="W67" s="6" t="str">
        <f t="shared" ref="W67:W98" si="36">IF(COUNT(U67,V67)=2, U67-V67, "")</f>
        <v/>
      </c>
      <c r="X67" s="7" t="str">
        <f t="shared" ref="X67:X98" si="37">IFERROR(V67/U67,"")</f>
        <v/>
      </c>
      <c r="Y67" s="10"/>
      <c r="Z67" s="10"/>
      <c r="AA67" s="10"/>
      <c r="AB67" s="10"/>
      <c r="AC67" s="6" t="str">
        <f t="shared" ref="AC67:AC98" si="38">IF(COUNT(AA67,AB67)=2, AA67-AB67, "")</f>
        <v/>
      </c>
      <c r="AD67" s="7" t="str">
        <f t="shared" ref="AD67:AD98" si="39">IFERROR(AB67/AA67,"")</f>
        <v/>
      </c>
      <c r="AE67" s="6" t="str">
        <f t="shared" ref="AE67:AE98" si="40">IF(AND(M67="",S67="",Y67=""),"",IFERROR(M67+S67+Y67,""))</f>
        <v/>
      </c>
      <c r="AF67" s="10"/>
      <c r="AG67" s="6" t="str">
        <f t="shared" ref="AG67:AG98" si="41">IF(AND(O67="",U67="",AA67=""),"",IFERROR(O67+U67+AA67,""))</f>
        <v/>
      </c>
      <c r="AH67" s="6" t="str">
        <f t="shared" ref="AH67:AH98" si="42">IF(AND(P67="",V67="",AB67=""),"",IFERROR(P67+V67+AB67,""))</f>
        <v/>
      </c>
      <c r="AI67" s="6" t="str">
        <f t="shared" ref="AI67:AI98" si="43">IF(AND(Q67="",W67="",AC67=""),"",IFERROR(Q67+W67+AC67,""))</f>
        <v/>
      </c>
      <c r="AJ67" s="7" t="str">
        <f t="shared" ref="AJ67:AJ98" si="44">IFERROR(AH67/AG67,"")</f>
        <v/>
      </c>
    </row>
    <row r="68" spans="1:36" ht="16.5" customHeight="1" x14ac:dyDescent="0.3">
      <c r="A68" s="11">
        <v>66</v>
      </c>
      <c r="B68" s="8">
        <f t="shared" si="31"/>
        <v>66</v>
      </c>
      <c r="C68" s="8" t="str">
        <f t="shared" si="32"/>
        <v/>
      </c>
      <c r="D68" s="13" t="s">
        <v>304</v>
      </c>
      <c r="E68" s="11" t="s">
        <v>43</v>
      </c>
      <c r="F68" s="11" t="s">
        <v>51</v>
      </c>
      <c r="G68" s="11" t="s">
        <v>41</v>
      </c>
      <c r="H68" s="15">
        <v>46312</v>
      </c>
      <c r="I68" s="15"/>
      <c r="J68" s="8" t="str">
        <f t="shared" si="33"/>
        <v>Pending</v>
      </c>
      <c r="K68" s="11" t="s">
        <v>42</v>
      </c>
      <c r="L68" s="13"/>
      <c r="M68" s="11"/>
      <c r="N68" s="11"/>
      <c r="O68" s="11"/>
      <c r="P68" s="11"/>
      <c r="Q68" s="6" t="str">
        <f t="shared" si="34"/>
        <v/>
      </c>
      <c r="R68" s="9" t="str">
        <f t="shared" si="35"/>
        <v/>
      </c>
      <c r="S68" s="11"/>
      <c r="T68" s="11"/>
      <c r="U68" s="11"/>
      <c r="V68" s="11"/>
      <c r="W68" s="6" t="str">
        <f t="shared" si="36"/>
        <v/>
      </c>
      <c r="X68" s="9" t="str">
        <f t="shared" si="37"/>
        <v/>
      </c>
      <c r="Y68" s="11"/>
      <c r="Z68" s="11"/>
      <c r="AA68" s="11"/>
      <c r="AB68" s="11"/>
      <c r="AC68" s="6" t="str">
        <f t="shared" si="38"/>
        <v/>
      </c>
      <c r="AD68" s="9" t="str">
        <f t="shared" si="39"/>
        <v/>
      </c>
      <c r="AE68" s="8" t="str">
        <f t="shared" si="40"/>
        <v/>
      </c>
      <c r="AF68" s="11"/>
      <c r="AG68" s="8" t="str">
        <f t="shared" si="41"/>
        <v/>
      </c>
      <c r="AH68" s="8" t="str">
        <f t="shared" si="42"/>
        <v/>
      </c>
      <c r="AI68" s="8" t="str">
        <f t="shared" si="43"/>
        <v/>
      </c>
      <c r="AJ68" s="9" t="str">
        <f t="shared" si="44"/>
        <v/>
      </c>
    </row>
    <row r="69" spans="1:36" ht="16.5" customHeight="1" x14ac:dyDescent="0.3">
      <c r="A69" s="10">
        <v>67</v>
      </c>
      <c r="B69" s="6">
        <f t="shared" si="31"/>
        <v>67</v>
      </c>
      <c r="C69" s="6" t="str">
        <f t="shared" si="32"/>
        <v/>
      </c>
      <c r="D69" s="12" t="s">
        <v>127</v>
      </c>
      <c r="E69" s="10" t="s">
        <v>36</v>
      </c>
      <c r="F69" s="10" t="s">
        <v>37</v>
      </c>
      <c r="G69" s="10" t="s">
        <v>38</v>
      </c>
      <c r="H69" s="14">
        <v>46313</v>
      </c>
      <c r="I69" s="14"/>
      <c r="J69" s="6" t="str">
        <f t="shared" si="33"/>
        <v>Pending</v>
      </c>
      <c r="K69" s="10" t="s">
        <v>42</v>
      </c>
      <c r="L69" s="12"/>
      <c r="M69" s="10"/>
      <c r="N69" s="10"/>
      <c r="O69" s="10"/>
      <c r="P69" s="10"/>
      <c r="Q69" s="6" t="str">
        <f t="shared" si="34"/>
        <v/>
      </c>
      <c r="R69" s="7" t="str">
        <f t="shared" si="35"/>
        <v/>
      </c>
      <c r="S69" s="10"/>
      <c r="T69" s="10"/>
      <c r="U69" s="10"/>
      <c r="V69" s="10"/>
      <c r="W69" s="6" t="str">
        <f t="shared" si="36"/>
        <v/>
      </c>
      <c r="X69" s="7" t="str">
        <f t="shared" si="37"/>
        <v/>
      </c>
      <c r="Y69" s="10"/>
      <c r="Z69" s="10"/>
      <c r="AA69" s="10"/>
      <c r="AB69" s="10"/>
      <c r="AC69" s="6" t="str">
        <f t="shared" si="38"/>
        <v/>
      </c>
      <c r="AD69" s="7" t="str">
        <f t="shared" si="39"/>
        <v/>
      </c>
      <c r="AE69" s="6" t="str">
        <f t="shared" si="40"/>
        <v/>
      </c>
      <c r="AF69" s="10"/>
      <c r="AG69" s="6" t="str">
        <f t="shared" si="41"/>
        <v/>
      </c>
      <c r="AH69" s="6" t="str">
        <f t="shared" si="42"/>
        <v/>
      </c>
      <c r="AI69" s="6" t="str">
        <f t="shared" si="43"/>
        <v/>
      </c>
      <c r="AJ69" s="7" t="str">
        <f t="shared" si="44"/>
        <v/>
      </c>
    </row>
    <row r="70" spans="1:36" ht="16.5" customHeight="1" x14ac:dyDescent="0.3">
      <c r="A70" s="11">
        <v>68</v>
      </c>
      <c r="B70" s="8">
        <f t="shared" si="31"/>
        <v>68</v>
      </c>
      <c r="C70" s="8" t="str">
        <f t="shared" si="32"/>
        <v/>
      </c>
      <c r="D70" s="13" t="s">
        <v>128</v>
      </c>
      <c r="E70" s="11" t="s">
        <v>36</v>
      </c>
      <c r="F70" s="11" t="s">
        <v>41</v>
      </c>
      <c r="G70" s="11" t="s">
        <v>41</v>
      </c>
      <c r="H70" s="15">
        <v>46314</v>
      </c>
      <c r="I70" s="15"/>
      <c r="J70" s="8" t="str">
        <f t="shared" si="33"/>
        <v>Pending</v>
      </c>
      <c r="K70" s="11" t="s">
        <v>42</v>
      </c>
      <c r="L70" s="13"/>
      <c r="M70" s="11"/>
      <c r="N70" s="11"/>
      <c r="O70" s="11"/>
      <c r="P70" s="11"/>
      <c r="Q70" s="6" t="str">
        <f t="shared" si="34"/>
        <v/>
      </c>
      <c r="R70" s="9" t="str">
        <f t="shared" si="35"/>
        <v/>
      </c>
      <c r="S70" s="11"/>
      <c r="T70" s="11"/>
      <c r="U70" s="11"/>
      <c r="V70" s="11"/>
      <c r="W70" s="6" t="str">
        <f t="shared" si="36"/>
        <v/>
      </c>
      <c r="X70" s="9" t="str">
        <f t="shared" si="37"/>
        <v/>
      </c>
      <c r="Y70" s="11"/>
      <c r="Z70" s="11"/>
      <c r="AA70" s="11"/>
      <c r="AB70" s="11"/>
      <c r="AC70" s="6" t="str">
        <f t="shared" si="38"/>
        <v/>
      </c>
      <c r="AD70" s="9" t="str">
        <f t="shared" si="39"/>
        <v/>
      </c>
      <c r="AE70" s="8" t="str">
        <f t="shared" si="40"/>
        <v/>
      </c>
      <c r="AF70" s="11"/>
      <c r="AG70" s="8" t="str">
        <f t="shared" si="41"/>
        <v/>
      </c>
      <c r="AH70" s="8" t="str">
        <f t="shared" si="42"/>
        <v/>
      </c>
      <c r="AI70" s="8" t="str">
        <f t="shared" si="43"/>
        <v/>
      </c>
      <c r="AJ70" s="9" t="str">
        <f t="shared" si="44"/>
        <v/>
      </c>
    </row>
    <row r="71" spans="1:36" ht="16.5" customHeight="1" x14ac:dyDescent="0.3">
      <c r="A71" s="10">
        <v>69</v>
      </c>
      <c r="B71" s="6">
        <f t="shared" si="31"/>
        <v>69</v>
      </c>
      <c r="C71" s="6" t="str">
        <f t="shared" si="32"/>
        <v/>
      </c>
      <c r="D71" s="12" t="s">
        <v>308</v>
      </c>
      <c r="E71" s="10" t="s">
        <v>40</v>
      </c>
      <c r="F71" s="10" t="s">
        <v>47</v>
      </c>
      <c r="G71" s="10" t="s">
        <v>41</v>
      </c>
      <c r="H71" s="14">
        <v>46315</v>
      </c>
      <c r="I71" s="14"/>
      <c r="J71" s="6" t="str">
        <f t="shared" si="33"/>
        <v>Pending</v>
      </c>
      <c r="K71" s="10" t="s">
        <v>42</v>
      </c>
      <c r="L71" s="12"/>
      <c r="M71" s="10"/>
      <c r="N71" s="10"/>
      <c r="O71" s="10"/>
      <c r="P71" s="10"/>
      <c r="Q71" s="6" t="str">
        <f t="shared" si="34"/>
        <v/>
      </c>
      <c r="R71" s="7" t="str">
        <f t="shared" si="35"/>
        <v/>
      </c>
      <c r="S71" s="10"/>
      <c r="T71" s="10"/>
      <c r="U71" s="10"/>
      <c r="V71" s="10"/>
      <c r="W71" s="6" t="str">
        <f t="shared" si="36"/>
        <v/>
      </c>
      <c r="X71" s="7" t="str">
        <f t="shared" si="37"/>
        <v/>
      </c>
      <c r="Y71" s="10"/>
      <c r="Z71" s="10"/>
      <c r="AA71" s="10"/>
      <c r="AB71" s="10"/>
      <c r="AC71" s="6" t="str">
        <f t="shared" si="38"/>
        <v/>
      </c>
      <c r="AD71" s="7" t="str">
        <f t="shared" si="39"/>
        <v/>
      </c>
      <c r="AE71" s="6" t="str">
        <f t="shared" si="40"/>
        <v/>
      </c>
      <c r="AF71" s="10"/>
      <c r="AG71" s="6" t="str">
        <f t="shared" si="41"/>
        <v/>
      </c>
      <c r="AH71" s="6" t="str">
        <f t="shared" si="42"/>
        <v/>
      </c>
      <c r="AI71" s="6" t="str">
        <f t="shared" si="43"/>
        <v/>
      </c>
      <c r="AJ71" s="7" t="str">
        <f t="shared" si="44"/>
        <v/>
      </c>
    </row>
    <row r="72" spans="1:36" ht="16.5" customHeight="1" x14ac:dyDescent="0.3">
      <c r="A72" s="11">
        <v>70</v>
      </c>
      <c r="B72" s="8">
        <f t="shared" si="31"/>
        <v>70</v>
      </c>
      <c r="C72" s="8" t="str">
        <f t="shared" si="32"/>
        <v/>
      </c>
      <c r="D72" s="13" t="s">
        <v>129</v>
      </c>
      <c r="E72" s="11" t="s">
        <v>36</v>
      </c>
      <c r="F72" s="11" t="s">
        <v>44</v>
      </c>
      <c r="G72" s="11" t="s">
        <v>45</v>
      </c>
      <c r="H72" s="15">
        <v>46316</v>
      </c>
      <c r="I72" s="15"/>
      <c r="J72" s="8" t="str">
        <f t="shared" si="33"/>
        <v>Pending</v>
      </c>
      <c r="K72" s="11" t="s">
        <v>42</v>
      </c>
      <c r="L72" s="13"/>
      <c r="M72" s="11"/>
      <c r="N72" s="11"/>
      <c r="O72" s="11"/>
      <c r="P72" s="11"/>
      <c r="Q72" s="6" t="str">
        <f t="shared" si="34"/>
        <v/>
      </c>
      <c r="R72" s="9" t="str">
        <f t="shared" si="35"/>
        <v/>
      </c>
      <c r="S72" s="11"/>
      <c r="T72" s="11"/>
      <c r="U72" s="11"/>
      <c r="V72" s="11"/>
      <c r="W72" s="6" t="str">
        <f t="shared" si="36"/>
        <v/>
      </c>
      <c r="X72" s="9" t="str">
        <f t="shared" si="37"/>
        <v/>
      </c>
      <c r="Y72" s="11"/>
      <c r="Z72" s="11"/>
      <c r="AA72" s="11"/>
      <c r="AB72" s="11"/>
      <c r="AC72" s="6" t="str">
        <f t="shared" si="38"/>
        <v/>
      </c>
      <c r="AD72" s="9" t="str">
        <f t="shared" si="39"/>
        <v/>
      </c>
      <c r="AE72" s="8" t="str">
        <f t="shared" si="40"/>
        <v/>
      </c>
      <c r="AF72" s="11"/>
      <c r="AG72" s="8" t="str">
        <f t="shared" si="41"/>
        <v/>
      </c>
      <c r="AH72" s="8" t="str">
        <f t="shared" si="42"/>
        <v/>
      </c>
      <c r="AI72" s="8" t="str">
        <f t="shared" si="43"/>
        <v/>
      </c>
      <c r="AJ72" s="9" t="str">
        <f t="shared" si="44"/>
        <v/>
      </c>
    </row>
    <row r="73" spans="1:36" ht="16.5" customHeight="1" x14ac:dyDescent="0.3">
      <c r="A73" s="10">
        <v>71</v>
      </c>
      <c r="B73" s="6">
        <f t="shared" si="31"/>
        <v>71</v>
      </c>
      <c r="C73" s="6" t="str">
        <f t="shared" si="32"/>
        <v/>
      </c>
      <c r="D73" s="12" t="s">
        <v>293</v>
      </c>
      <c r="E73" s="10" t="s">
        <v>40</v>
      </c>
      <c r="F73" s="10" t="s">
        <v>49</v>
      </c>
      <c r="G73" s="10" t="s">
        <v>41</v>
      </c>
      <c r="H73" s="14">
        <v>46318</v>
      </c>
      <c r="I73" s="14"/>
      <c r="J73" s="6" t="str">
        <f t="shared" si="33"/>
        <v>Pending</v>
      </c>
      <c r="K73" s="10" t="s">
        <v>42</v>
      </c>
      <c r="L73" s="12"/>
      <c r="M73" s="10"/>
      <c r="N73" s="10"/>
      <c r="O73" s="10"/>
      <c r="P73" s="10"/>
      <c r="Q73" s="6" t="str">
        <f t="shared" si="34"/>
        <v/>
      </c>
      <c r="R73" s="7" t="str">
        <f t="shared" si="35"/>
        <v/>
      </c>
      <c r="S73" s="10"/>
      <c r="T73" s="10"/>
      <c r="U73" s="10"/>
      <c r="V73" s="10"/>
      <c r="W73" s="6" t="str">
        <f t="shared" si="36"/>
        <v/>
      </c>
      <c r="X73" s="7" t="str">
        <f t="shared" si="37"/>
        <v/>
      </c>
      <c r="Y73" s="10"/>
      <c r="Z73" s="10"/>
      <c r="AA73" s="10"/>
      <c r="AB73" s="10"/>
      <c r="AC73" s="6" t="str">
        <f t="shared" si="38"/>
        <v/>
      </c>
      <c r="AD73" s="7" t="str">
        <f t="shared" si="39"/>
        <v/>
      </c>
      <c r="AE73" s="6" t="str">
        <f t="shared" si="40"/>
        <v/>
      </c>
      <c r="AF73" s="10"/>
      <c r="AG73" s="6" t="str">
        <f t="shared" si="41"/>
        <v/>
      </c>
      <c r="AH73" s="6" t="str">
        <f t="shared" si="42"/>
        <v/>
      </c>
      <c r="AI73" s="6" t="str">
        <f t="shared" si="43"/>
        <v/>
      </c>
      <c r="AJ73" s="7" t="str">
        <f t="shared" si="44"/>
        <v/>
      </c>
    </row>
    <row r="74" spans="1:36" ht="16.5" customHeight="1" x14ac:dyDescent="0.3">
      <c r="A74" s="11">
        <v>72</v>
      </c>
      <c r="B74" s="8">
        <f t="shared" si="31"/>
        <v>72</v>
      </c>
      <c r="C74" s="8" t="str">
        <f t="shared" si="32"/>
        <v/>
      </c>
      <c r="D74" s="13" t="s">
        <v>290</v>
      </c>
      <c r="E74" s="11" t="s">
        <v>36</v>
      </c>
      <c r="F74" s="11" t="s">
        <v>44</v>
      </c>
      <c r="G74" s="11" t="s">
        <v>45</v>
      </c>
      <c r="H74" s="15">
        <v>46319</v>
      </c>
      <c r="I74" s="15"/>
      <c r="J74" s="8" t="str">
        <f t="shared" si="33"/>
        <v>Pending</v>
      </c>
      <c r="K74" s="11" t="s">
        <v>42</v>
      </c>
      <c r="L74" s="13"/>
      <c r="M74" s="11"/>
      <c r="N74" s="11"/>
      <c r="O74" s="11"/>
      <c r="P74" s="11"/>
      <c r="Q74" s="6" t="str">
        <f t="shared" si="34"/>
        <v/>
      </c>
      <c r="R74" s="9" t="str">
        <f t="shared" si="35"/>
        <v/>
      </c>
      <c r="S74" s="11"/>
      <c r="T74" s="11"/>
      <c r="U74" s="11"/>
      <c r="V74" s="11"/>
      <c r="W74" s="6" t="str">
        <f t="shared" si="36"/>
        <v/>
      </c>
      <c r="X74" s="9" t="str">
        <f t="shared" si="37"/>
        <v/>
      </c>
      <c r="Y74" s="11"/>
      <c r="Z74" s="11"/>
      <c r="AA74" s="11"/>
      <c r="AB74" s="11"/>
      <c r="AC74" s="6" t="str">
        <f t="shared" si="38"/>
        <v/>
      </c>
      <c r="AD74" s="9" t="str">
        <f t="shared" si="39"/>
        <v/>
      </c>
      <c r="AE74" s="8" t="str">
        <f t="shared" si="40"/>
        <v/>
      </c>
      <c r="AF74" s="11"/>
      <c r="AG74" s="8" t="str">
        <f t="shared" si="41"/>
        <v/>
      </c>
      <c r="AH74" s="8" t="str">
        <f t="shared" si="42"/>
        <v/>
      </c>
      <c r="AI74" s="8" t="str">
        <f t="shared" si="43"/>
        <v/>
      </c>
      <c r="AJ74" s="9" t="str">
        <f t="shared" si="44"/>
        <v/>
      </c>
    </row>
    <row r="75" spans="1:36" ht="16.5" customHeight="1" x14ac:dyDescent="0.3">
      <c r="A75" s="10">
        <v>73</v>
      </c>
      <c r="B75" s="6">
        <f t="shared" si="31"/>
        <v>73</v>
      </c>
      <c r="C75" s="6" t="str">
        <f t="shared" si="32"/>
        <v/>
      </c>
      <c r="D75" s="12" t="s">
        <v>130</v>
      </c>
      <c r="E75" s="10" t="s">
        <v>36</v>
      </c>
      <c r="F75" s="10" t="s">
        <v>37</v>
      </c>
      <c r="G75" s="10" t="s">
        <v>38</v>
      </c>
      <c r="H75" s="14">
        <v>46320</v>
      </c>
      <c r="I75" s="14"/>
      <c r="J75" s="6" t="str">
        <f t="shared" si="33"/>
        <v>Pending</v>
      </c>
      <c r="K75" s="10" t="s">
        <v>42</v>
      </c>
      <c r="L75" s="12"/>
      <c r="M75" s="10"/>
      <c r="N75" s="10"/>
      <c r="O75" s="10"/>
      <c r="P75" s="10"/>
      <c r="Q75" s="6" t="str">
        <f t="shared" si="34"/>
        <v/>
      </c>
      <c r="R75" s="7" t="str">
        <f t="shared" si="35"/>
        <v/>
      </c>
      <c r="S75" s="10"/>
      <c r="T75" s="10"/>
      <c r="U75" s="10"/>
      <c r="V75" s="10"/>
      <c r="W75" s="6" t="str">
        <f t="shared" si="36"/>
        <v/>
      </c>
      <c r="X75" s="7" t="str">
        <f t="shared" si="37"/>
        <v/>
      </c>
      <c r="Y75" s="10"/>
      <c r="Z75" s="10"/>
      <c r="AA75" s="10"/>
      <c r="AB75" s="10"/>
      <c r="AC75" s="6" t="str">
        <f t="shared" si="38"/>
        <v/>
      </c>
      <c r="AD75" s="7" t="str">
        <f t="shared" si="39"/>
        <v/>
      </c>
      <c r="AE75" s="6" t="str">
        <f t="shared" si="40"/>
        <v/>
      </c>
      <c r="AF75" s="10"/>
      <c r="AG75" s="6" t="str">
        <f t="shared" si="41"/>
        <v/>
      </c>
      <c r="AH75" s="6" t="str">
        <f t="shared" si="42"/>
        <v/>
      </c>
      <c r="AI75" s="6" t="str">
        <f t="shared" si="43"/>
        <v/>
      </c>
      <c r="AJ75" s="7" t="str">
        <f t="shared" si="44"/>
        <v/>
      </c>
    </row>
    <row r="76" spans="1:36" ht="16.5" customHeight="1" x14ac:dyDescent="0.3">
      <c r="A76" s="11">
        <v>74</v>
      </c>
      <c r="B76" s="8">
        <f t="shared" si="31"/>
        <v>74</v>
      </c>
      <c r="C76" s="8" t="str">
        <f t="shared" si="32"/>
        <v/>
      </c>
      <c r="D76" s="13" t="s">
        <v>309</v>
      </c>
      <c r="E76" s="11" t="s">
        <v>40</v>
      </c>
      <c r="F76" s="11" t="s">
        <v>47</v>
      </c>
      <c r="G76" s="11" t="s">
        <v>41</v>
      </c>
      <c r="H76" s="15">
        <v>46321</v>
      </c>
      <c r="I76" s="15"/>
      <c r="J76" s="8" t="str">
        <f t="shared" si="33"/>
        <v>Pending</v>
      </c>
      <c r="K76" s="11" t="s">
        <v>42</v>
      </c>
      <c r="L76" s="13"/>
      <c r="M76" s="11"/>
      <c r="N76" s="11"/>
      <c r="O76" s="11"/>
      <c r="P76" s="11"/>
      <c r="Q76" s="6" t="str">
        <f t="shared" si="34"/>
        <v/>
      </c>
      <c r="R76" s="9" t="str">
        <f t="shared" si="35"/>
        <v/>
      </c>
      <c r="S76" s="11"/>
      <c r="T76" s="11"/>
      <c r="U76" s="11"/>
      <c r="V76" s="11"/>
      <c r="W76" s="6" t="str">
        <f t="shared" si="36"/>
        <v/>
      </c>
      <c r="X76" s="9" t="str">
        <f t="shared" si="37"/>
        <v/>
      </c>
      <c r="Y76" s="11"/>
      <c r="Z76" s="11"/>
      <c r="AA76" s="11"/>
      <c r="AB76" s="11"/>
      <c r="AC76" s="6" t="str">
        <f t="shared" si="38"/>
        <v/>
      </c>
      <c r="AD76" s="9" t="str">
        <f t="shared" si="39"/>
        <v/>
      </c>
      <c r="AE76" s="8" t="str">
        <f t="shared" si="40"/>
        <v/>
      </c>
      <c r="AF76" s="11"/>
      <c r="AG76" s="8" t="str">
        <f t="shared" si="41"/>
        <v/>
      </c>
      <c r="AH76" s="8" t="str">
        <f t="shared" si="42"/>
        <v/>
      </c>
      <c r="AI76" s="8" t="str">
        <f t="shared" si="43"/>
        <v/>
      </c>
      <c r="AJ76" s="9" t="str">
        <f t="shared" si="44"/>
        <v/>
      </c>
    </row>
    <row r="77" spans="1:36" ht="16.5" customHeight="1" x14ac:dyDescent="0.3">
      <c r="A77" s="10">
        <v>75</v>
      </c>
      <c r="B77" s="6">
        <f t="shared" si="31"/>
        <v>75</v>
      </c>
      <c r="C77" s="6" t="str">
        <f t="shared" si="32"/>
        <v/>
      </c>
      <c r="D77" s="12" t="s">
        <v>131</v>
      </c>
      <c r="E77" s="10" t="s">
        <v>36</v>
      </c>
      <c r="F77" s="10" t="s">
        <v>41</v>
      </c>
      <c r="G77" s="10" t="s">
        <v>41</v>
      </c>
      <c r="H77" s="14">
        <v>46322</v>
      </c>
      <c r="I77" s="14"/>
      <c r="J77" s="6" t="str">
        <f t="shared" si="33"/>
        <v>Pending</v>
      </c>
      <c r="K77" s="10" t="s">
        <v>42</v>
      </c>
      <c r="L77" s="12"/>
      <c r="M77" s="10"/>
      <c r="N77" s="10"/>
      <c r="O77" s="10"/>
      <c r="P77" s="10"/>
      <c r="Q77" s="6" t="str">
        <f t="shared" si="34"/>
        <v/>
      </c>
      <c r="R77" s="7" t="str">
        <f t="shared" si="35"/>
        <v/>
      </c>
      <c r="S77" s="10"/>
      <c r="T77" s="10"/>
      <c r="U77" s="10"/>
      <c r="V77" s="10"/>
      <c r="W77" s="6" t="str">
        <f t="shared" si="36"/>
        <v/>
      </c>
      <c r="X77" s="7" t="str">
        <f t="shared" si="37"/>
        <v/>
      </c>
      <c r="Y77" s="10"/>
      <c r="Z77" s="10"/>
      <c r="AA77" s="10"/>
      <c r="AB77" s="10"/>
      <c r="AC77" s="6" t="str">
        <f t="shared" si="38"/>
        <v/>
      </c>
      <c r="AD77" s="7" t="str">
        <f t="shared" si="39"/>
        <v/>
      </c>
      <c r="AE77" s="6" t="str">
        <f t="shared" si="40"/>
        <v/>
      </c>
      <c r="AF77" s="10"/>
      <c r="AG77" s="6" t="str">
        <f t="shared" si="41"/>
        <v/>
      </c>
      <c r="AH77" s="6" t="str">
        <f t="shared" si="42"/>
        <v/>
      </c>
      <c r="AI77" s="6" t="str">
        <f t="shared" si="43"/>
        <v/>
      </c>
      <c r="AJ77" s="7" t="str">
        <f t="shared" si="44"/>
        <v/>
      </c>
    </row>
    <row r="78" spans="1:36" ht="16.5" customHeight="1" x14ac:dyDescent="0.3">
      <c r="A78" s="11">
        <v>76</v>
      </c>
      <c r="B78" s="8">
        <f t="shared" si="31"/>
        <v>76</v>
      </c>
      <c r="C78" s="8" t="str">
        <f t="shared" si="32"/>
        <v/>
      </c>
      <c r="D78" s="13" t="s">
        <v>310</v>
      </c>
      <c r="E78" s="11" t="s">
        <v>40</v>
      </c>
      <c r="F78" s="11" t="s">
        <v>47</v>
      </c>
      <c r="G78" s="11" t="s">
        <v>41</v>
      </c>
      <c r="H78" s="15">
        <v>46323</v>
      </c>
      <c r="I78" s="15"/>
      <c r="J78" s="8" t="str">
        <f t="shared" si="33"/>
        <v>Pending</v>
      </c>
      <c r="K78" s="11" t="s">
        <v>42</v>
      </c>
      <c r="L78" s="13"/>
      <c r="M78" s="11"/>
      <c r="N78" s="11"/>
      <c r="O78" s="11"/>
      <c r="P78" s="11"/>
      <c r="Q78" s="6" t="str">
        <f t="shared" si="34"/>
        <v/>
      </c>
      <c r="R78" s="9" t="str">
        <f t="shared" si="35"/>
        <v/>
      </c>
      <c r="S78" s="11"/>
      <c r="T78" s="11"/>
      <c r="U78" s="11"/>
      <c r="V78" s="11"/>
      <c r="W78" s="6" t="str">
        <f t="shared" si="36"/>
        <v/>
      </c>
      <c r="X78" s="9" t="str">
        <f t="shared" si="37"/>
        <v/>
      </c>
      <c r="Y78" s="11"/>
      <c r="Z78" s="11"/>
      <c r="AA78" s="11"/>
      <c r="AB78" s="11"/>
      <c r="AC78" s="6" t="str">
        <f t="shared" si="38"/>
        <v/>
      </c>
      <c r="AD78" s="9" t="str">
        <f t="shared" si="39"/>
        <v/>
      </c>
      <c r="AE78" s="8" t="str">
        <f t="shared" si="40"/>
        <v/>
      </c>
      <c r="AF78" s="11"/>
      <c r="AG78" s="8" t="str">
        <f t="shared" si="41"/>
        <v/>
      </c>
      <c r="AH78" s="8" t="str">
        <f t="shared" si="42"/>
        <v/>
      </c>
      <c r="AI78" s="8" t="str">
        <f t="shared" si="43"/>
        <v/>
      </c>
      <c r="AJ78" s="9" t="str">
        <f t="shared" si="44"/>
        <v/>
      </c>
    </row>
    <row r="79" spans="1:36" ht="16.5" customHeight="1" x14ac:dyDescent="0.3">
      <c r="A79" s="10">
        <v>77</v>
      </c>
      <c r="B79" s="6">
        <f t="shared" si="31"/>
        <v>77</v>
      </c>
      <c r="C79" s="6" t="str">
        <f t="shared" si="32"/>
        <v/>
      </c>
      <c r="D79" s="12" t="s">
        <v>321</v>
      </c>
      <c r="E79" s="10" t="s">
        <v>40</v>
      </c>
      <c r="F79" s="10" t="s">
        <v>51</v>
      </c>
      <c r="G79" s="10" t="s">
        <v>41</v>
      </c>
      <c r="H79" s="14">
        <v>46326</v>
      </c>
      <c r="I79" s="14"/>
      <c r="J79" s="6" t="str">
        <f t="shared" si="33"/>
        <v>Pending</v>
      </c>
      <c r="K79" s="10" t="s">
        <v>42</v>
      </c>
      <c r="L79" s="12"/>
      <c r="M79" s="10"/>
      <c r="N79" s="10"/>
      <c r="O79" s="10"/>
      <c r="P79" s="10"/>
      <c r="Q79" s="6" t="str">
        <f t="shared" si="34"/>
        <v/>
      </c>
      <c r="R79" s="7" t="str">
        <f t="shared" si="35"/>
        <v/>
      </c>
      <c r="S79" s="10"/>
      <c r="T79" s="10"/>
      <c r="U79" s="10"/>
      <c r="V79" s="10"/>
      <c r="W79" s="6" t="str">
        <f t="shared" si="36"/>
        <v/>
      </c>
      <c r="X79" s="7" t="str">
        <f t="shared" si="37"/>
        <v/>
      </c>
      <c r="Y79" s="10"/>
      <c r="Z79" s="10"/>
      <c r="AA79" s="10"/>
      <c r="AB79" s="10"/>
      <c r="AC79" s="6" t="str">
        <f t="shared" si="38"/>
        <v/>
      </c>
      <c r="AD79" s="7" t="str">
        <f t="shared" si="39"/>
        <v/>
      </c>
      <c r="AE79" s="6" t="str">
        <f t="shared" si="40"/>
        <v/>
      </c>
      <c r="AF79" s="10"/>
      <c r="AG79" s="6" t="str">
        <f t="shared" si="41"/>
        <v/>
      </c>
      <c r="AH79" s="6" t="str">
        <f t="shared" si="42"/>
        <v/>
      </c>
      <c r="AI79" s="6" t="str">
        <f t="shared" si="43"/>
        <v/>
      </c>
      <c r="AJ79" s="7" t="str">
        <f t="shared" si="44"/>
        <v/>
      </c>
    </row>
    <row r="80" spans="1:36" ht="16.5" customHeight="1" x14ac:dyDescent="0.3">
      <c r="A80" s="11">
        <v>78</v>
      </c>
      <c r="B80" s="8">
        <f t="shared" si="31"/>
        <v>78</v>
      </c>
      <c r="C80" s="8" t="str">
        <f t="shared" si="32"/>
        <v/>
      </c>
      <c r="D80" s="13" t="s">
        <v>132</v>
      </c>
      <c r="E80" s="11" t="s">
        <v>36</v>
      </c>
      <c r="F80" s="11" t="s">
        <v>37</v>
      </c>
      <c r="G80" s="11" t="s">
        <v>38</v>
      </c>
      <c r="H80" s="15">
        <v>46327</v>
      </c>
      <c r="I80" s="15"/>
      <c r="J80" s="8" t="str">
        <f t="shared" si="33"/>
        <v>Pending</v>
      </c>
      <c r="K80" s="11" t="s">
        <v>42</v>
      </c>
      <c r="L80" s="13"/>
      <c r="M80" s="11"/>
      <c r="N80" s="11"/>
      <c r="O80" s="11"/>
      <c r="P80" s="11"/>
      <c r="Q80" s="6" t="str">
        <f t="shared" si="34"/>
        <v/>
      </c>
      <c r="R80" s="9" t="str">
        <f t="shared" si="35"/>
        <v/>
      </c>
      <c r="S80" s="11"/>
      <c r="T80" s="11"/>
      <c r="U80" s="11"/>
      <c r="V80" s="11"/>
      <c r="W80" s="6" t="str">
        <f t="shared" si="36"/>
        <v/>
      </c>
      <c r="X80" s="9" t="str">
        <f t="shared" si="37"/>
        <v/>
      </c>
      <c r="Y80" s="11"/>
      <c r="Z80" s="11"/>
      <c r="AA80" s="11"/>
      <c r="AB80" s="11"/>
      <c r="AC80" s="6" t="str">
        <f t="shared" si="38"/>
        <v/>
      </c>
      <c r="AD80" s="9" t="str">
        <f t="shared" si="39"/>
        <v/>
      </c>
      <c r="AE80" s="8" t="str">
        <f t="shared" si="40"/>
        <v/>
      </c>
      <c r="AF80" s="11"/>
      <c r="AG80" s="8" t="str">
        <f t="shared" si="41"/>
        <v/>
      </c>
      <c r="AH80" s="8" t="str">
        <f t="shared" si="42"/>
        <v/>
      </c>
      <c r="AI80" s="8" t="str">
        <f t="shared" si="43"/>
        <v/>
      </c>
      <c r="AJ80" s="9" t="str">
        <f t="shared" si="44"/>
        <v/>
      </c>
    </row>
    <row r="81" spans="1:36" ht="16.5" customHeight="1" x14ac:dyDescent="0.3">
      <c r="A81" s="10">
        <v>79</v>
      </c>
      <c r="B81" s="6">
        <f t="shared" si="31"/>
        <v>79</v>
      </c>
      <c r="C81" s="6" t="str">
        <f t="shared" si="32"/>
        <v/>
      </c>
      <c r="D81" s="12" t="s">
        <v>133</v>
      </c>
      <c r="E81" s="10" t="s">
        <v>36</v>
      </c>
      <c r="F81" s="10" t="s">
        <v>41</v>
      </c>
      <c r="G81" s="10" t="s">
        <v>41</v>
      </c>
      <c r="H81" s="14">
        <v>46328</v>
      </c>
      <c r="I81" s="14"/>
      <c r="J81" s="6" t="str">
        <f t="shared" si="33"/>
        <v>Pending</v>
      </c>
      <c r="K81" s="10" t="s">
        <v>42</v>
      </c>
      <c r="L81" s="12"/>
      <c r="M81" s="10"/>
      <c r="N81" s="10"/>
      <c r="O81" s="10"/>
      <c r="P81" s="10"/>
      <c r="Q81" s="6" t="str">
        <f t="shared" si="34"/>
        <v/>
      </c>
      <c r="R81" s="7" t="str">
        <f t="shared" si="35"/>
        <v/>
      </c>
      <c r="S81" s="10"/>
      <c r="T81" s="10"/>
      <c r="U81" s="10"/>
      <c r="V81" s="10"/>
      <c r="W81" s="6" t="str">
        <f t="shared" si="36"/>
        <v/>
      </c>
      <c r="X81" s="7" t="str">
        <f t="shared" si="37"/>
        <v/>
      </c>
      <c r="Y81" s="10"/>
      <c r="Z81" s="10"/>
      <c r="AA81" s="10"/>
      <c r="AB81" s="10"/>
      <c r="AC81" s="6" t="str">
        <f t="shared" si="38"/>
        <v/>
      </c>
      <c r="AD81" s="7" t="str">
        <f t="shared" si="39"/>
        <v/>
      </c>
      <c r="AE81" s="6" t="str">
        <f t="shared" si="40"/>
        <v/>
      </c>
      <c r="AF81" s="10"/>
      <c r="AG81" s="6" t="str">
        <f t="shared" si="41"/>
        <v/>
      </c>
      <c r="AH81" s="6" t="str">
        <f t="shared" si="42"/>
        <v/>
      </c>
      <c r="AI81" s="6" t="str">
        <f t="shared" si="43"/>
        <v/>
      </c>
      <c r="AJ81" s="7" t="str">
        <f t="shared" si="44"/>
        <v/>
      </c>
    </row>
    <row r="82" spans="1:36" ht="16.5" customHeight="1" x14ac:dyDescent="0.3">
      <c r="A82" s="11">
        <v>80</v>
      </c>
      <c r="B82" s="8">
        <f t="shared" si="31"/>
        <v>80</v>
      </c>
      <c r="C82" s="8" t="str">
        <f t="shared" si="32"/>
        <v/>
      </c>
      <c r="D82" s="13" t="s">
        <v>311</v>
      </c>
      <c r="E82" s="11" t="s">
        <v>40</v>
      </c>
      <c r="F82" s="11" t="s">
        <v>47</v>
      </c>
      <c r="G82" s="11" t="s">
        <v>41</v>
      </c>
      <c r="H82" s="15">
        <v>46329</v>
      </c>
      <c r="I82" s="15"/>
      <c r="J82" s="8" t="str">
        <f t="shared" si="33"/>
        <v>Pending</v>
      </c>
      <c r="K82" s="11" t="s">
        <v>42</v>
      </c>
      <c r="L82" s="13"/>
      <c r="M82" s="11"/>
      <c r="N82" s="11"/>
      <c r="O82" s="11"/>
      <c r="P82" s="11"/>
      <c r="Q82" s="6" t="str">
        <f t="shared" si="34"/>
        <v/>
      </c>
      <c r="R82" s="9" t="str">
        <f t="shared" si="35"/>
        <v/>
      </c>
      <c r="S82" s="11"/>
      <c r="T82" s="11"/>
      <c r="U82" s="11"/>
      <c r="V82" s="11"/>
      <c r="W82" s="6" t="str">
        <f t="shared" si="36"/>
        <v/>
      </c>
      <c r="X82" s="9" t="str">
        <f t="shared" si="37"/>
        <v/>
      </c>
      <c r="Y82" s="11"/>
      <c r="Z82" s="11"/>
      <c r="AA82" s="11"/>
      <c r="AB82" s="11"/>
      <c r="AC82" s="6" t="str">
        <f t="shared" si="38"/>
        <v/>
      </c>
      <c r="AD82" s="9" t="str">
        <f t="shared" si="39"/>
        <v/>
      </c>
      <c r="AE82" s="8" t="str">
        <f t="shared" si="40"/>
        <v/>
      </c>
      <c r="AF82" s="11"/>
      <c r="AG82" s="8" t="str">
        <f t="shared" si="41"/>
        <v/>
      </c>
      <c r="AH82" s="8" t="str">
        <f t="shared" si="42"/>
        <v/>
      </c>
      <c r="AI82" s="8" t="str">
        <f t="shared" si="43"/>
        <v/>
      </c>
      <c r="AJ82" s="9" t="str">
        <f t="shared" si="44"/>
        <v/>
      </c>
    </row>
    <row r="83" spans="1:36" ht="16.5" customHeight="1" x14ac:dyDescent="0.3">
      <c r="A83" s="10">
        <v>81</v>
      </c>
      <c r="B83" s="6">
        <f t="shared" si="31"/>
        <v>81</v>
      </c>
      <c r="C83" s="6" t="str">
        <f t="shared" si="32"/>
        <v/>
      </c>
      <c r="D83" s="12" t="s">
        <v>134</v>
      </c>
      <c r="E83" s="10" t="s">
        <v>36</v>
      </c>
      <c r="F83" s="10" t="s">
        <v>44</v>
      </c>
      <c r="G83" s="10" t="s">
        <v>45</v>
      </c>
      <c r="H83" s="14">
        <v>46330</v>
      </c>
      <c r="I83" s="14"/>
      <c r="J83" s="6" t="str">
        <f t="shared" si="33"/>
        <v>Pending</v>
      </c>
      <c r="K83" s="10" t="s">
        <v>42</v>
      </c>
      <c r="L83" s="12"/>
      <c r="M83" s="10"/>
      <c r="N83" s="10"/>
      <c r="O83" s="10"/>
      <c r="P83" s="10"/>
      <c r="Q83" s="6" t="str">
        <f t="shared" si="34"/>
        <v/>
      </c>
      <c r="R83" s="7" t="str">
        <f t="shared" si="35"/>
        <v/>
      </c>
      <c r="S83" s="10"/>
      <c r="T83" s="10"/>
      <c r="U83" s="10"/>
      <c r="V83" s="10"/>
      <c r="W83" s="6" t="str">
        <f t="shared" si="36"/>
        <v/>
      </c>
      <c r="X83" s="7" t="str">
        <f t="shared" si="37"/>
        <v/>
      </c>
      <c r="Y83" s="10"/>
      <c r="Z83" s="10"/>
      <c r="AA83" s="10"/>
      <c r="AB83" s="10"/>
      <c r="AC83" s="6" t="str">
        <f t="shared" si="38"/>
        <v/>
      </c>
      <c r="AD83" s="7" t="str">
        <f t="shared" si="39"/>
        <v/>
      </c>
      <c r="AE83" s="6" t="str">
        <f t="shared" si="40"/>
        <v/>
      </c>
      <c r="AF83" s="10"/>
      <c r="AG83" s="6" t="str">
        <f t="shared" si="41"/>
        <v/>
      </c>
      <c r="AH83" s="6" t="str">
        <f t="shared" si="42"/>
        <v/>
      </c>
      <c r="AI83" s="6" t="str">
        <f t="shared" si="43"/>
        <v/>
      </c>
      <c r="AJ83" s="7" t="str">
        <f t="shared" si="44"/>
        <v/>
      </c>
    </row>
    <row r="84" spans="1:36" ht="16.5" customHeight="1" x14ac:dyDescent="0.3">
      <c r="A84" s="11">
        <v>82</v>
      </c>
      <c r="B84" s="8">
        <f t="shared" si="31"/>
        <v>82</v>
      </c>
      <c r="C84" s="8" t="str">
        <f t="shared" si="32"/>
        <v/>
      </c>
      <c r="D84" s="13" t="s">
        <v>312</v>
      </c>
      <c r="E84" s="11" t="s">
        <v>40</v>
      </c>
      <c r="F84" s="11" t="s">
        <v>47</v>
      </c>
      <c r="G84" s="11" t="s">
        <v>41</v>
      </c>
      <c r="H84" s="15">
        <v>46331</v>
      </c>
      <c r="I84" s="15"/>
      <c r="J84" s="8" t="str">
        <f t="shared" si="33"/>
        <v>Pending</v>
      </c>
      <c r="K84" s="11" t="s">
        <v>42</v>
      </c>
      <c r="L84" s="13"/>
      <c r="M84" s="11"/>
      <c r="N84" s="11"/>
      <c r="O84" s="11"/>
      <c r="P84" s="11"/>
      <c r="Q84" s="6" t="str">
        <f t="shared" si="34"/>
        <v/>
      </c>
      <c r="R84" s="9" t="str">
        <f t="shared" si="35"/>
        <v/>
      </c>
      <c r="S84" s="11"/>
      <c r="T84" s="11"/>
      <c r="U84" s="11"/>
      <c r="V84" s="11"/>
      <c r="W84" s="6" t="str">
        <f t="shared" si="36"/>
        <v/>
      </c>
      <c r="X84" s="9" t="str">
        <f t="shared" si="37"/>
        <v/>
      </c>
      <c r="Y84" s="11"/>
      <c r="Z84" s="11"/>
      <c r="AA84" s="11"/>
      <c r="AB84" s="11"/>
      <c r="AC84" s="6" t="str">
        <f t="shared" si="38"/>
        <v/>
      </c>
      <c r="AD84" s="9" t="str">
        <f t="shared" si="39"/>
        <v/>
      </c>
      <c r="AE84" s="8" t="str">
        <f t="shared" si="40"/>
        <v/>
      </c>
      <c r="AF84" s="11"/>
      <c r="AG84" s="8" t="str">
        <f t="shared" si="41"/>
        <v/>
      </c>
      <c r="AH84" s="8" t="str">
        <f t="shared" si="42"/>
        <v/>
      </c>
      <c r="AI84" s="8" t="str">
        <f t="shared" si="43"/>
        <v/>
      </c>
      <c r="AJ84" s="9" t="str">
        <f t="shared" si="44"/>
        <v/>
      </c>
    </row>
    <row r="85" spans="1:36" ht="16.5" customHeight="1" x14ac:dyDescent="0.3">
      <c r="A85" s="10">
        <v>83</v>
      </c>
      <c r="B85" s="6">
        <f t="shared" si="31"/>
        <v>83</v>
      </c>
      <c r="C85" s="6" t="str">
        <f t="shared" si="32"/>
        <v/>
      </c>
      <c r="D85" s="12" t="s">
        <v>135</v>
      </c>
      <c r="E85" s="10" t="s">
        <v>36</v>
      </c>
      <c r="F85" s="10" t="s">
        <v>41</v>
      </c>
      <c r="G85" s="10" t="s">
        <v>41</v>
      </c>
      <c r="H85" s="14">
        <v>46332</v>
      </c>
      <c r="I85" s="14"/>
      <c r="J85" s="6" t="str">
        <f t="shared" si="33"/>
        <v>Pending</v>
      </c>
      <c r="K85" s="10" t="s">
        <v>42</v>
      </c>
      <c r="L85" s="12"/>
      <c r="M85" s="10"/>
      <c r="N85" s="10"/>
      <c r="O85" s="10"/>
      <c r="P85" s="10"/>
      <c r="Q85" s="6" t="str">
        <f t="shared" si="34"/>
        <v/>
      </c>
      <c r="R85" s="7" t="str">
        <f t="shared" si="35"/>
        <v/>
      </c>
      <c r="S85" s="10"/>
      <c r="T85" s="10"/>
      <c r="U85" s="10"/>
      <c r="V85" s="10"/>
      <c r="W85" s="6" t="str">
        <f t="shared" si="36"/>
        <v/>
      </c>
      <c r="X85" s="7" t="str">
        <f t="shared" si="37"/>
        <v/>
      </c>
      <c r="Y85" s="10"/>
      <c r="Z85" s="10"/>
      <c r="AA85" s="10"/>
      <c r="AB85" s="10"/>
      <c r="AC85" s="6" t="str">
        <f t="shared" si="38"/>
        <v/>
      </c>
      <c r="AD85" s="7" t="str">
        <f t="shared" si="39"/>
        <v/>
      </c>
      <c r="AE85" s="6" t="str">
        <f t="shared" si="40"/>
        <v/>
      </c>
      <c r="AF85" s="10"/>
      <c r="AG85" s="6" t="str">
        <f t="shared" si="41"/>
        <v/>
      </c>
      <c r="AH85" s="6" t="str">
        <f t="shared" si="42"/>
        <v/>
      </c>
      <c r="AI85" s="6" t="str">
        <f t="shared" si="43"/>
        <v/>
      </c>
      <c r="AJ85" s="7" t="str">
        <f t="shared" si="44"/>
        <v/>
      </c>
    </row>
    <row r="86" spans="1:36" ht="16.5" customHeight="1" x14ac:dyDescent="0.3">
      <c r="A86" s="11">
        <v>84</v>
      </c>
      <c r="B86" s="8">
        <f t="shared" si="31"/>
        <v>84</v>
      </c>
      <c r="C86" s="8" t="str">
        <f t="shared" si="32"/>
        <v/>
      </c>
      <c r="D86" s="13" t="s">
        <v>313</v>
      </c>
      <c r="E86" s="11" t="s">
        <v>40</v>
      </c>
      <c r="F86" s="11" t="s">
        <v>47</v>
      </c>
      <c r="G86" s="11" t="s">
        <v>41</v>
      </c>
      <c r="H86" s="15">
        <v>46333</v>
      </c>
      <c r="I86" s="15"/>
      <c r="J86" s="8" t="str">
        <f t="shared" si="33"/>
        <v>Pending</v>
      </c>
      <c r="K86" s="11" t="s">
        <v>42</v>
      </c>
      <c r="L86" s="13"/>
      <c r="M86" s="11"/>
      <c r="N86" s="11"/>
      <c r="O86" s="11"/>
      <c r="P86" s="11"/>
      <c r="Q86" s="6" t="str">
        <f t="shared" si="34"/>
        <v/>
      </c>
      <c r="R86" s="9" t="str">
        <f t="shared" si="35"/>
        <v/>
      </c>
      <c r="S86" s="11"/>
      <c r="T86" s="11"/>
      <c r="U86" s="11"/>
      <c r="V86" s="11"/>
      <c r="W86" s="6" t="str">
        <f t="shared" si="36"/>
        <v/>
      </c>
      <c r="X86" s="9" t="str">
        <f t="shared" si="37"/>
        <v/>
      </c>
      <c r="Y86" s="11"/>
      <c r="Z86" s="11"/>
      <c r="AA86" s="11"/>
      <c r="AB86" s="11"/>
      <c r="AC86" s="6" t="str">
        <f t="shared" si="38"/>
        <v/>
      </c>
      <c r="AD86" s="9" t="str">
        <f t="shared" si="39"/>
        <v/>
      </c>
      <c r="AE86" s="8" t="str">
        <f t="shared" si="40"/>
        <v/>
      </c>
      <c r="AF86" s="11"/>
      <c r="AG86" s="8" t="str">
        <f t="shared" si="41"/>
        <v/>
      </c>
      <c r="AH86" s="8" t="str">
        <f t="shared" si="42"/>
        <v/>
      </c>
      <c r="AI86" s="8" t="str">
        <f t="shared" si="43"/>
        <v/>
      </c>
      <c r="AJ86" s="9" t="str">
        <f t="shared" si="44"/>
        <v/>
      </c>
    </row>
    <row r="87" spans="1:36" ht="16.5" customHeight="1" x14ac:dyDescent="0.3">
      <c r="A87" s="10">
        <v>85</v>
      </c>
      <c r="B87" s="6">
        <f t="shared" si="31"/>
        <v>85</v>
      </c>
      <c r="C87" s="6" t="str">
        <f t="shared" si="32"/>
        <v/>
      </c>
      <c r="D87" s="12" t="s">
        <v>136</v>
      </c>
      <c r="E87" s="10" t="s">
        <v>36</v>
      </c>
      <c r="F87" s="10" t="s">
        <v>44</v>
      </c>
      <c r="G87" s="10" t="s">
        <v>45</v>
      </c>
      <c r="H87" s="14">
        <v>46334</v>
      </c>
      <c r="I87" s="14"/>
      <c r="J87" s="6" t="str">
        <f t="shared" si="33"/>
        <v>Pending</v>
      </c>
      <c r="K87" s="10" t="s">
        <v>42</v>
      </c>
      <c r="L87" s="12"/>
      <c r="M87" s="10"/>
      <c r="N87" s="10"/>
      <c r="O87" s="10"/>
      <c r="P87" s="10"/>
      <c r="Q87" s="6" t="str">
        <f t="shared" si="34"/>
        <v/>
      </c>
      <c r="R87" s="7" t="str">
        <f t="shared" si="35"/>
        <v/>
      </c>
      <c r="S87" s="10"/>
      <c r="T87" s="10"/>
      <c r="U87" s="10"/>
      <c r="V87" s="10"/>
      <c r="W87" s="6" t="str">
        <f t="shared" si="36"/>
        <v/>
      </c>
      <c r="X87" s="7" t="str">
        <f t="shared" si="37"/>
        <v/>
      </c>
      <c r="Y87" s="10"/>
      <c r="Z87" s="10"/>
      <c r="AA87" s="10"/>
      <c r="AB87" s="10"/>
      <c r="AC87" s="6" t="str">
        <f t="shared" si="38"/>
        <v/>
      </c>
      <c r="AD87" s="7" t="str">
        <f t="shared" si="39"/>
        <v/>
      </c>
      <c r="AE87" s="6" t="str">
        <f t="shared" si="40"/>
        <v/>
      </c>
      <c r="AF87" s="10"/>
      <c r="AG87" s="6" t="str">
        <f t="shared" si="41"/>
        <v/>
      </c>
      <c r="AH87" s="6" t="str">
        <f t="shared" si="42"/>
        <v/>
      </c>
      <c r="AI87" s="6" t="str">
        <f t="shared" si="43"/>
        <v/>
      </c>
      <c r="AJ87" s="7" t="str">
        <f t="shared" si="44"/>
        <v/>
      </c>
    </row>
    <row r="88" spans="1:36" ht="16.5" customHeight="1" x14ac:dyDescent="0.3">
      <c r="A88" s="11">
        <v>86</v>
      </c>
      <c r="B88" s="8">
        <f t="shared" si="31"/>
        <v>86</v>
      </c>
      <c r="C88" s="8" t="str">
        <f t="shared" si="32"/>
        <v/>
      </c>
      <c r="D88" s="13" t="s">
        <v>314</v>
      </c>
      <c r="E88" s="11" t="s">
        <v>40</v>
      </c>
      <c r="F88" s="11" t="s">
        <v>47</v>
      </c>
      <c r="G88" s="11" t="s">
        <v>41</v>
      </c>
      <c r="H88" s="15">
        <v>46335</v>
      </c>
      <c r="I88" s="15"/>
      <c r="J88" s="8" t="str">
        <f t="shared" si="33"/>
        <v>Pending</v>
      </c>
      <c r="K88" s="11" t="s">
        <v>42</v>
      </c>
      <c r="L88" s="13"/>
      <c r="M88" s="11"/>
      <c r="N88" s="11"/>
      <c r="O88" s="11"/>
      <c r="P88" s="11"/>
      <c r="Q88" s="6" t="str">
        <f t="shared" si="34"/>
        <v/>
      </c>
      <c r="R88" s="9" t="str">
        <f t="shared" si="35"/>
        <v/>
      </c>
      <c r="S88" s="11"/>
      <c r="T88" s="11"/>
      <c r="U88" s="11"/>
      <c r="V88" s="11"/>
      <c r="W88" s="6" t="str">
        <f t="shared" si="36"/>
        <v/>
      </c>
      <c r="X88" s="9" t="str">
        <f t="shared" si="37"/>
        <v/>
      </c>
      <c r="Y88" s="11"/>
      <c r="Z88" s="11"/>
      <c r="AA88" s="11"/>
      <c r="AB88" s="11"/>
      <c r="AC88" s="6" t="str">
        <f t="shared" si="38"/>
        <v/>
      </c>
      <c r="AD88" s="9" t="str">
        <f t="shared" si="39"/>
        <v/>
      </c>
      <c r="AE88" s="8" t="str">
        <f t="shared" si="40"/>
        <v/>
      </c>
      <c r="AF88" s="11"/>
      <c r="AG88" s="8" t="str">
        <f t="shared" si="41"/>
        <v/>
      </c>
      <c r="AH88" s="8" t="str">
        <f t="shared" si="42"/>
        <v/>
      </c>
      <c r="AI88" s="8" t="str">
        <f t="shared" si="43"/>
        <v/>
      </c>
      <c r="AJ88" s="9" t="str">
        <f t="shared" si="44"/>
        <v/>
      </c>
    </row>
    <row r="89" spans="1:36" ht="16.5" customHeight="1" x14ac:dyDescent="0.3">
      <c r="A89" s="10">
        <v>87</v>
      </c>
      <c r="B89" s="6">
        <f t="shared" si="31"/>
        <v>87</v>
      </c>
      <c r="C89" s="6" t="str">
        <f t="shared" si="32"/>
        <v/>
      </c>
      <c r="D89" s="12" t="s">
        <v>137</v>
      </c>
      <c r="E89" s="10" t="s">
        <v>36</v>
      </c>
      <c r="F89" s="10" t="s">
        <v>41</v>
      </c>
      <c r="G89" s="10" t="s">
        <v>41</v>
      </c>
      <c r="H89" s="14">
        <v>46336</v>
      </c>
      <c r="I89" s="14"/>
      <c r="J89" s="6" t="str">
        <f t="shared" si="33"/>
        <v>Pending</v>
      </c>
      <c r="K89" s="10" t="s">
        <v>42</v>
      </c>
      <c r="L89" s="12"/>
      <c r="M89" s="10"/>
      <c r="N89" s="10"/>
      <c r="O89" s="10"/>
      <c r="P89" s="10"/>
      <c r="Q89" s="6" t="str">
        <f t="shared" si="34"/>
        <v/>
      </c>
      <c r="R89" s="7" t="str">
        <f t="shared" si="35"/>
        <v/>
      </c>
      <c r="S89" s="10"/>
      <c r="T89" s="10"/>
      <c r="U89" s="10"/>
      <c r="V89" s="10"/>
      <c r="W89" s="6" t="str">
        <f t="shared" si="36"/>
        <v/>
      </c>
      <c r="X89" s="7" t="str">
        <f t="shared" si="37"/>
        <v/>
      </c>
      <c r="Y89" s="10"/>
      <c r="Z89" s="10"/>
      <c r="AA89" s="10"/>
      <c r="AB89" s="10"/>
      <c r="AC89" s="6" t="str">
        <f t="shared" si="38"/>
        <v/>
      </c>
      <c r="AD89" s="7" t="str">
        <f t="shared" si="39"/>
        <v/>
      </c>
      <c r="AE89" s="6" t="str">
        <f t="shared" si="40"/>
        <v/>
      </c>
      <c r="AF89" s="10"/>
      <c r="AG89" s="6" t="str">
        <f t="shared" si="41"/>
        <v/>
      </c>
      <c r="AH89" s="6" t="str">
        <f t="shared" si="42"/>
        <v/>
      </c>
      <c r="AI89" s="6" t="str">
        <f t="shared" si="43"/>
        <v/>
      </c>
      <c r="AJ89" s="7" t="str">
        <f t="shared" si="44"/>
        <v/>
      </c>
    </row>
    <row r="90" spans="1:36" ht="16.5" customHeight="1" x14ac:dyDescent="0.3">
      <c r="A90" s="11">
        <v>88</v>
      </c>
      <c r="B90" s="8">
        <f t="shared" si="31"/>
        <v>88</v>
      </c>
      <c r="C90" s="8" t="str">
        <f t="shared" si="32"/>
        <v/>
      </c>
      <c r="D90" s="13" t="s">
        <v>322</v>
      </c>
      <c r="E90" s="11" t="s">
        <v>40</v>
      </c>
      <c r="F90" s="11" t="s">
        <v>51</v>
      </c>
      <c r="G90" s="11" t="s">
        <v>41</v>
      </c>
      <c r="H90" s="15">
        <v>46337</v>
      </c>
      <c r="I90" s="15"/>
      <c r="J90" s="8" t="str">
        <f t="shared" si="33"/>
        <v>Pending</v>
      </c>
      <c r="K90" s="11" t="s">
        <v>42</v>
      </c>
      <c r="L90" s="13"/>
      <c r="M90" s="11"/>
      <c r="N90" s="11"/>
      <c r="O90" s="11"/>
      <c r="P90" s="11"/>
      <c r="Q90" s="6" t="str">
        <f t="shared" si="34"/>
        <v/>
      </c>
      <c r="R90" s="9" t="str">
        <f t="shared" si="35"/>
        <v/>
      </c>
      <c r="S90" s="11"/>
      <c r="T90" s="11"/>
      <c r="U90" s="11"/>
      <c r="V90" s="11"/>
      <c r="W90" s="6" t="str">
        <f t="shared" si="36"/>
        <v/>
      </c>
      <c r="X90" s="9" t="str">
        <f t="shared" si="37"/>
        <v/>
      </c>
      <c r="Y90" s="11"/>
      <c r="Z90" s="11"/>
      <c r="AA90" s="11"/>
      <c r="AB90" s="11"/>
      <c r="AC90" s="6" t="str">
        <f t="shared" si="38"/>
        <v/>
      </c>
      <c r="AD90" s="9" t="str">
        <f t="shared" si="39"/>
        <v/>
      </c>
      <c r="AE90" s="8" t="str">
        <f t="shared" si="40"/>
        <v/>
      </c>
      <c r="AF90" s="11"/>
      <c r="AG90" s="8" t="str">
        <f t="shared" si="41"/>
        <v/>
      </c>
      <c r="AH90" s="8" t="str">
        <f t="shared" si="42"/>
        <v/>
      </c>
      <c r="AI90" s="8" t="str">
        <f t="shared" si="43"/>
        <v/>
      </c>
      <c r="AJ90" s="9" t="str">
        <f t="shared" si="44"/>
        <v/>
      </c>
    </row>
    <row r="91" spans="1:36" ht="16.5" customHeight="1" x14ac:dyDescent="0.3">
      <c r="A91" s="10">
        <v>89</v>
      </c>
      <c r="B91" s="6">
        <f t="shared" si="31"/>
        <v>89</v>
      </c>
      <c r="C91" s="6" t="str">
        <f t="shared" si="32"/>
        <v/>
      </c>
      <c r="D91" s="12" t="s">
        <v>315</v>
      </c>
      <c r="E91" s="10" t="s">
        <v>40</v>
      </c>
      <c r="F91" s="10" t="s">
        <v>47</v>
      </c>
      <c r="G91" s="10" t="s">
        <v>41</v>
      </c>
      <c r="H91" s="14">
        <v>46338</v>
      </c>
      <c r="I91" s="14"/>
      <c r="J91" s="6" t="str">
        <f t="shared" si="33"/>
        <v>Pending</v>
      </c>
      <c r="K91" s="10" t="s">
        <v>42</v>
      </c>
      <c r="L91" s="12"/>
      <c r="M91" s="10"/>
      <c r="N91" s="10"/>
      <c r="O91" s="10"/>
      <c r="P91" s="10"/>
      <c r="Q91" s="6" t="str">
        <f t="shared" si="34"/>
        <v/>
      </c>
      <c r="R91" s="7" t="str">
        <f t="shared" si="35"/>
        <v/>
      </c>
      <c r="S91" s="10"/>
      <c r="T91" s="10"/>
      <c r="U91" s="10"/>
      <c r="V91" s="10"/>
      <c r="W91" s="6" t="str">
        <f t="shared" si="36"/>
        <v/>
      </c>
      <c r="X91" s="7" t="str">
        <f t="shared" si="37"/>
        <v/>
      </c>
      <c r="Y91" s="10"/>
      <c r="Z91" s="10"/>
      <c r="AA91" s="10"/>
      <c r="AB91" s="10"/>
      <c r="AC91" s="6" t="str">
        <f t="shared" si="38"/>
        <v/>
      </c>
      <c r="AD91" s="7" t="str">
        <f t="shared" si="39"/>
        <v/>
      </c>
      <c r="AE91" s="6" t="str">
        <f t="shared" si="40"/>
        <v/>
      </c>
      <c r="AF91" s="10"/>
      <c r="AG91" s="6" t="str">
        <f t="shared" si="41"/>
        <v/>
      </c>
      <c r="AH91" s="6" t="str">
        <f t="shared" si="42"/>
        <v/>
      </c>
      <c r="AI91" s="6" t="str">
        <f t="shared" si="43"/>
        <v/>
      </c>
      <c r="AJ91" s="7" t="str">
        <f t="shared" si="44"/>
        <v/>
      </c>
    </row>
    <row r="92" spans="1:36" ht="16.5" customHeight="1" x14ac:dyDescent="0.3">
      <c r="A92" s="11">
        <v>90</v>
      </c>
      <c r="B92" s="8">
        <f t="shared" si="31"/>
        <v>90</v>
      </c>
      <c r="C92" s="8" t="str">
        <f t="shared" si="32"/>
        <v/>
      </c>
      <c r="D92" s="13" t="s">
        <v>301</v>
      </c>
      <c r="E92" s="11" t="s">
        <v>40</v>
      </c>
      <c r="F92" s="11" t="s">
        <v>49</v>
      </c>
      <c r="G92" s="11" t="s">
        <v>41</v>
      </c>
      <c r="H92" s="15">
        <v>46340</v>
      </c>
      <c r="I92" s="15"/>
      <c r="J92" s="8" t="str">
        <f t="shared" si="33"/>
        <v>Pending</v>
      </c>
      <c r="K92" s="11" t="s">
        <v>42</v>
      </c>
      <c r="L92" s="13"/>
      <c r="M92" s="11"/>
      <c r="N92" s="11"/>
      <c r="O92" s="11"/>
      <c r="P92" s="11"/>
      <c r="Q92" s="6" t="str">
        <f t="shared" si="34"/>
        <v/>
      </c>
      <c r="R92" s="9" t="str">
        <f t="shared" si="35"/>
        <v/>
      </c>
      <c r="S92" s="11"/>
      <c r="T92" s="11"/>
      <c r="U92" s="11"/>
      <c r="V92" s="11"/>
      <c r="W92" s="6" t="str">
        <f t="shared" si="36"/>
        <v/>
      </c>
      <c r="X92" s="9" t="str">
        <f t="shared" si="37"/>
        <v/>
      </c>
      <c r="Y92" s="11"/>
      <c r="Z92" s="11"/>
      <c r="AA92" s="11"/>
      <c r="AB92" s="11"/>
      <c r="AC92" s="6" t="str">
        <f t="shared" si="38"/>
        <v/>
      </c>
      <c r="AD92" s="9" t="str">
        <f t="shared" si="39"/>
        <v/>
      </c>
      <c r="AE92" s="8" t="str">
        <f t="shared" si="40"/>
        <v/>
      </c>
      <c r="AF92" s="11"/>
      <c r="AG92" s="8" t="str">
        <f t="shared" si="41"/>
        <v/>
      </c>
      <c r="AH92" s="8" t="str">
        <f t="shared" si="42"/>
        <v/>
      </c>
      <c r="AI92" s="8" t="str">
        <f t="shared" si="43"/>
        <v/>
      </c>
      <c r="AJ92" s="9" t="str">
        <f t="shared" si="44"/>
        <v/>
      </c>
    </row>
    <row r="93" spans="1:36" ht="16.5" customHeight="1" x14ac:dyDescent="0.3">
      <c r="A93" s="10">
        <v>91</v>
      </c>
      <c r="B93" s="6">
        <f t="shared" si="31"/>
        <v>91</v>
      </c>
      <c r="C93" s="6" t="str">
        <f t="shared" si="32"/>
        <v/>
      </c>
      <c r="D93" s="12" t="s">
        <v>138</v>
      </c>
      <c r="E93" s="10" t="s">
        <v>36</v>
      </c>
      <c r="F93" s="10" t="s">
        <v>37</v>
      </c>
      <c r="G93" s="10" t="s">
        <v>38</v>
      </c>
      <c r="H93" s="14">
        <v>46341</v>
      </c>
      <c r="I93" s="14"/>
      <c r="J93" s="6" t="str">
        <f t="shared" si="33"/>
        <v>Pending</v>
      </c>
      <c r="K93" s="10" t="s">
        <v>42</v>
      </c>
      <c r="L93" s="12"/>
      <c r="M93" s="10"/>
      <c r="N93" s="10"/>
      <c r="O93" s="10"/>
      <c r="P93" s="10"/>
      <c r="Q93" s="6" t="str">
        <f t="shared" si="34"/>
        <v/>
      </c>
      <c r="R93" s="7" t="str">
        <f t="shared" si="35"/>
        <v/>
      </c>
      <c r="S93" s="10"/>
      <c r="T93" s="10"/>
      <c r="U93" s="10"/>
      <c r="V93" s="10"/>
      <c r="W93" s="6" t="str">
        <f t="shared" si="36"/>
        <v/>
      </c>
      <c r="X93" s="7" t="str">
        <f t="shared" si="37"/>
        <v/>
      </c>
      <c r="Y93" s="10"/>
      <c r="Z93" s="10"/>
      <c r="AA93" s="10"/>
      <c r="AB93" s="10"/>
      <c r="AC93" s="6" t="str">
        <f t="shared" si="38"/>
        <v/>
      </c>
      <c r="AD93" s="7" t="str">
        <f t="shared" si="39"/>
        <v/>
      </c>
      <c r="AE93" s="6" t="str">
        <f t="shared" si="40"/>
        <v/>
      </c>
      <c r="AF93" s="10"/>
      <c r="AG93" s="6" t="str">
        <f t="shared" si="41"/>
        <v/>
      </c>
      <c r="AH93" s="6" t="str">
        <f t="shared" si="42"/>
        <v/>
      </c>
      <c r="AI93" s="6" t="str">
        <f t="shared" si="43"/>
        <v/>
      </c>
      <c r="AJ93" s="7" t="str">
        <f t="shared" si="44"/>
        <v/>
      </c>
    </row>
    <row r="94" spans="1:36" ht="16.5" customHeight="1" x14ac:dyDescent="0.3">
      <c r="A94" s="11">
        <v>92</v>
      </c>
      <c r="B94" s="8">
        <f t="shared" si="31"/>
        <v>92</v>
      </c>
      <c r="C94" s="8" t="str">
        <f t="shared" si="32"/>
        <v/>
      </c>
      <c r="D94" s="13" t="s">
        <v>139</v>
      </c>
      <c r="E94" s="11" t="s">
        <v>36</v>
      </c>
      <c r="F94" s="11" t="s">
        <v>41</v>
      </c>
      <c r="G94" s="11" t="s">
        <v>41</v>
      </c>
      <c r="H94" s="15">
        <v>46342</v>
      </c>
      <c r="I94" s="15"/>
      <c r="J94" s="8" t="str">
        <f t="shared" si="33"/>
        <v>Pending</v>
      </c>
      <c r="K94" s="11" t="s">
        <v>42</v>
      </c>
      <c r="L94" s="13"/>
      <c r="M94" s="11"/>
      <c r="N94" s="11"/>
      <c r="O94" s="11"/>
      <c r="P94" s="11"/>
      <c r="Q94" s="6" t="str">
        <f t="shared" si="34"/>
        <v/>
      </c>
      <c r="R94" s="9" t="str">
        <f t="shared" si="35"/>
        <v/>
      </c>
      <c r="S94" s="11"/>
      <c r="T94" s="11"/>
      <c r="U94" s="11"/>
      <c r="V94" s="11"/>
      <c r="W94" s="6" t="str">
        <f t="shared" si="36"/>
        <v/>
      </c>
      <c r="X94" s="9" t="str">
        <f t="shared" si="37"/>
        <v/>
      </c>
      <c r="Y94" s="11"/>
      <c r="Z94" s="11"/>
      <c r="AA94" s="11"/>
      <c r="AB94" s="11"/>
      <c r="AC94" s="6" t="str">
        <f t="shared" si="38"/>
        <v/>
      </c>
      <c r="AD94" s="9" t="str">
        <f t="shared" si="39"/>
        <v/>
      </c>
      <c r="AE94" s="8" t="str">
        <f t="shared" si="40"/>
        <v/>
      </c>
      <c r="AF94" s="11"/>
      <c r="AG94" s="8" t="str">
        <f t="shared" si="41"/>
        <v/>
      </c>
      <c r="AH94" s="8" t="str">
        <f t="shared" si="42"/>
        <v/>
      </c>
      <c r="AI94" s="8" t="str">
        <f t="shared" si="43"/>
        <v/>
      </c>
      <c r="AJ94" s="9" t="str">
        <f t="shared" si="44"/>
        <v/>
      </c>
    </row>
    <row r="95" spans="1:36" ht="16.5" customHeight="1" x14ac:dyDescent="0.3">
      <c r="A95" s="10">
        <v>93</v>
      </c>
      <c r="B95" s="6">
        <f t="shared" si="31"/>
        <v>93</v>
      </c>
      <c r="C95" s="6" t="str">
        <f t="shared" si="32"/>
        <v/>
      </c>
      <c r="D95" s="12" t="s">
        <v>316</v>
      </c>
      <c r="E95" s="10" t="s">
        <v>40</v>
      </c>
      <c r="F95" s="10" t="s">
        <v>47</v>
      </c>
      <c r="G95" s="10" t="s">
        <v>41</v>
      </c>
      <c r="H95" s="14">
        <v>46343</v>
      </c>
      <c r="I95" s="14"/>
      <c r="J95" s="6" t="str">
        <f t="shared" si="33"/>
        <v>Pending</v>
      </c>
      <c r="K95" s="10" t="s">
        <v>42</v>
      </c>
      <c r="L95" s="12"/>
      <c r="M95" s="10"/>
      <c r="N95" s="10"/>
      <c r="O95" s="10"/>
      <c r="P95" s="10"/>
      <c r="Q95" s="6" t="str">
        <f t="shared" si="34"/>
        <v/>
      </c>
      <c r="R95" s="7" t="str">
        <f t="shared" si="35"/>
        <v/>
      </c>
      <c r="S95" s="10"/>
      <c r="T95" s="10"/>
      <c r="U95" s="10"/>
      <c r="V95" s="10"/>
      <c r="W95" s="6" t="str">
        <f t="shared" si="36"/>
        <v/>
      </c>
      <c r="X95" s="7" t="str">
        <f t="shared" si="37"/>
        <v/>
      </c>
      <c r="Y95" s="10"/>
      <c r="Z95" s="10"/>
      <c r="AA95" s="10"/>
      <c r="AB95" s="10"/>
      <c r="AC95" s="6" t="str">
        <f t="shared" si="38"/>
        <v/>
      </c>
      <c r="AD95" s="7" t="str">
        <f t="shared" si="39"/>
        <v/>
      </c>
      <c r="AE95" s="6" t="str">
        <f t="shared" si="40"/>
        <v/>
      </c>
      <c r="AF95" s="10"/>
      <c r="AG95" s="6" t="str">
        <f t="shared" si="41"/>
        <v/>
      </c>
      <c r="AH95" s="6" t="str">
        <f t="shared" si="42"/>
        <v/>
      </c>
      <c r="AI95" s="6" t="str">
        <f t="shared" si="43"/>
        <v/>
      </c>
      <c r="AJ95" s="7" t="str">
        <f t="shared" si="44"/>
        <v/>
      </c>
    </row>
    <row r="96" spans="1:36" ht="16.5" customHeight="1" x14ac:dyDescent="0.3">
      <c r="A96" s="11">
        <v>94</v>
      </c>
      <c r="B96" s="8">
        <f t="shared" si="31"/>
        <v>94</v>
      </c>
      <c r="C96" s="8" t="str">
        <f t="shared" si="32"/>
        <v/>
      </c>
      <c r="D96" s="13" t="s">
        <v>140</v>
      </c>
      <c r="E96" s="11" t="s">
        <v>36</v>
      </c>
      <c r="F96" s="11" t="s">
        <v>44</v>
      </c>
      <c r="G96" s="11" t="s">
        <v>45</v>
      </c>
      <c r="H96" s="15">
        <v>46344</v>
      </c>
      <c r="I96" s="15"/>
      <c r="J96" s="8" t="str">
        <f t="shared" si="33"/>
        <v>Pending</v>
      </c>
      <c r="K96" s="11" t="s">
        <v>42</v>
      </c>
      <c r="L96" s="13"/>
      <c r="M96" s="11"/>
      <c r="N96" s="11"/>
      <c r="O96" s="11"/>
      <c r="P96" s="11"/>
      <c r="Q96" s="6" t="str">
        <f t="shared" si="34"/>
        <v/>
      </c>
      <c r="R96" s="9" t="str">
        <f t="shared" si="35"/>
        <v/>
      </c>
      <c r="S96" s="11"/>
      <c r="T96" s="11"/>
      <c r="U96" s="11"/>
      <c r="V96" s="11"/>
      <c r="W96" s="6" t="str">
        <f t="shared" si="36"/>
        <v/>
      </c>
      <c r="X96" s="9" t="str">
        <f t="shared" si="37"/>
        <v/>
      </c>
      <c r="Y96" s="11"/>
      <c r="Z96" s="11"/>
      <c r="AA96" s="11"/>
      <c r="AB96" s="11"/>
      <c r="AC96" s="6" t="str">
        <f t="shared" si="38"/>
        <v/>
      </c>
      <c r="AD96" s="9" t="str">
        <f t="shared" si="39"/>
        <v/>
      </c>
      <c r="AE96" s="8" t="str">
        <f t="shared" si="40"/>
        <v/>
      </c>
      <c r="AF96" s="11"/>
      <c r="AG96" s="8" t="str">
        <f t="shared" si="41"/>
        <v/>
      </c>
      <c r="AH96" s="8" t="str">
        <f t="shared" si="42"/>
        <v/>
      </c>
      <c r="AI96" s="8" t="str">
        <f t="shared" si="43"/>
        <v/>
      </c>
      <c r="AJ96" s="9" t="str">
        <f t="shared" si="44"/>
        <v/>
      </c>
    </row>
    <row r="97" spans="1:36" ht="16.5" customHeight="1" x14ac:dyDescent="0.3">
      <c r="A97" s="10">
        <v>95</v>
      </c>
      <c r="B97" s="6">
        <f t="shared" si="31"/>
        <v>95</v>
      </c>
      <c r="C97" s="6" t="str">
        <f t="shared" si="32"/>
        <v/>
      </c>
      <c r="D97" s="12" t="s">
        <v>317</v>
      </c>
      <c r="E97" s="10" t="s">
        <v>40</v>
      </c>
      <c r="F97" s="10" t="s">
        <v>47</v>
      </c>
      <c r="G97" s="10" t="s">
        <v>41</v>
      </c>
      <c r="H97" s="14">
        <v>46345</v>
      </c>
      <c r="I97" s="14"/>
      <c r="J97" s="6" t="str">
        <f t="shared" si="33"/>
        <v>Pending</v>
      </c>
      <c r="K97" s="10" t="s">
        <v>42</v>
      </c>
      <c r="L97" s="12"/>
      <c r="M97" s="10"/>
      <c r="N97" s="10"/>
      <c r="O97" s="10"/>
      <c r="P97" s="10"/>
      <c r="Q97" s="6" t="str">
        <f t="shared" si="34"/>
        <v/>
      </c>
      <c r="R97" s="7" t="str">
        <f t="shared" si="35"/>
        <v/>
      </c>
      <c r="S97" s="10"/>
      <c r="T97" s="10"/>
      <c r="U97" s="10"/>
      <c r="V97" s="10"/>
      <c r="W97" s="6" t="str">
        <f t="shared" si="36"/>
        <v/>
      </c>
      <c r="X97" s="7" t="str">
        <f t="shared" si="37"/>
        <v/>
      </c>
      <c r="Y97" s="10"/>
      <c r="Z97" s="10"/>
      <c r="AA97" s="10"/>
      <c r="AB97" s="10"/>
      <c r="AC97" s="6" t="str">
        <f t="shared" si="38"/>
        <v/>
      </c>
      <c r="AD97" s="7" t="str">
        <f t="shared" si="39"/>
        <v/>
      </c>
      <c r="AE97" s="6" t="str">
        <f t="shared" si="40"/>
        <v/>
      </c>
      <c r="AF97" s="10"/>
      <c r="AG97" s="6" t="str">
        <f t="shared" si="41"/>
        <v/>
      </c>
      <c r="AH97" s="6" t="str">
        <f t="shared" si="42"/>
        <v/>
      </c>
      <c r="AI97" s="6" t="str">
        <f t="shared" si="43"/>
        <v/>
      </c>
      <c r="AJ97" s="7" t="str">
        <f t="shared" si="44"/>
        <v/>
      </c>
    </row>
    <row r="98" spans="1:36" ht="16.5" customHeight="1" x14ac:dyDescent="0.3">
      <c r="A98" s="11">
        <v>96</v>
      </c>
      <c r="B98" s="8">
        <f t="shared" si="31"/>
        <v>96</v>
      </c>
      <c r="C98" s="8" t="str">
        <f t="shared" si="32"/>
        <v/>
      </c>
      <c r="D98" s="13" t="s">
        <v>306</v>
      </c>
      <c r="E98" s="11" t="s">
        <v>43</v>
      </c>
      <c r="F98" s="11" t="s">
        <v>51</v>
      </c>
      <c r="G98" s="11" t="s">
        <v>41</v>
      </c>
      <c r="H98" s="15">
        <v>46347</v>
      </c>
      <c r="I98" s="15"/>
      <c r="J98" s="8" t="str">
        <f t="shared" si="33"/>
        <v>Pending</v>
      </c>
      <c r="K98" s="11" t="s">
        <v>42</v>
      </c>
      <c r="L98" s="13"/>
      <c r="M98" s="11"/>
      <c r="N98" s="11"/>
      <c r="O98" s="11"/>
      <c r="P98" s="11"/>
      <c r="Q98" s="6" t="str">
        <f t="shared" si="34"/>
        <v/>
      </c>
      <c r="R98" s="9" t="str">
        <f t="shared" si="35"/>
        <v/>
      </c>
      <c r="S98" s="11"/>
      <c r="T98" s="11"/>
      <c r="U98" s="11"/>
      <c r="V98" s="11"/>
      <c r="W98" s="6" t="str">
        <f t="shared" si="36"/>
        <v/>
      </c>
      <c r="X98" s="9" t="str">
        <f t="shared" si="37"/>
        <v/>
      </c>
      <c r="Y98" s="11"/>
      <c r="Z98" s="11"/>
      <c r="AA98" s="11"/>
      <c r="AB98" s="11"/>
      <c r="AC98" s="6" t="str">
        <f t="shared" si="38"/>
        <v/>
      </c>
      <c r="AD98" s="9" t="str">
        <f t="shared" si="39"/>
        <v/>
      </c>
      <c r="AE98" s="8" t="str">
        <f t="shared" si="40"/>
        <v/>
      </c>
      <c r="AF98" s="11"/>
      <c r="AG98" s="8" t="str">
        <f t="shared" si="41"/>
        <v/>
      </c>
      <c r="AH98" s="8" t="str">
        <f t="shared" si="42"/>
        <v/>
      </c>
      <c r="AI98" s="8" t="str">
        <f t="shared" si="43"/>
        <v/>
      </c>
      <c r="AJ98" s="9" t="str">
        <f t="shared" si="44"/>
        <v/>
      </c>
    </row>
    <row r="99" spans="1:36" ht="16.5" customHeight="1" x14ac:dyDescent="0.3">
      <c r="A99" s="10">
        <v>97</v>
      </c>
      <c r="B99" s="6">
        <f t="shared" ref="B99:B130" si="45">IFERROR(IF(H99&lt;&gt;"",RANK(H99,$H$3:$H$400,1),""),"")</f>
        <v>97</v>
      </c>
      <c r="C99" s="6" t="str">
        <f t="shared" ref="C99:C130" si="46">IFERROR(IF(J99="Completed",COUNTIFS(J$3:J$400,"Completed",I$3:I$400,"&lt;"&amp;I99,I$3:I$400,"&lt;&gt;"&amp;"")+COUNTIFS(J$3:J$400,"Completed",I$3:I$400,"="&amp;I99,A$3:A$400,"&lt;="&amp;A99,I$3:I$400,"&lt;&gt;"&amp;""),""),"")</f>
        <v/>
      </c>
      <c r="D99" s="12" t="s">
        <v>141</v>
      </c>
      <c r="E99" s="10" t="s">
        <v>36</v>
      </c>
      <c r="F99" s="10" t="s">
        <v>37</v>
      </c>
      <c r="G99" s="10" t="s">
        <v>38</v>
      </c>
      <c r="H99" s="14">
        <v>46348</v>
      </c>
      <c r="I99" s="14"/>
      <c r="J99" s="6" t="str">
        <f t="shared" ref="J99:J130" si="47">IF(I99&lt;&gt;"","Completed","Pending")</f>
        <v>Pending</v>
      </c>
      <c r="K99" s="10" t="s">
        <v>42</v>
      </c>
      <c r="L99" s="12"/>
      <c r="M99" s="10"/>
      <c r="N99" s="10"/>
      <c r="O99" s="10"/>
      <c r="P99" s="10"/>
      <c r="Q99" s="6" t="str">
        <f t="shared" ref="Q99:Q130" si="48">IF(COUNT(O99,P99)=2, O99-P99, "")</f>
        <v/>
      </c>
      <c r="R99" s="7" t="str">
        <f t="shared" ref="R99:R130" si="49">IFERROR(P99/O99,"")</f>
        <v/>
      </c>
      <c r="S99" s="10"/>
      <c r="T99" s="10"/>
      <c r="U99" s="10"/>
      <c r="V99" s="10"/>
      <c r="W99" s="6" t="str">
        <f t="shared" ref="W99:W130" si="50">IF(COUNT(U99,V99)=2, U99-V99, "")</f>
        <v/>
      </c>
      <c r="X99" s="7" t="str">
        <f t="shared" ref="X99:X130" si="51">IFERROR(V99/U99,"")</f>
        <v/>
      </c>
      <c r="Y99" s="10"/>
      <c r="Z99" s="10"/>
      <c r="AA99" s="10"/>
      <c r="AB99" s="10"/>
      <c r="AC99" s="6" t="str">
        <f t="shared" ref="AC99:AC130" si="52">IF(COUNT(AA99,AB99)=2, AA99-AB99, "")</f>
        <v/>
      </c>
      <c r="AD99" s="7" t="str">
        <f t="shared" ref="AD99:AD130" si="53">IFERROR(AB99/AA99,"")</f>
        <v/>
      </c>
      <c r="AE99" s="6" t="str">
        <f t="shared" ref="AE99:AE130" si="54">IF(AND(M99="",S99="",Y99=""),"",IFERROR(M99+S99+Y99,""))</f>
        <v/>
      </c>
      <c r="AF99" s="10"/>
      <c r="AG99" s="6" t="str">
        <f t="shared" ref="AG99:AG130" si="55">IF(AND(O99="",U99="",AA99=""),"",IFERROR(O99+U99+AA99,""))</f>
        <v/>
      </c>
      <c r="AH99" s="6" t="str">
        <f t="shared" ref="AH99:AH130" si="56">IF(AND(P99="",V99="",AB99=""),"",IFERROR(P99+V99+AB99,""))</f>
        <v/>
      </c>
      <c r="AI99" s="6" t="str">
        <f t="shared" ref="AI99:AI130" si="57">IF(AND(Q99="",W99="",AC99=""),"",IFERROR(Q99+W99+AC99,""))</f>
        <v/>
      </c>
      <c r="AJ99" s="7" t="str">
        <f t="shared" ref="AJ99:AJ130" si="58">IFERROR(AH99/AG99,"")</f>
        <v/>
      </c>
    </row>
    <row r="100" spans="1:36" ht="16.5" customHeight="1" x14ac:dyDescent="0.3">
      <c r="A100" s="11">
        <v>98</v>
      </c>
      <c r="B100" s="8">
        <f t="shared" si="45"/>
        <v>98</v>
      </c>
      <c r="C100" s="8" t="str">
        <f t="shared" si="46"/>
        <v/>
      </c>
      <c r="D100" s="13" t="s">
        <v>318</v>
      </c>
      <c r="E100" s="11" t="s">
        <v>40</v>
      </c>
      <c r="F100" s="11" t="s">
        <v>47</v>
      </c>
      <c r="G100" s="11" t="s">
        <v>41</v>
      </c>
      <c r="H100" s="15">
        <v>46349</v>
      </c>
      <c r="I100" s="15"/>
      <c r="J100" s="8" t="str">
        <f t="shared" si="47"/>
        <v>Pending</v>
      </c>
      <c r="K100" s="11" t="s">
        <v>42</v>
      </c>
      <c r="L100" s="13"/>
      <c r="M100" s="11"/>
      <c r="N100" s="11"/>
      <c r="O100" s="11"/>
      <c r="P100" s="11"/>
      <c r="Q100" s="6" t="str">
        <f t="shared" si="48"/>
        <v/>
      </c>
      <c r="R100" s="9" t="str">
        <f t="shared" si="49"/>
        <v/>
      </c>
      <c r="S100" s="11"/>
      <c r="T100" s="11"/>
      <c r="U100" s="11"/>
      <c r="V100" s="11"/>
      <c r="W100" s="6" t="str">
        <f t="shared" si="50"/>
        <v/>
      </c>
      <c r="X100" s="9" t="str">
        <f t="shared" si="51"/>
        <v/>
      </c>
      <c r="Y100" s="11"/>
      <c r="Z100" s="11"/>
      <c r="AA100" s="11"/>
      <c r="AB100" s="11"/>
      <c r="AC100" s="6" t="str">
        <f t="shared" si="52"/>
        <v/>
      </c>
      <c r="AD100" s="9" t="str">
        <f t="shared" si="53"/>
        <v/>
      </c>
      <c r="AE100" s="8" t="str">
        <f t="shared" si="54"/>
        <v/>
      </c>
      <c r="AF100" s="11"/>
      <c r="AG100" s="8" t="str">
        <f t="shared" si="55"/>
        <v/>
      </c>
      <c r="AH100" s="8" t="str">
        <f t="shared" si="56"/>
        <v/>
      </c>
      <c r="AI100" s="8" t="str">
        <f t="shared" si="57"/>
        <v/>
      </c>
      <c r="AJ100" s="9" t="str">
        <f t="shared" si="58"/>
        <v/>
      </c>
    </row>
    <row r="101" spans="1:36" ht="16.5" customHeight="1" x14ac:dyDescent="0.3">
      <c r="A101" s="10">
        <v>99</v>
      </c>
      <c r="B101" s="6">
        <f t="shared" si="45"/>
        <v>99</v>
      </c>
      <c r="C101" s="6" t="str">
        <f t="shared" si="46"/>
        <v/>
      </c>
      <c r="D101" s="12" t="s">
        <v>319</v>
      </c>
      <c r="E101" s="10" t="s">
        <v>40</v>
      </c>
      <c r="F101" s="10" t="s">
        <v>47</v>
      </c>
      <c r="G101" s="10" t="s">
        <v>41</v>
      </c>
      <c r="H101" s="14">
        <v>46351</v>
      </c>
      <c r="I101" s="14"/>
      <c r="J101" s="6" t="str">
        <f t="shared" si="47"/>
        <v>Pending</v>
      </c>
      <c r="K101" s="10" t="s">
        <v>42</v>
      </c>
      <c r="L101" s="12"/>
      <c r="M101" s="10"/>
      <c r="N101" s="10"/>
      <c r="O101" s="10"/>
      <c r="P101" s="10"/>
      <c r="Q101" s="6" t="str">
        <f t="shared" si="48"/>
        <v/>
      </c>
      <c r="R101" s="7" t="str">
        <f t="shared" si="49"/>
        <v/>
      </c>
      <c r="S101" s="10"/>
      <c r="T101" s="10"/>
      <c r="U101" s="10"/>
      <c r="V101" s="10"/>
      <c r="W101" s="6" t="str">
        <f t="shared" si="50"/>
        <v/>
      </c>
      <c r="X101" s="7" t="str">
        <f t="shared" si="51"/>
        <v/>
      </c>
      <c r="Y101" s="10"/>
      <c r="Z101" s="10"/>
      <c r="AA101" s="10"/>
      <c r="AB101" s="10"/>
      <c r="AC101" s="6" t="str">
        <f t="shared" si="52"/>
        <v/>
      </c>
      <c r="AD101" s="7" t="str">
        <f t="shared" si="53"/>
        <v/>
      </c>
      <c r="AE101" s="6" t="str">
        <f t="shared" si="54"/>
        <v/>
      </c>
      <c r="AF101" s="10"/>
      <c r="AG101" s="6" t="str">
        <f t="shared" si="55"/>
        <v/>
      </c>
      <c r="AH101" s="6" t="str">
        <f t="shared" si="56"/>
        <v/>
      </c>
      <c r="AI101" s="6" t="str">
        <f t="shared" si="57"/>
        <v/>
      </c>
      <c r="AJ101" s="7" t="str">
        <f t="shared" si="58"/>
        <v/>
      </c>
    </row>
    <row r="102" spans="1:36" ht="16.5" customHeight="1" x14ac:dyDescent="0.3">
      <c r="A102" s="11">
        <v>100</v>
      </c>
      <c r="B102" s="8">
        <f t="shared" si="45"/>
        <v>100</v>
      </c>
      <c r="C102" s="8" t="str">
        <f t="shared" si="46"/>
        <v/>
      </c>
      <c r="D102" s="13" t="s">
        <v>232</v>
      </c>
      <c r="E102" s="11" t="s">
        <v>36</v>
      </c>
      <c r="F102" s="11" t="s">
        <v>44</v>
      </c>
      <c r="G102" s="11" t="s">
        <v>45</v>
      </c>
      <c r="H102" s="15">
        <v>46353</v>
      </c>
      <c r="I102" s="15"/>
      <c r="J102" s="8" t="str">
        <f t="shared" si="47"/>
        <v>Pending</v>
      </c>
      <c r="K102" s="11" t="s">
        <v>42</v>
      </c>
      <c r="L102" s="13"/>
      <c r="M102" s="11"/>
      <c r="N102" s="11"/>
      <c r="O102" s="11"/>
      <c r="P102" s="11"/>
      <c r="Q102" s="6" t="str">
        <f t="shared" si="48"/>
        <v/>
      </c>
      <c r="R102" s="9" t="str">
        <f t="shared" si="49"/>
        <v/>
      </c>
      <c r="S102" s="11"/>
      <c r="T102" s="11"/>
      <c r="U102" s="11"/>
      <c r="V102" s="11"/>
      <c r="W102" s="6" t="str">
        <f t="shared" si="50"/>
        <v/>
      </c>
      <c r="X102" s="9" t="str">
        <f t="shared" si="51"/>
        <v/>
      </c>
      <c r="Y102" s="11"/>
      <c r="Z102" s="11"/>
      <c r="AA102" s="11"/>
      <c r="AB102" s="11"/>
      <c r="AC102" s="6" t="str">
        <f t="shared" si="52"/>
        <v/>
      </c>
      <c r="AD102" s="9" t="str">
        <f t="shared" si="53"/>
        <v/>
      </c>
      <c r="AE102" s="8" t="str">
        <f t="shared" si="54"/>
        <v/>
      </c>
      <c r="AF102" s="11"/>
      <c r="AG102" s="8" t="str">
        <f t="shared" si="55"/>
        <v/>
      </c>
      <c r="AH102" s="8" t="str">
        <f t="shared" si="56"/>
        <v/>
      </c>
      <c r="AI102" s="8" t="str">
        <f t="shared" si="57"/>
        <v/>
      </c>
      <c r="AJ102" s="9" t="str">
        <f t="shared" si="58"/>
        <v/>
      </c>
    </row>
    <row r="103" spans="1:36" ht="16.5" customHeight="1" x14ac:dyDescent="0.3">
      <c r="A103" s="10">
        <v>101</v>
      </c>
      <c r="B103" s="6" t="str">
        <f t="shared" si="45"/>
        <v/>
      </c>
      <c r="C103" s="6" t="str">
        <f t="shared" si="46"/>
        <v/>
      </c>
      <c r="D103" s="12"/>
      <c r="E103" s="10"/>
      <c r="F103" s="10"/>
      <c r="G103" s="10"/>
      <c r="H103" s="14"/>
      <c r="I103" s="14"/>
      <c r="J103" s="6" t="str">
        <f t="shared" si="47"/>
        <v>Pending</v>
      </c>
      <c r="K103" s="10" t="s">
        <v>42</v>
      </c>
      <c r="L103" s="12"/>
      <c r="M103" s="10"/>
      <c r="N103" s="10"/>
      <c r="O103" s="10"/>
      <c r="P103" s="10"/>
      <c r="Q103" s="6" t="str">
        <f t="shared" si="48"/>
        <v/>
      </c>
      <c r="R103" s="7" t="str">
        <f t="shared" si="49"/>
        <v/>
      </c>
      <c r="S103" s="10"/>
      <c r="T103" s="10"/>
      <c r="U103" s="10"/>
      <c r="V103" s="10"/>
      <c r="W103" s="6" t="str">
        <f t="shared" si="50"/>
        <v/>
      </c>
      <c r="X103" s="7" t="str">
        <f t="shared" si="51"/>
        <v/>
      </c>
      <c r="Y103" s="10"/>
      <c r="Z103" s="10"/>
      <c r="AA103" s="10"/>
      <c r="AB103" s="10"/>
      <c r="AC103" s="6" t="str">
        <f t="shared" si="52"/>
        <v/>
      </c>
      <c r="AD103" s="7" t="str">
        <f t="shared" si="53"/>
        <v/>
      </c>
      <c r="AE103" s="6" t="str">
        <f t="shared" si="54"/>
        <v/>
      </c>
      <c r="AF103" s="10"/>
      <c r="AG103" s="6" t="str">
        <f t="shared" si="55"/>
        <v/>
      </c>
      <c r="AH103" s="6" t="str">
        <f t="shared" si="56"/>
        <v/>
      </c>
      <c r="AI103" s="6" t="str">
        <f t="shared" si="57"/>
        <v/>
      </c>
      <c r="AJ103" s="7" t="str">
        <f t="shared" si="58"/>
        <v/>
      </c>
    </row>
    <row r="104" spans="1:36" ht="16.5" customHeight="1" x14ac:dyDescent="0.3">
      <c r="A104" s="11">
        <v>102</v>
      </c>
      <c r="B104" s="8" t="str">
        <f t="shared" si="45"/>
        <v/>
      </c>
      <c r="C104" s="8" t="str">
        <f t="shared" si="46"/>
        <v/>
      </c>
      <c r="D104" s="13"/>
      <c r="E104" s="11"/>
      <c r="F104" s="11"/>
      <c r="G104" s="11"/>
      <c r="H104" s="15"/>
      <c r="I104" s="15"/>
      <c r="J104" s="8" t="str">
        <f t="shared" si="47"/>
        <v>Pending</v>
      </c>
      <c r="K104" s="11" t="s">
        <v>42</v>
      </c>
      <c r="L104" s="13"/>
      <c r="M104" s="11"/>
      <c r="N104" s="11"/>
      <c r="O104" s="11"/>
      <c r="P104" s="11"/>
      <c r="Q104" s="6" t="str">
        <f t="shared" si="48"/>
        <v/>
      </c>
      <c r="R104" s="9" t="str">
        <f t="shared" si="49"/>
        <v/>
      </c>
      <c r="S104" s="11"/>
      <c r="T104" s="11"/>
      <c r="U104" s="11"/>
      <c r="V104" s="11"/>
      <c r="W104" s="6" t="str">
        <f t="shared" si="50"/>
        <v/>
      </c>
      <c r="X104" s="9" t="str">
        <f t="shared" si="51"/>
        <v/>
      </c>
      <c r="Y104" s="11"/>
      <c r="Z104" s="11"/>
      <c r="AA104" s="11"/>
      <c r="AB104" s="11"/>
      <c r="AC104" s="6" t="str">
        <f t="shared" si="52"/>
        <v/>
      </c>
      <c r="AD104" s="9" t="str">
        <f t="shared" si="53"/>
        <v/>
      </c>
      <c r="AE104" s="8" t="str">
        <f t="shared" si="54"/>
        <v/>
      </c>
      <c r="AF104" s="11"/>
      <c r="AG104" s="8" t="str">
        <f t="shared" si="55"/>
        <v/>
      </c>
      <c r="AH104" s="8" t="str">
        <f t="shared" si="56"/>
        <v/>
      </c>
      <c r="AI104" s="8" t="str">
        <f t="shared" si="57"/>
        <v/>
      </c>
      <c r="AJ104" s="9" t="str">
        <f t="shared" si="58"/>
        <v/>
      </c>
    </row>
    <row r="105" spans="1:36" ht="16.5" customHeight="1" x14ac:dyDescent="0.3">
      <c r="A105" s="10">
        <v>103</v>
      </c>
      <c r="B105" s="6" t="str">
        <f t="shared" si="45"/>
        <v/>
      </c>
      <c r="C105" s="6" t="str">
        <f t="shared" si="46"/>
        <v/>
      </c>
      <c r="D105" s="12"/>
      <c r="E105" s="10"/>
      <c r="F105" s="10"/>
      <c r="G105" s="10"/>
      <c r="H105" s="14"/>
      <c r="I105" s="14"/>
      <c r="J105" s="6" t="str">
        <f t="shared" si="47"/>
        <v>Pending</v>
      </c>
      <c r="K105" s="10" t="s">
        <v>42</v>
      </c>
      <c r="L105" s="12"/>
      <c r="M105" s="10"/>
      <c r="N105" s="10"/>
      <c r="O105" s="10"/>
      <c r="P105" s="10"/>
      <c r="Q105" s="6" t="str">
        <f t="shared" si="48"/>
        <v/>
      </c>
      <c r="R105" s="7" t="str">
        <f t="shared" si="49"/>
        <v/>
      </c>
      <c r="S105" s="10"/>
      <c r="T105" s="10"/>
      <c r="U105" s="10"/>
      <c r="V105" s="10"/>
      <c r="W105" s="6" t="str">
        <f t="shared" si="50"/>
        <v/>
      </c>
      <c r="X105" s="7" t="str">
        <f t="shared" si="51"/>
        <v/>
      </c>
      <c r="Y105" s="10"/>
      <c r="Z105" s="10"/>
      <c r="AA105" s="10"/>
      <c r="AB105" s="10"/>
      <c r="AC105" s="6" t="str">
        <f t="shared" si="52"/>
        <v/>
      </c>
      <c r="AD105" s="7" t="str">
        <f t="shared" si="53"/>
        <v/>
      </c>
      <c r="AE105" s="6" t="str">
        <f t="shared" si="54"/>
        <v/>
      </c>
      <c r="AF105" s="10"/>
      <c r="AG105" s="6" t="str">
        <f t="shared" si="55"/>
        <v/>
      </c>
      <c r="AH105" s="6" t="str">
        <f t="shared" si="56"/>
        <v/>
      </c>
      <c r="AI105" s="6" t="str">
        <f t="shared" si="57"/>
        <v/>
      </c>
      <c r="AJ105" s="7" t="str">
        <f t="shared" si="58"/>
        <v/>
      </c>
    </row>
    <row r="106" spans="1:36" ht="16.5" customHeight="1" x14ac:dyDescent="0.3">
      <c r="A106" s="11">
        <v>104</v>
      </c>
      <c r="B106" s="8" t="str">
        <f t="shared" si="45"/>
        <v/>
      </c>
      <c r="C106" s="8" t="str">
        <f t="shared" si="46"/>
        <v/>
      </c>
      <c r="D106" s="13"/>
      <c r="E106" s="11"/>
      <c r="F106" s="11"/>
      <c r="G106" s="11"/>
      <c r="H106" s="15"/>
      <c r="I106" s="15"/>
      <c r="J106" s="8" t="str">
        <f t="shared" si="47"/>
        <v>Pending</v>
      </c>
      <c r="K106" s="11" t="s">
        <v>42</v>
      </c>
      <c r="L106" s="13"/>
      <c r="M106" s="11"/>
      <c r="N106" s="11"/>
      <c r="O106" s="11"/>
      <c r="P106" s="11"/>
      <c r="Q106" s="6" t="str">
        <f t="shared" si="48"/>
        <v/>
      </c>
      <c r="R106" s="9" t="str">
        <f t="shared" si="49"/>
        <v/>
      </c>
      <c r="S106" s="11"/>
      <c r="T106" s="11"/>
      <c r="U106" s="11"/>
      <c r="V106" s="11"/>
      <c r="W106" s="6" t="str">
        <f t="shared" si="50"/>
        <v/>
      </c>
      <c r="X106" s="9" t="str">
        <f t="shared" si="51"/>
        <v/>
      </c>
      <c r="Y106" s="11"/>
      <c r="Z106" s="11"/>
      <c r="AA106" s="11"/>
      <c r="AB106" s="11"/>
      <c r="AC106" s="6" t="str">
        <f t="shared" si="52"/>
        <v/>
      </c>
      <c r="AD106" s="9" t="str">
        <f t="shared" si="53"/>
        <v/>
      </c>
      <c r="AE106" s="8" t="str">
        <f t="shared" si="54"/>
        <v/>
      </c>
      <c r="AF106" s="11"/>
      <c r="AG106" s="8" t="str">
        <f t="shared" si="55"/>
        <v/>
      </c>
      <c r="AH106" s="8" t="str">
        <f t="shared" si="56"/>
        <v/>
      </c>
      <c r="AI106" s="8" t="str">
        <f t="shared" si="57"/>
        <v/>
      </c>
      <c r="AJ106" s="9" t="str">
        <f t="shared" si="58"/>
        <v/>
      </c>
    </row>
    <row r="107" spans="1:36" ht="16.5" customHeight="1" x14ac:dyDescent="0.3">
      <c r="A107" s="10">
        <v>105</v>
      </c>
      <c r="B107" s="6" t="str">
        <f t="shared" si="45"/>
        <v/>
      </c>
      <c r="C107" s="6" t="str">
        <f t="shared" si="46"/>
        <v/>
      </c>
      <c r="D107" s="12"/>
      <c r="E107" s="10"/>
      <c r="F107" s="10"/>
      <c r="G107" s="10"/>
      <c r="H107" s="14"/>
      <c r="I107" s="14"/>
      <c r="J107" s="6" t="str">
        <f t="shared" si="47"/>
        <v>Pending</v>
      </c>
      <c r="K107" s="10" t="s">
        <v>42</v>
      </c>
      <c r="L107" s="12"/>
      <c r="M107" s="10"/>
      <c r="N107" s="10"/>
      <c r="O107" s="10"/>
      <c r="P107" s="10"/>
      <c r="Q107" s="6" t="str">
        <f t="shared" si="48"/>
        <v/>
      </c>
      <c r="R107" s="7" t="str">
        <f t="shared" si="49"/>
        <v/>
      </c>
      <c r="S107" s="10"/>
      <c r="T107" s="10"/>
      <c r="U107" s="10"/>
      <c r="V107" s="10"/>
      <c r="W107" s="6" t="str">
        <f t="shared" si="50"/>
        <v/>
      </c>
      <c r="X107" s="7" t="str">
        <f t="shared" si="51"/>
        <v/>
      </c>
      <c r="Y107" s="10"/>
      <c r="Z107" s="10"/>
      <c r="AA107" s="10"/>
      <c r="AB107" s="10"/>
      <c r="AC107" s="6" t="str">
        <f t="shared" si="52"/>
        <v/>
      </c>
      <c r="AD107" s="7" t="str">
        <f t="shared" si="53"/>
        <v/>
      </c>
      <c r="AE107" s="6" t="str">
        <f t="shared" si="54"/>
        <v/>
      </c>
      <c r="AF107" s="10"/>
      <c r="AG107" s="6" t="str">
        <f t="shared" si="55"/>
        <v/>
      </c>
      <c r="AH107" s="6" t="str">
        <f t="shared" si="56"/>
        <v/>
      </c>
      <c r="AI107" s="6" t="str">
        <f t="shared" si="57"/>
        <v/>
      </c>
      <c r="AJ107" s="7" t="str">
        <f t="shared" si="58"/>
        <v/>
      </c>
    </row>
    <row r="108" spans="1:36" ht="16.5" customHeight="1" x14ac:dyDescent="0.3">
      <c r="A108" s="11">
        <v>106</v>
      </c>
      <c r="B108" s="8" t="str">
        <f t="shared" si="45"/>
        <v/>
      </c>
      <c r="C108" s="8" t="str">
        <f t="shared" si="46"/>
        <v/>
      </c>
      <c r="D108" s="13"/>
      <c r="E108" s="11"/>
      <c r="F108" s="11"/>
      <c r="G108" s="11"/>
      <c r="H108" s="15"/>
      <c r="I108" s="15"/>
      <c r="J108" s="8" t="str">
        <f t="shared" si="47"/>
        <v>Pending</v>
      </c>
      <c r="K108" s="11" t="s">
        <v>42</v>
      </c>
      <c r="L108" s="13"/>
      <c r="M108" s="11"/>
      <c r="N108" s="11"/>
      <c r="O108" s="11"/>
      <c r="P108" s="11"/>
      <c r="Q108" s="6" t="str">
        <f t="shared" si="48"/>
        <v/>
      </c>
      <c r="R108" s="9" t="str">
        <f t="shared" si="49"/>
        <v/>
      </c>
      <c r="S108" s="11"/>
      <c r="T108" s="11"/>
      <c r="U108" s="11"/>
      <c r="V108" s="11"/>
      <c r="W108" s="6" t="str">
        <f t="shared" si="50"/>
        <v/>
      </c>
      <c r="X108" s="9" t="str">
        <f t="shared" si="51"/>
        <v/>
      </c>
      <c r="Y108" s="11"/>
      <c r="Z108" s="11"/>
      <c r="AA108" s="11"/>
      <c r="AB108" s="11"/>
      <c r="AC108" s="6" t="str">
        <f t="shared" si="52"/>
        <v/>
      </c>
      <c r="AD108" s="9" t="str">
        <f t="shared" si="53"/>
        <v/>
      </c>
      <c r="AE108" s="8" t="str">
        <f t="shared" si="54"/>
        <v/>
      </c>
      <c r="AF108" s="11"/>
      <c r="AG108" s="8" t="str">
        <f t="shared" si="55"/>
        <v/>
      </c>
      <c r="AH108" s="8" t="str">
        <f t="shared" si="56"/>
        <v/>
      </c>
      <c r="AI108" s="8" t="str">
        <f t="shared" si="57"/>
        <v/>
      </c>
      <c r="AJ108" s="9" t="str">
        <f t="shared" si="58"/>
        <v/>
      </c>
    </row>
    <row r="109" spans="1:36" ht="16.5" customHeight="1" x14ac:dyDescent="0.3">
      <c r="A109" s="10">
        <v>107</v>
      </c>
      <c r="B109" s="6" t="str">
        <f t="shared" si="45"/>
        <v/>
      </c>
      <c r="C109" s="6" t="str">
        <f t="shared" si="46"/>
        <v/>
      </c>
      <c r="D109" s="12"/>
      <c r="E109" s="10"/>
      <c r="F109" s="10"/>
      <c r="G109" s="10"/>
      <c r="H109" s="14"/>
      <c r="I109" s="14"/>
      <c r="J109" s="6" t="str">
        <f t="shared" si="47"/>
        <v>Pending</v>
      </c>
      <c r="K109" s="10" t="s">
        <v>42</v>
      </c>
      <c r="L109" s="12"/>
      <c r="M109" s="10"/>
      <c r="N109" s="10"/>
      <c r="O109" s="10"/>
      <c r="P109" s="10"/>
      <c r="Q109" s="6" t="str">
        <f t="shared" si="48"/>
        <v/>
      </c>
      <c r="R109" s="7" t="str">
        <f t="shared" si="49"/>
        <v/>
      </c>
      <c r="S109" s="10"/>
      <c r="T109" s="10"/>
      <c r="U109" s="10"/>
      <c r="V109" s="10"/>
      <c r="W109" s="6" t="str">
        <f t="shared" si="50"/>
        <v/>
      </c>
      <c r="X109" s="7" t="str">
        <f t="shared" si="51"/>
        <v/>
      </c>
      <c r="Y109" s="10"/>
      <c r="Z109" s="10"/>
      <c r="AA109" s="10"/>
      <c r="AB109" s="10"/>
      <c r="AC109" s="6" t="str">
        <f t="shared" si="52"/>
        <v/>
      </c>
      <c r="AD109" s="7" t="str">
        <f t="shared" si="53"/>
        <v/>
      </c>
      <c r="AE109" s="6" t="str">
        <f t="shared" si="54"/>
        <v/>
      </c>
      <c r="AF109" s="10"/>
      <c r="AG109" s="6" t="str">
        <f t="shared" si="55"/>
        <v/>
      </c>
      <c r="AH109" s="6" t="str">
        <f t="shared" si="56"/>
        <v/>
      </c>
      <c r="AI109" s="6" t="str">
        <f t="shared" si="57"/>
        <v/>
      </c>
      <c r="AJ109" s="7" t="str">
        <f t="shared" si="58"/>
        <v/>
      </c>
    </row>
    <row r="110" spans="1:36" ht="16.5" customHeight="1" x14ac:dyDescent="0.3">
      <c r="A110" s="11">
        <v>108</v>
      </c>
      <c r="B110" s="8" t="str">
        <f t="shared" si="45"/>
        <v/>
      </c>
      <c r="C110" s="8" t="str">
        <f t="shared" si="46"/>
        <v/>
      </c>
      <c r="D110" s="13"/>
      <c r="E110" s="11"/>
      <c r="F110" s="11"/>
      <c r="G110" s="11"/>
      <c r="H110" s="15"/>
      <c r="I110" s="15"/>
      <c r="J110" s="8" t="str">
        <f t="shared" si="47"/>
        <v>Pending</v>
      </c>
      <c r="K110" s="11" t="s">
        <v>42</v>
      </c>
      <c r="L110" s="13"/>
      <c r="M110" s="11"/>
      <c r="N110" s="11"/>
      <c r="O110" s="11"/>
      <c r="P110" s="11"/>
      <c r="Q110" s="6" t="str">
        <f t="shared" si="48"/>
        <v/>
      </c>
      <c r="R110" s="9" t="str">
        <f t="shared" si="49"/>
        <v/>
      </c>
      <c r="S110" s="11"/>
      <c r="T110" s="11"/>
      <c r="U110" s="11"/>
      <c r="V110" s="11"/>
      <c r="W110" s="6" t="str">
        <f t="shared" si="50"/>
        <v/>
      </c>
      <c r="X110" s="9" t="str">
        <f t="shared" si="51"/>
        <v/>
      </c>
      <c r="Y110" s="11"/>
      <c r="Z110" s="11"/>
      <c r="AA110" s="11"/>
      <c r="AB110" s="11"/>
      <c r="AC110" s="6" t="str">
        <f t="shared" si="52"/>
        <v/>
      </c>
      <c r="AD110" s="9" t="str">
        <f t="shared" si="53"/>
        <v/>
      </c>
      <c r="AE110" s="8" t="str">
        <f t="shared" si="54"/>
        <v/>
      </c>
      <c r="AF110" s="11"/>
      <c r="AG110" s="8" t="str">
        <f t="shared" si="55"/>
        <v/>
      </c>
      <c r="AH110" s="8" t="str">
        <f t="shared" si="56"/>
        <v/>
      </c>
      <c r="AI110" s="8" t="str">
        <f t="shared" si="57"/>
        <v/>
      </c>
      <c r="AJ110" s="9" t="str">
        <f t="shared" si="58"/>
        <v/>
      </c>
    </row>
    <row r="111" spans="1:36" ht="16.5" customHeight="1" x14ac:dyDescent="0.3">
      <c r="A111" s="10">
        <v>109</v>
      </c>
      <c r="B111" s="6" t="str">
        <f t="shared" si="45"/>
        <v/>
      </c>
      <c r="C111" s="6" t="str">
        <f t="shared" si="46"/>
        <v/>
      </c>
      <c r="D111" s="12"/>
      <c r="E111" s="10"/>
      <c r="F111" s="10"/>
      <c r="G111" s="10"/>
      <c r="H111" s="14"/>
      <c r="I111" s="14"/>
      <c r="J111" s="6" t="str">
        <f t="shared" si="47"/>
        <v>Pending</v>
      </c>
      <c r="K111" s="10" t="s">
        <v>42</v>
      </c>
      <c r="L111" s="12"/>
      <c r="M111" s="10"/>
      <c r="N111" s="10"/>
      <c r="O111" s="10"/>
      <c r="P111" s="10"/>
      <c r="Q111" s="6" t="str">
        <f t="shared" si="48"/>
        <v/>
      </c>
      <c r="R111" s="7" t="str">
        <f t="shared" si="49"/>
        <v/>
      </c>
      <c r="S111" s="10"/>
      <c r="T111" s="10"/>
      <c r="U111" s="10"/>
      <c r="V111" s="10"/>
      <c r="W111" s="6" t="str">
        <f t="shared" si="50"/>
        <v/>
      </c>
      <c r="X111" s="7" t="str">
        <f t="shared" si="51"/>
        <v/>
      </c>
      <c r="Y111" s="10"/>
      <c r="Z111" s="10"/>
      <c r="AA111" s="10"/>
      <c r="AB111" s="10"/>
      <c r="AC111" s="6" t="str">
        <f t="shared" si="52"/>
        <v/>
      </c>
      <c r="AD111" s="7" t="str">
        <f t="shared" si="53"/>
        <v/>
      </c>
      <c r="AE111" s="6" t="str">
        <f t="shared" si="54"/>
        <v/>
      </c>
      <c r="AF111" s="10"/>
      <c r="AG111" s="6" t="str">
        <f t="shared" si="55"/>
        <v/>
      </c>
      <c r="AH111" s="6" t="str">
        <f t="shared" si="56"/>
        <v/>
      </c>
      <c r="AI111" s="6" t="str">
        <f t="shared" si="57"/>
        <v/>
      </c>
      <c r="AJ111" s="7" t="str">
        <f t="shared" si="58"/>
        <v/>
      </c>
    </row>
    <row r="112" spans="1:36" ht="16.5" customHeight="1" x14ac:dyDescent="0.3">
      <c r="A112" s="11">
        <v>110</v>
      </c>
      <c r="B112" s="8" t="str">
        <f t="shared" si="45"/>
        <v/>
      </c>
      <c r="C112" s="8" t="str">
        <f t="shared" si="46"/>
        <v/>
      </c>
      <c r="D112" s="13"/>
      <c r="E112" s="11"/>
      <c r="F112" s="11"/>
      <c r="G112" s="11"/>
      <c r="H112" s="15"/>
      <c r="I112" s="15"/>
      <c r="J112" s="8" t="str">
        <f t="shared" si="47"/>
        <v>Pending</v>
      </c>
      <c r="K112" s="11" t="s">
        <v>42</v>
      </c>
      <c r="L112" s="13"/>
      <c r="M112" s="11"/>
      <c r="N112" s="11"/>
      <c r="O112" s="11"/>
      <c r="P112" s="11"/>
      <c r="Q112" s="6" t="str">
        <f t="shared" si="48"/>
        <v/>
      </c>
      <c r="R112" s="9" t="str">
        <f t="shared" si="49"/>
        <v/>
      </c>
      <c r="S112" s="11"/>
      <c r="T112" s="11"/>
      <c r="U112" s="11"/>
      <c r="V112" s="11"/>
      <c r="W112" s="6" t="str">
        <f t="shared" si="50"/>
        <v/>
      </c>
      <c r="X112" s="9" t="str">
        <f t="shared" si="51"/>
        <v/>
      </c>
      <c r="Y112" s="11"/>
      <c r="Z112" s="11"/>
      <c r="AA112" s="11"/>
      <c r="AB112" s="11"/>
      <c r="AC112" s="6" t="str">
        <f t="shared" si="52"/>
        <v/>
      </c>
      <c r="AD112" s="9" t="str">
        <f t="shared" si="53"/>
        <v/>
      </c>
      <c r="AE112" s="8" t="str">
        <f t="shared" si="54"/>
        <v/>
      </c>
      <c r="AF112" s="11"/>
      <c r="AG112" s="8" t="str">
        <f t="shared" si="55"/>
        <v/>
      </c>
      <c r="AH112" s="8" t="str">
        <f t="shared" si="56"/>
        <v/>
      </c>
      <c r="AI112" s="8" t="str">
        <f t="shared" si="57"/>
        <v/>
      </c>
      <c r="AJ112" s="9" t="str">
        <f t="shared" si="58"/>
        <v/>
      </c>
    </row>
    <row r="113" spans="1:36" ht="16.5" customHeight="1" x14ac:dyDescent="0.3">
      <c r="A113" s="10">
        <v>111</v>
      </c>
      <c r="B113" s="6" t="str">
        <f t="shared" si="45"/>
        <v/>
      </c>
      <c r="C113" s="6" t="str">
        <f t="shared" si="46"/>
        <v/>
      </c>
      <c r="D113" s="12"/>
      <c r="E113" s="10"/>
      <c r="F113" s="10"/>
      <c r="G113" s="10"/>
      <c r="H113" s="14"/>
      <c r="I113" s="14"/>
      <c r="J113" s="6" t="str">
        <f t="shared" si="47"/>
        <v>Pending</v>
      </c>
      <c r="K113" s="10" t="s">
        <v>42</v>
      </c>
      <c r="L113" s="12"/>
      <c r="M113" s="10"/>
      <c r="N113" s="10"/>
      <c r="O113" s="10"/>
      <c r="P113" s="10"/>
      <c r="Q113" s="6" t="str">
        <f t="shared" si="48"/>
        <v/>
      </c>
      <c r="R113" s="7" t="str">
        <f t="shared" si="49"/>
        <v/>
      </c>
      <c r="S113" s="10"/>
      <c r="T113" s="10"/>
      <c r="U113" s="10"/>
      <c r="V113" s="10"/>
      <c r="W113" s="6" t="str">
        <f t="shared" si="50"/>
        <v/>
      </c>
      <c r="X113" s="7" t="str">
        <f t="shared" si="51"/>
        <v/>
      </c>
      <c r="Y113" s="10"/>
      <c r="Z113" s="10"/>
      <c r="AA113" s="10"/>
      <c r="AB113" s="10"/>
      <c r="AC113" s="6" t="str">
        <f t="shared" si="52"/>
        <v/>
      </c>
      <c r="AD113" s="7" t="str">
        <f t="shared" si="53"/>
        <v/>
      </c>
      <c r="AE113" s="6" t="str">
        <f t="shared" si="54"/>
        <v/>
      </c>
      <c r="AF113" s="10"/>
      <c r="AG113" s="6" t="str">
        <f t="shared" si="55"/>
        <v/>
      </c>
      <c r="AH113" s="6" t="str">
        <f t="shared" si="56"/>
        <v/>
      </c>
      <c r="AI113" s="6" t="str">
        <f t="shared" si="57"/>
        <v/>
      </c>
      <c r="AJ113" s="7" t="str">
        <f t="shared" si="58"/>
        <v/>
      </c>
    </row>
    <row r="114" spans="1:36" ht="16.5" customHeight="1" x14ac:dyDescent="0.3">
      <c r="A114" s="11">
        <v>112</v>
      </c>
      <c r="B114" s="8" t="str">
        <f t="shared" si="45"/>
        <v/>
      </c>
      <c r="C114" s="8" t="str">
        <f t="shared" si="46"/>
        <v/>
      </c>
      <c r="D114" s="13"/>
      <c r="E114" s="11"/>
      <c r="F114" s="11"/>
      <c r="G114" s="11"/>
      <c r="H114" s="15"/>
      <c r="I114" s="15"/>
      <c r="J114" s="8" t="str">
        <f t="shared" si="47"/>
        <v>Pending</v>
      </c>
      <c r="K114" s="11" t="s">
        <v>42</v>
      </c>
      <c r="L114" s="13"/>
      <c r="M114" s="11"/>
      <c r="N114" s="11"/>
      <c r="O114" s="11"/>
      <c r="P114" s="11"/>
      <c r="Q114" s="6" t="str">
        <f t="shared" si="48"/>
        <v/>
      </c>
      <c r="R114" s="9" t="str">
        <f t="shared" si="49"/>
        <v/>
      </c>
      <c r="S114" s="11"/>
      <c r="T114" s="11"/>
      <c r="U114" s="11"/>
      <c r="V114" s="11"/>
      <c r="W114" s="6" t="str">
        <f t="shared" si="50"/>
        <v/>
      </c>
      <c r="X114" s="9" t="str">
        <f t="shared" si="51"/>
        <v/>
      </c>
      <c r="Y114" s="11"/>
      <c r="Z114" s="11"/>
      <c r="AA114" s="11"/>
      <c r="AB114" s="11"/>
      <c r="AC114" s="6" t="str">
        <f t="shared" si="52"/>
        <v/>
      </c>
      <c r="AD114" s="9" t="str">
        <f t="shared" si="53"/>
        <v/>
      </c>
      <c r="AE114" s="8" t="str">
        <f t="shared" si="54"/>
        <v/>
      </c>
      <c r="AF114" s="11"/>
      <c r="AG114" s="8" t="str">
        <f t="shared" si="55"/>
        <v/>
      </c>
      <c r="AH114" s="8" t="str">
        <f t="shared" si="56"/>
        <v/>
      </c>
      <c r="AI114" s="8" t="str">
        <f t="shared" si="57"/>
        <v/>
      </c>
      <c r="AJ114" s="9" t="str">
        <f t="shared" si="58"/>
        <v/>
      </c>
    </row>
    <row r="115" spans="1:36" ht="16.5" customHeight="1" x14ac:dyDescent="0.3">
      <c r="A115" s="10">
        <v>113</v>
      </c>
      <c r="B115" s="6" t="str">
        <f t="shared" si="45"/>
        <v/>
      </c>
      <c r="C115" s="6" t="str">
        <f t="shared" si="46"/>
        <v/>
      </c>
      <c r="D115" s="12"/>
      <c r="E115" s="10"/>
      <c r="F115" s="10"/>
      <c r="G115" s="10"/>
      <c r="H115" s="14"/>
      <c r="I115" s="14"/>
      <c r="J115" s="6" t="str">
        <f t="shared" si="47"/>
        <v>Pending</v>
      </c>
      <c r="K115" s="10" t="s">
        <v>42</v>
      </c>
      <c r="L115" s="12"/>
      <c r="M115" s="10"/>
      <c r="N115" s="10"/>
      <c r="O115" s="10"/>
      <c r="P115" s="10"/>
      <c r="Q115" s="6" t="str">
        <f t="shared" si="48"/>
        <v/>
      </c>
      <c r="R115" s="7" t="str">
        <f t="shared" si="49"/>
        <v/>
      </c>
      <c r="S115" s="10"/>
      <c r="T115" s="10"/>
      <c r="U115" s="10"/>
      <c r="V115" s="10"/>
      <c r="W115" s="6" t="str">
        <f t="shared" si="50"/>
        <v/>
      </c>
      <c r="X115" s="7" t="str">
        <f t="shared" si="51"/>
        <v/>
      </c>
      <c r="Y115" s="10"/>
      <c r="Z115" s="10"/>
      <c r="AA115" s="10"/>
      <c r="AB115" s="10"/>
      <c r="AC115" s="6" t="str">
        <f t="shared" si="52"/>
        <v/>
      </c>
      <c r="AD115" s="7" t="str">
        <f t="shared" si="53"/>
        <v/>
      </c>
      <c r="AE115" s="6" t="str">
        <f t="shared" si="54"/>
        <v/>
      </c>
      <c r="AF115" s="10"/>
      <c r="AG115" s="6" t="str">
        <f t="shared" si="55"/>
        <v/>
      </c>
      <c r="AH115" s="6" t="str">
        <f t="shared" si="56"/>
        <v/>
      </c>
      <c r="AI115" s="6" t="str">
        <f t="shared" si="57"/>
        <v/>
      </c>
      <c r="AJ115" s="7" t="str">
        <f t="shared" si="58"/>
        <v/>
      </c>
    </row>
    <row r="116" spans="1:36" ht="16.5" customHeight="1" x14ac:dyDescent="0.3">
      <c r="A116" s="11">
        <v>114</v>
      </c>
      <c r="B116" s="8" t="str">
        <f t="shared" si="45"/>
        <v/>
      </c>
      <c r="C116" s="8" t="str">
        <f t="shared" si="46"/>
        <v/>
      </c>
      <c r="D116" s="13"/>
      <c r="E116" s="11"/>
      <c r="F116" s="11"/>
      <c r="G116" s="11"/>
      <c r="H116" s="15"/>
      <c r="I116" s="15"/>
      <c r="J116" s="8" t="str">
        <f t="shared" si="47"/>
        <v>Pending</v>
      </c>
      <c r="K116" s="11" t="s">
        <v>42</v>
      </c>
      <c r="L116" s="13"/>
      <c r="M116" s="11"/>
      <c r="N116" s="11"/>
      <c r="O116" s="11"/>
      <c r="P116" s="11"/>
      <c r="Q116" s="6" t="str">
        <f t="shared" si="48"/>
        <v/>
      </c>
      <c r="R116" s="9" t="str">
        <f t="shared" si="49"/>
        <v/>
      </c>
      <c r="S116" s="11"/>
      <c r="T116" s="11"/>
      <c r="U116" s="11"/>
      <c r="V116" s="11"/>
      <c r="W116" s="6" t="str">
        <f t="shared" si="50"/>
        <v/>
      </c>
      <c r="X116" s="9" t="str">
        <f t="shared" si="51"/>
        <v/>
      </c>
      <c r="Y116" s="11"/>
      <c r="Z116" s="11"/>
      <c r="AA116" s="11"/>
      <c r="AB116" s="11"/>
      <c r="AC116" s="6" t="str">
        <f t="shared" si="52"/>
        <v/>
      </c>
      <c r="AD116" s="9" t="str">
        <f t="shared" si="53"/>
        <v/>
      </c>
      <c r="AE116" s="8" t="str">
        <f t="shared" si="54"/>
        <v/>
      </c>
      <c r="AF116" s="11"/>
      <c r="AG116" s="8" t="str">
        <f t="shared" si="55"/>
        <v/>
      </c>
      <c r="AH116" s="8" t="str">
        <f t="shared" si="56"/>
        <v/>
      </c>
      <c r="AI116" s="8" t="str">
        <f t="shared" si="57"/>
        <v/>
      </c>
      <c r="AJ116" s="9" t="str">
        <f t="shared" si="58"/>
        <v/>
      </c>
    </row>
    <row r="117" spans="1:36" ht="16.5" customHeight="1" x14ac:dyDescent="0.3">
      <c r="A117" s="10">
        <v>115</v>
      </c>
      <c r="B117" s="6" t="str">
        <f t="shared" si="45"/>
        <v/>
      </c>
      <c r="C117" s="6" t="str">
        <f t="shared" si="46"/>
        <v/>
      </c>
      <c r="D117" s="12"/>
      <c r="E117" s="10"/>
      <c r="F117" s="10"/>
      <c r="G117" s="10"/>
      <c r="H117" s="14"/>
      <c r="I117" s="14"/>
      <c r="J117" s="6" t="str">
        <f t="shared" si="47"/>
        <v>Pending</v>
      </c>
      <c r="K117" s="10" t="s">
        <v>42</v>
      </c>
      <c r="L117" s="12"/>
      <c r="M117" s="10"/>
      <c r="N117" s="10"/>
      <c r="O117" s="10"/>
      <c r="P117" s="10"/>
      <c r="Q117" s="6" t="str">
        <f t="shared" si="48"/>
        <v/>
      </c>
      <c r="R117" s="7" t="str">
        <f t="shared" si="49"/>
        <v/>
      </c>
      <c r="S117" s="10"/>
      <c r="T117" s="10"/>
      <c r="U117" s="10"/>
      <c r="V117" s="10"/>
      <c r="W117" s="6" t="str">
        <f t="shared" si="50"/>
        <v/>
      </c>
      <c r="X117" s="7" t="str">
        <f t="shared" si="51"/>
        <v/>
      </c>
      <c r="Y117" s="10"/>
      <c r="Z117" s="10"/>
      <c r="AA117" s="10"/>
      <c r="AB117" s="10"/>
      <c r="AC117" s="6" t="str">
        <f t="shared" si="52"/>
        <v/>
      </c>
      <c r="AD117" s="7" t="str">
        <f t="shared" si="53"/>
        <v/>
      </c>
      <c r="AE117" s="6" t="str">
        <f t="shared" si="54"/>
        <v/>
      </c>
      <c r="AF117" s="10"/>
      <c r="AG117" s="6" t="str">
        <f t="shared" si="55"/>
        <v/>
      </c>
      <c r="AH117" s="6" t="str">
        <f t="shared" si="56"/>
        <v/>
      </c>
      <c r="AI117" s="6" t="str">
        <f t="shared" si="57"/>
        <v/>
      </c>
      <c r="AJ117" s="7" t="str">
        <f t="shared" si="58"/>
        <v/>
      </c>
    </row>
    <row r="118" spans="1:36" ht="16.5" customHeight="1" x14ac:dyDescent="0.3">
      <c r="A118" s="11">
        <v>116</v>
      </c>
      <c r="B118" s="8" t="str">
        <f t="shared" si="45"/>
        <v/>
      </c>
      <c r="C118" s="8" t="str">
        <f t="shared" si="46"/>
        <v/>
      </c>
      <c r="D118" s="13"/>
      <c r="E118" s="11"/>
      <c r="F118" s="11"/>
      <c r="G118" s="11"/>
      <c r="H118" s="15"/>
      <c r="I118" s="15"/>
      <c r="J118" s="8" t="str">
        <f t="shared" si="47"/>
        <v>Pending</v>
      </c>
      <c r="K118" s="11" t="s">
        <v>42</v>
      </c>
      <c r="L118" s="13"/>
      <c r="M118" s="11"/>
      <c r="N118" s="11"/>
      <c r="O118" s="11"/>
      <c r="P118" s="11"/>
      <c r="Q118" s="6" t="str">
        <f t="shared" si="48"/>
        <v/>
      </c>
      <c r="R118" s="9" t="str">
        <f t="shared" si="49"/>
        <v/>
      </c>
      <c r="S118" s="11"/>
      <c r="T118" s="11"/>
      <c r="U118" s="11"/>
      <c r="V118" s="11"/>
      <c r="W118" s="6" t="str">
        <f t="shared" si="50"/>
        <v/>
      </c>
      <c r="X118" s="9" t="str">
        <f t="shared" si="51"/>
        <v/>
      </c>
      <c r="Y118" s="11"/>
      <c r="Z118" s="11"/>
      <c r="AA118" s="11"/>
      <c r="AB118" s="11"/>
      <c r="AC118" s="6" t="str">
        <f t="shared" si="52"/>
        <v/>
      </c>
      <c r="AD118" s="9" t="str">
        <f t="shared" si="53"/>
        <v/>
      </c>
      <c r="AE118" s="8" t="str">
        <f t="shared" si="54"/>
        <v/>
      </c>
      <c r="AF118" s="11"/>
      <c r="AG118" s="8" t="str">
        <f t="shared" si="55"/>
        <v/>
      </c>
      <c r="AH118" s="8" t="str">
        <f t="shared" si="56"/>
        <v/>
      </c>
      <c r="AI118" s="8" t="str">
        <f t="shared" si="57"/>
        <v/>
      </c>
      <c r="AJ118" s="9" t="str">
        <f t="shared" si="58"/>
        <v/>
      </c>
    </row>
    <row r="119" spans="1:36" ht="16.5" customHeight="1" x14ac:dyDescent="0.3">
      <c r="A119" s="10">
        <v>117</v>
      </c>
      <c r="B119" s="6" t="str">
        <f t="shared" si="45"/>
        <v/>
      </c>
      <c r="C119" s="6" t="str">
        <f t="shared" si="46"/>
        <v/>
      </c>
      <c r="D119" s="12"/>
      <c r="E119" s="10"/>
      <c r="F119" s="10"/>
      <c r="G119" s="10"/>
      <c r="H119" s="14"/>
      <c r="I119" s="14"/>
      <c r="J119" s="6" t="str">
        <f t="shared" si="47"/>
        <v>Pending</v>
      </c>
      <c r="K119" s="10" t="s">
        <v>42</v>
      </c>
      <c r="L119" s="12"/>
      <c r="M119" s="10"/>
      <c r="N119" s="10"/>
      <c r="O119" s="10"/>
      <c r="P119" s="10"/>
      <c r="Q119" s="6" t="str">
        <f t="shared" si="48"/>
        <v/>
      </c>
      <c r="R119" s="7" t="str">
        <f t="shared" si="49"/>
        <v/>
      </c>
      <c r="S119" s="10"/>
      <c r="T119" s="10"/>
      <c r="U119" s="10"/>
      <c r="V119" s="10"/>
      <c r="W119" s="6" t="str">
        <f t="shared" si="50"/>
        <v/>
      </c>
      <c r="X119" s="7" t="str">
        <f t="shared" si="51"/>
        <v/>
      </c>
      <c r="Y119" s="10"/>
      <c r="Z119" s="10"/>
      <c r="AA119" s="10"/>
      <c r="AB119" s="10"/>
      <c r="AC119" s="6" t="str">
        <f t="shared" si="52"/>
        <v/>
      </c>
      <c r="AD119" s="7" t="str">
        <f t="shared" si="53"/>
        <v/>
      </c>
      <c r="AE119" s="6" t="str">
        <f t="shared" si="54"/>
        <v/>
      </c>
      <c r="AF119" s="10"/>
      <c r="AG119" s="6" t="str">
        <f t="shared" si="55"/>
        <v/>
      </c>
      <c r="AH119" s="6" t="str">
        <f t="shared" si="56"/>
        <v/>
      </c>
      <c r="AI119" s="6" t="str">
        <f t="shared" si="57"/>
        <v/>
      </c>
      <c r="AJ119" s="7" t="str">
        <f t="shared" si="58"/>
        <v/>
      </c>
    </row>
    <row r="120" spans="1:36" ht="16.5" customHeight="1" x14ac:dyDescent="0.3">
      <c r="A120" s="11">
        <v>118</v>
      </c>
      <c r="B120" s="8" t="str">
        <f t="shared" si="45"/>
        <v/>
      </c>
      <c r="C120" s="8" t="str">
        <f t="shared" si="46"/>
        <v/>
      </c>
      <c r="D120" s="13"/>
      <c r="E120" s="11"/>
      <c r="F120" s="11"/>
      <c r="G120" s="11"/>
      <c r="H120" s="15"/>
      <c r="I120" s="15"/>
      <c r="J120" s="8" t="str">
        <f t="shared" si="47"/>
        <v>Pending</v>
      </c>
      <c r="K120" s="11" t="s">
        <v>42</v>
      </c>
      <c r="L120" s="13"/>
      <c r="M120" s="11"/>
      <c r="N120" s="11"/>
      <c r="O120" s="11"/>
      <c r="P120" s="11"/>
      <c r="Q120" s="6" t="str">
        <f t="shared" si="48"/>
        <v/>
      </c>
      <c r="R120" s="9" t="str">
        <f t="shared" si="49"/>
        <v/>
      </c>
      <c r="S120" s="11"/>
      <c r="T120" s="11"/>
      <c r="U120" s="11"/>
      <c r="V120" s="11"/>
      <c r="W120" s="6" t="str">
        <f t="shared" si="50"/>
        <v/>
      </c>
      <c r="X120" s="9" t="str">
        <f t="shared" si="51"/>
        <v/>
      </c>
      <c r="Y120" s="11"/>
      <c r="Z120" s="11"/>
      <c r="AA120" s="11"/>
      <c r="AB120" s="11"/>
      <c r="AC120" s="6" t="str">
        <f t="shared" si="52"/>
        <v/>
      </c>
      <c r="AD120" s="9" t="str">
        <f t="shared" si="53"/>
        <v/>
      </c>
      <c r="AE120" s="8" t="str">
        <f t="shared" si="54"/>
        <v/>
      </c>
      <c r="AF120" s="11"/>
      <c r="AG120" s="8" t="str">
        <f t="shared" si="55"/>
        <v/>
      </c>
      <c r="AH120" s="8" t="str">
        <f t="shared" si="56"/>
        <v/>
      </c>
      <c r="AI120" s="8" t="str">
        <f t="shared" si="57"/>
        <v/>
      </c>
      <c r="AJ120" s="9" t="str">
        <f t="shared" si="58"/>
        <v/>
      </c>
    </row>
    <row r="121" spans="1:36" ht="16.5" customHeight="1" x14ac:dyDescent="0.3">
      <c r="A121" s="10">
        <v>119</v>
      </c>
      <c r="B121" s="6" t="str">
        <f t="shared" si="45"/>
        <v/>
      </c>
      <c r="C121" s="6" t="str">
        <f t="shared" si="46"/>
        <v/>
      </c>
      <c r="D121" s="12"/>
      <c r="E121" s="10"/>
      <c r="F121" s="10"/>
      <c r="G121" s="10"/>
      <c r="H121" s="14"/>
      <c r="I121" s="14"/>
      <c r="J121" s="6" t="str">
        <f t="shared" si="47"/>
        <v>Pending</v>
      </c>
      <c r="K121" s="10" t="s">
        <v>42</v>
      </c>
      <c r="L121" s="12"/>
      <c r="M121" s="10"/>
      <c r="N121" s="10"/>
      <c r="O121" s="10"/>
      <c r="P121" s="10"/>
      <c r="Q121" s="6" t="str">
        <f t="shared" si="48"/>
        <v/>
      </c>
      <c r="R121" s="7" t="str">
        <f t="shared" si="49"/>
        <v/>
      </c>
      <c r="S121" s="10"/>
      <c r="T121" s="10"/>
      <c r="U121" s="10"/>
      <c r="V121" s="10"/>
      <c r="W121" s="6" t="str">
        <f t="shared" si="50"/>
        <v/>
      </c>
      <c r="X121" s="7" t="str">
        <f t="shared" si="51"/>
        <v/>
      </c>
      <c r="Y121" s="10"/>
      <c r="Z121" s="10"/>
      <c r="AA121" s="10"/>
      <c r="AB121" s="10"/>
      <c r="AC121" s="6" t="str">
        <f t="shared" si="52"/>
        <v/>
      </c>
      <c r="AD121" s="7" t="str">
        <f t="shared" si="53"/>
        <v/>
      </c>
      <c r="AE121" s="6" t="str">
        <f t="shared" si="54"/>
        <v/>
      </c>
      <c r="AF121" s="10"/>
      <c r="AG121" s="6" t="str">
        <f t="shared" si="55"/>
        <v/>
      </c>
      <c r="AH121" s="6" t="str">
        <f t="shared" si="56"/>
        <v/>
      </c>
      <c r="AI121" s="6" t="str">
        <f t="shared" si="57"/>
        <v/>
      </c>
      <c r="AJ121" s="7" t="str">
        <f t="shared" si="58"/>
        <v/>
      </c>
    </row>
    <row r="122" spans="1:36" ht="16.5" customHeight="1" x14ac:dyDescent="0.3">
      <c r="A122" s="11">
        <v>120</v>
      </c>
      <c r="B122" s="8" t="str">
        <f t="shared" si="45"/>
        <v/>
      </c>
      <c r="C122" s="8" t="str">
        <f t="shared" si="46"/>
        <v/>
      </c>
      <c r="D122" s="13"/>
      <c r="E122" s="11"/>
      <c r="F122" s="11"/>
      <c r="G122" s="11"/>
      <c r="H122" s="15"/>
      <c r="I122" s="15"/>
      <c r="J122" s="8" t="str">
        <f t="shared" si="47"/>
        <v>Pending</v>
      </c>
      <c r="K122" s="11" t="s">
        <v>42</v>
      </c>
      <c r="L122" s="13"/>
      <c r="M122" s="11"/>
      <c r="N122" s="11"/>
      <c r="O122" s="11"/>
      <c r="P122" s="11"/>
      <c r="Q122" s="6" t="str">
        <f t="shared" si="48"/>
        <v/>
      </c>
      <c r="R122" s="9" t="str">
        <f t="shared" si="49"/>
        <v/>
      </c>
      <c r="S122" s="11"/>
      <c r="T122" s="11"/>
      <c r="U122" s="11"/>
      <c r="V122" s="11"/>
      <c r="W122" s="6" t="str">
        <f t="shared" si="50"/>
        <v/>
      </c>
      <c r="X122" s="9" t="str">
        <f t="shared" si="51"/>
        <v/>
      </c>
      <c r="Y122" s="11"/>
      <c r="Z122" s="11"/>
      <c r="AA122" s="11"/>
      <c r="AB122" s="11"/>
      <c r="AC122" s="6" t="str">
        <f t="shared" si="52"/>
        <v/>
      </c>
      <c r="AD122" s="9" t="str">
        <f t="shared" si="53"/>
        <v/>
      </c>
      <c r="AE122" s="8" t="str">
        <f t="shared" si="54"/>
        <v/>
      </c>
      <c r="AF122" s="11"/>
      <c r="AG122" s="8" t="str">
        <f t="shared" si="55"/>
        <v/>
      </c>
      <c r="AH122" s="8" t="str">
        <f t="shared" si="56"/>
        <v/>
      </c>
      <c r="AI122" s="8" t="str">
        <f t="shared" si="57"/>
        <v/>
      </c>
      <c r="AJ122" s="9" t="str">
        <f t="shared" si="58"/>
        <v/>
      </c>
    </row>
    <row r="123" spans="1:36" ht="16.5" customHeight="1" x14ac:dyDescent="0.3">
      <c r="A123" s="10">
        <v>121</v>
      </c>
      <c r="B123" s="6" t="str">
        <f t="shared" si="45"/>
        <v/>
      </c>
      <c r="C123" s="6" t="str">
        <f t="shared" si="46"/>
        <v/>
      </c>
      <c r="D123" s="12"/>
      <c r="E123" s="10"/>
      <c r="F123" s="10"/>
      <c r="G123" s="10"/>
      <c r="H123" s="14"/>
      <c r="I123" s="14"/>
      <c r="J123" s="6" t="str">
        <f t="shared" si="47"/>
        <v>Pending</v>
      </c>
      <c r="K123" s="10" t="s">
        <v>42</v>
      </c>
      <c r="L123" s="12"/>
      <c r="M123" s="10"/>
      <c r="N123" s="10"/>
      <c r="O123" s="10"/>
      <c r="P123" s="10"/>
      <c r="Q123" s="6" t="str">
        <f t="shared" si="48"/>
        <v/>
      </c>
      <c r="R123" s="7" t="str">
        <f t="shared" si="49"/>
        <v/>
      </c>
      <c r="S123" s="10"/>
      <c r="T123" s="10"/>
      <c r="U123" s="10"/>
      <c r="V123" s="10"/>
      <c r="W123" s="6" t="str">
        <f t="shared" si="50"/>
        <v/>
      </c>
      <c r="X123" s="7" t="str">
        <f t="shared" si="51"/>
        <v/>
      </c>
      <c r="Y123" s="10"/>
      <c r="Z123" s="10"/>
      <c r="AA123" s="10"/>
      <c r="AB123" s="10"/>
      <c r="AC123" s="6" t="str">
        <f t="shared" si="52"/>
        <v/>
      </c>
      <c r="AD123" s="7" t="str">
        <f t="shared" si="53"/>
        <v/>
      </c>
      <c r="AE123" s="6" t="str">
        <f t="shared" si="54"/>
        <v/>
      </c>
      <c r="AF123" s="10"/>
      <c r="AG123" s="6" t="str">
        <f t="shared" si="55"/>
        <v/>
      </c>
      <c r="AH123" s="6" t="str">
        <f t="shared" si="56"/>
        <v/>
      </c>
      <c r="AI123" s="6" t="str">
        <f t="shared" si="57"/>
        <v/>
      </c>
      <c r="AJ123" s="7" t="str">
        <f t="shared" si="58"/>
        <v/>
      </c>
    </row>
    <row r="124" spans="1:36" ht="16.5" customHeight="1" x14ac:dyDescent="0.3">
      <c r="A124" s="11">
        <v>122</v>
      </c>
      <c r="B124" s="8" t="str">
        <f t="shared" si="45"/>
        <v/>
      </c>
      <c r="C124" s="8" t="str">
        <f t="shared" si="46"/>
        <v/>
      </c>
      <c r="D124" s="13"/>
      <c r="E124" s="11"/>
      <c r="F124" s="11"/>
      <c r="G124" s="11"/>
      <c r="H124" s="15"/>
      <c r="I124" s="15"/>
      <c r="J124" s="8" t="str">
        <f t="shared" si="47"/>
        <v>Pending</v>
      </c>
      <c r="K124" s="11" t="s">
        <v>42</v>
      </c>
      <c r="L124" s="13"/>
      <c r="M124" s="11"/>
      <c r="N124" s="11"/>
      <c r="O124" s="11"/>
      <c r="P124" s="11"/>
      <c r="Q124" s="6" t="str">
        <f t="shared" si="48"/>
        <v/>
      </c>
      <c r="R124" s="9" t="str">
        <f t="shared" si="49"/>
        <v/>
      </c>
      <c r="S124" s="11"/>
      <c r="T124" s="11"/>
      <c r="U124" s="11"/>
      <c r="V124" s="11"/>
      <c r="W124" s="6" t="str">
        <f t="shared" si="50"/>
        <v/>
      </c>
      <c r="X124" s="9" t="str">
        <f t="shared" si="51"/>
        <v/>
      </c>
      <c r="Y124" s="11"/>
      <c r="Z124" s="11"/>
      <c r="AA124" s="11"/>
      <c r="AB124" s="11"/>
      <c r="AC124" s="6" t="str">
        <f t="shared" si="52"/>
        <v/>
      </c>
      <c r="AD124" s="9" t="str">
        <f t="shared" si="53"/>
        <v/>
      </c>
      <c r="AE124" s="8" t="str">
        <f t="shared" si="54"/>
        <v/>
      </c>
      <c r="AF124" s="11"/>
      <c r="AG124" s="8" t="str">
        <f t="shared" si="55"/>
        <v/>
      </c>
      <c r="AH124" s="8" t="str">
        <f t="shared" si="56"/>
        <v/>
      </c>
      <c r="AI124" s="8" t="str">
        <f t="shared" si="57"/>
        <v/>
      </c>
      <c r="AJ124" s="9" t="str">
        <f t="shared" si="58"/>
        <v/>
      </c>
    </row>
    <row r="125" spans="1:36" ht="16.5" customHeight="1" x14ac:dyDescent="0.3">
      <c r="A125" s="10">
        <v>123</v>
      </c>
      <c r="B125" s="6" t="str">
        <f t="shared" si="45"/>
        <v/>
      </c>
      <c r="C125" s="6" t="str">
        <f t="shared" si="46"/>
        <v/>
      </c>
      <c r="D125" s="12"/>
      <c r="E125" s="10"/>
      <c r="F125" s="10"/>
      <c r="G125" s="10"/>
      <c r="H125" s="14"/>
      <c r="I125" s="14"/>
      <c r="J125" s="6" t="str">
        <f t="shared" si="47"/>
        <v>Pending</v>
      </c>
      <c r="K125" s="10" t="s">
        <v>42</v>
      </c>
      <c r="L125" s="12"/>
      <c r="M125" s="10"/>
      <c r="N125" s="10"/>
      <c r="O125" s="10"/>
      <c r="P125" s="10"/>
      <c r="Q125" s="6" t="str">
        <f t="shared" si="48"/>
        <v/>
      </c>
      <c r="R125" s="7" t="str">
        <f t="shared" si="49"/>
        <v/>
      </c>
      <c r="S125" s="10"/>
      <c r="T125" s="10"/>
      <c r="U125" s="10"/>
      <c r="V125" s="10"/>
      <c r="W125" s="6" t="str">
        <f t="shared" si="50"/>
        <v/>
      </c>
      <c r="X125" s="7" t="str">
        <f t="shared" si="51"/>
        <v/>
      </c>
      <c r="Y125" s="10"/>
      <c r="Z125" s="10"/>
      <c r="AA125" s="10"/>
      <c r="AB125" s="10"/>
      <c r="AC125" s="6" t="str">
        <f t="shared" si="52"/>
        <v/>
      </c>
      <c r="AD125" s="7" t="str">
        <f t="shared" si="53"/>
        <v/>
      </c>
      <c r="AE125" s="6" t="str">
        <f t="shared" si="54"/>
        <v/>
      </c>
      <c r="AF125" s="10"/>
      <c r="AG125" s="6" t="str">
        <f t="shared" si="55"/>
        <v/>
      </c>
      <c r="AH125" s="6" t="str">
        <f t="shared" si="56"/>
        <v/>
      </c>
      <c r="AI125" s="6" t="str">
        <f t="shared" si="57"/>
        <v/>
      </c>
      <c r="AJ125" s="7" t="str">
        <f t="shared" si="58"/>
        <v/>
      </c>
    </row>
    <row r="126" spans="1:36" ht="16.5" customHeight="1" x14ac:dyDescent="0.3">
      <c r="A126" s="11">
        <v>124</v>
      </c>
      <c r="B126" s="8" t="str">
        <f t="shared" si="45"/>
        <v/>
      </c>
      <c r="C126" s="8" t="str">
        <f t="shared" si="46"/>
        <v/>
      </c>
      <c r="D126" s="13"/>
      <c r="E126" s="11"/>
      <c r="F126" s="11"/>
      <c r="G126" s="11"/>
      <c r="H126" s="15"/>
      <c r="I126" s="15"/>
      <c r="J126" s="8" t="str">
        <f t="shared" si="47"/>
        <v>Pending</v>
      </c>
      <c r="K126" s="11" t="s">
        <v>42</v>
      </c>
      <c r="L126" s="13"/>
      <c r="M126" s="11"/>
      <c r="N126" s="11"/>
      <c r="O126" s="11"/>
      <c r="P126" s="11"/>
      <c r="Q126" s="6" t="str">
        <f t="shared" si="48"/>
        <v/>
      </c>
      <c r="R126" s="9" t="str">
        <f t="shared" si="49"/>
        <v/>
      </c>
      <c r="S126" s="11"/>
      <c r="T126" s="11"/>
      <c r="U126" s="11"/>
      <c r="V126" s="11"/>
      <c r="W126" s="6" t="str">
        <f t="shared" si="50"/>
        <v/>
      </c>
      <c r="X126" s="9" t="str">
        <f t="shared" si="51"/>
        <v/>
      </c>
      <c r="Y126" s="11"/>
      <c r="Z126" s="11"/>
      <c r="AA126" s="11"/>
      <c r="AB126" s="11"/>
      <c r="AC126" s="6" t="str">
        <f t="shared" si="52"/>
        <v/>
      </c>
      <c r="AD126" s="9" t="str">
        <f t="shared" si="53"/>
        <v/>
      </c>
      <c r="AE126" s="8" t="str">
        <f t="shared" si="54"/>
        <v/>
      </c>
      <c r="AF126" s="11"/>
      <c r="AG126" s="8" t="str">
        <f t="shared" si="55"/>
        <v/>
      </c>
      <c r="AH126" s="8" t="str">
        <f t="shared" si="56"/>
        <v/>
      </c>
      <c r="AI126" s="8" t="str">
        <f t="shared" si="57"/>
        <v/>
      </c>
      <c r="AJ126" s="9" t="str">
        <f t="shared" si="58"/>
        <v/>
      </c>
    </row>
    <row r="127" spans="1:36" ht="16.5" customHeight="1" x14ac:dyDescent="0.3">
      <c r="A127" s="10">
        <v>125</v>
      </c>
      <c r="B127" s="6" t="str">
        <f t="shared" si="45"/>
        <v/>
      </c>
      <c r="C127" s="6" t="str">
        <f t="shared" si="46"/>
        <v/>
      </c>
      <c r="D127" s="12"/>
      <c r="E127" s="10"/>
      <c r="F127" s="10"/>
      <c r="G127" s="10"/>
      <c r="H127" s="14"/>
      <c r="I127" s="14"/>
      <c r="J127" s="6" t="str">
        <f t="shared" si="47"/>
        <v>Pending</v>
      </c>
      <c r="K127" s="10" t="s">
        <v>42</v>
      </c>
      <c r="L127" s="12"/>
      <c r="M127" s="10"/>
      <c r="N127" s="10"/>
      <c r="O127" s="10"/>
      <c r="P127" s="10"/>
      <c r="Q127" s="6" t="str">
        <f t="shared" si="48"/>
        <v/>
      </c>
      <c r="R127" s="7" t="str">
        <f t="shared" si="49"/>
        <v/>
      </c>
      <c r="S127" s="10"/>
      <c r="T127" s="10"/>
      <c r="U127" s="10"/>
      <c r="V127" s="10"/>
      <c r="W127" s="6" t="str">
        <f t="shared" si="50"/>
        <v/>
      </c>
      <c r="X127" s="7" t="str">
        <f t="shared" si="51"/>
        <v/>
      </c>
      <c r="Y127" s="10"/>
      <c r="Z127" s="10"/>
      <c r="AA127" s="10"/>
      <c r="AB127" s="10"/>
      <c r="AC127" s="6" t="str">
        <f t="shared" si="52"/>
        <v/>
      </c>
      <c r="AD127" s="7" t="str">
        <f t="shared" si="53"/>
        <v/>
      </c>
      <c r="AE127" s="6" t="str">
        <f t="shared" si="54"/>
        <v/>
      </c>
      <c r="AF127" s="10"/>
      <c r="AG127" s="6" t="str">
        <f t="shared" si="55"/>
        <v/>
      </c>
      <c r="AH127" s="6" t="str">
        <f t="shared" si="56"/>
        <v/>
      </c>
      <c r="AI127" s="6" t="str">
        <f t="shared" si="57"/>
        <v/>
      </c>
      <c r="AJ127" s="7" t="str">
        <f t="shared" si="58"/>
        <v/>
      </c>
    </row>
    <row r="128" spans="1:36" ht="16.5" customHeight="1" x14ac:dyDescent="0.3">
      <c r="A128" s="11">
        <v>126</v>
      </c>
      <c r="B128" s="8" t="str">
        <f t="shared" si="45"/>
        <v/>
      </c>
      <c r="C128" s="8" t="str">
        <f t="shared" si="46"/>
        <v/>
      </c>
      <c r="D128" s="13"/>
      <c r="E128" s="11"/>
      <c r="F128" s="11"/>
      <c r="G128" s="11"/>
      <c r="H128" s="15"/>
      <c r="I128" s="15"/>
      <c r="J128" s="8" t="str">
        <f t="shared" si="47"/>
        <v>Pending</v>
      </c>
      <c r="K128" s="11" t="s">
        <v>42</v>
      </c>
      <c r="L128" s="13"/>
      <c r="M128" s="11"/>
      <c r="N128" s="11"/>
      <c r="O128" s="11"/>
      <c r="P128" s="11"/>
      <c r="Q128" s="6" t="str">
        <f t="shared" si="48"/>
        <v/>
      </c>
      <c r="R128" s="9" t="str">
        <f t="shared" si="49"/>
        <v/>
      </c>
      <c r="S128" s="11"/>
      <c r="T128" s="11"/>
      <c r="U128" s="11"/>
      <c r="V128" s="11"/>
      <c r="W128" s="6" t="str">
        <f t="shared" si="50"/>
        <v/>
      </c>
      <c r="X128" s="9" t="str">
        <f t="shared" si="51"/>
        <v/>
      </c>
      <c r="Y128" s="11"/>
      <c r="Z128" s="11"/>
      <c r="AA128" s="11"/>
      <c r="AB128" s="11"/>
      <c r="AC128" s="6" t="str">
        <f t="shared" si="52"/>
        <v/>
      </c>
      <c r="AD128" s="9" t="str">
        <f t="shared" si="53"/>
        <v/>
      </c>
      <c r="AE128" s="8" t="str">
        <f t="shared" si="54"/>
        <v/>
      </c>
      <c r="AF128" s="11"/>
      <c r="AG128" s="8" t="str">
        <f t="shared" si="55"/>
        <v/>
      </c>
      <c r="AH128" s="8" t="str">
        <f t="shared" si="56"/>
        <v/>
      </c>
      <c r="AI128" s="8" t="str">
        <f t="shared" si="57"/>
        <v/>
      </c>
      <c r="AJ128" s="9" t="str">
        <f t="shared" si="58"/>
        <v/>
      </c>
    </row>
    <row r="129" spans="1:36" ht="16.5" customHeight="1" x14ac:dyDescent="0.3">
      <c r="A129" s="10">
        <v>127</v>
      </c>
      <c r="B129" s="6" t="str">
        <f t="shared" si="45"/>
        <v/>
      </c>
      <c r="C129" s="6" t="str">
        <f t="shared" si="46"/>
        <v/>
      </c>
      <c r="D129" s="12"/>
      <c r="E129" s="10"/>
      <c r="F129" s="10"/>
      <c r="G129" s="10"/>
      <c r="H129" s="14"/>
      <c r="I129" s="14"/>
      <c r="J129" s="6" t="str">
        <f t="shared" si="47"/>
        <v>Pending</v>
      </c>
      <c r="K129" s="10" t="s">
        <v>42</v>
      </c>
      <c r="L129" s="12"/>
      <c r="M129" s="10"/>
      <c r="N129" s="10"/>
      <c r="O129" s="10"/>
      <c r="P129" s="10"/>
      <c r="Q129" s="6" t="str">
        <f t="shared" si="48"/>
        <v/>
      </c>
      <c r="R129" s="7" t="str">
        <f t="shared" si="49"/>
        <v/>
      </c>
      <c r="S129" s="10"/>
      <c r="T129" s="10"/>
      <c r="U129" s="10"/>
      <c r="V129" s="10"/>
      <c r="W129" s="6" t="str">
        <f t="shared" si="50"/>
        <v/>
      </c>
      <c r="X129" s="7" t="str">
        <f t="shared" si="51"/>
        <v/>
      </c>
      <c r="Y129" s="10"/>
      <c r="Z129" s="10"/>
      <c r="AA129" s="10"/>
      <c r="AB129" s="10"/>
      <c r="AC129" s="6" t="str">
        <f t="shared" si="52"/>
        <v/>
      </c>
      <c r="AD129" s="7" t="str">
        <f t="shared" si="53"/>
        <v/>
      </c>
      <c r="AE129" s="6" t="str">
        <f t="shared" si="54"/>
        <v/>
      </c>
      <c r="AF129" s="10"/>
      <c r="AG129" s="6" t="str">
        <f t="shared" si="55"/>
        <v/>
      </c>
      <c r="AH129" s="6" t="str">
        <f t="shared" si="56"/>
        <v/>
      </c>
      <c r="AI129" s="6" t="str">
        <f t="shared" si="57"/>
        <v/>
      </c>
      <c r="AJ129" s="7" t="str">
        <f t="shared" si="58"/>
        <v/>
      </c>
    </row>
    <row r="130" spans="1:36" ht="16.5" customHeight="1" x14ac:dyDescent="0.3">
      <c r="A130" s="11">
        <v>128</v>
      </c>
      <c r="B130" s="8" t="str">
        <f t="shared" si="45"/>
        <v/>
      </c>
      <c r="C130" s="8" t="str">
        <f t="shared" si="46"/>
        <v/>
      </c>
      <c r="D130" s="13"/>
      <c r="E130" s="11"/>
      <c r="F130" s="11"/>
      <c r="G130" s="11"/>
      <c r="H130" s="15"/>
      <c r="I130" s="15"/>
      <c r="J130" s="8" t="str">
        <f t="shared" si="47"/>
        <v>Pending</v>
      </c>
      <c r="K130" s="11" t="s">
        <v>42</v>
      </c>
      <c r="L130" s="13"/>
      <c r="M130" s="11"/>
      <c r="N130" s="11"/>
      <c r="O130" s="11"/>
      <c r="P130" s="11"/>
      <c r="Q130" s="6" t="str">
        <f t="shared" si="48"/>
        <v/>
      </c>
      <c r="R130" s="9" t="str">
        <f t="shared" si="49"/>
        <v/>
      </c>
      <c r="S130" s="11"/>
      <c r="T130" s="11"/>
      <c r="U130" s="11"/>
      <c r="V130" s="11"/>
      <c r="W130" s="6" t="str">
        <f t="shared" si="50"/>
        <v/>
      </c>
      <c r="X130" s="9" t="str">
        <f t="shared" si="51"/>
        <v/>
      </c>
      <c r="Y130" s="11"/>
      <c r="Z130" s="11"/>
      <c r="AA130" s="11"/>
      <c r="AB130" s="11"/>
      <c r="AC130" s="6" t="str">
        <f t="shared" si="52"/>
        <v/>
      </c>
      <c r="AD130" s="9" t="str">
        <f t="shared" si="53"/>
        <v/>
      </c>
      <c r="AE130" s="8" t="str">
        <f t="shared" si="54"/>
        <v/>
      </c>
      <c r="AF130" s="11"/>
      <c r="AG130" s="8" t="str">
        <f t="shared" si="55"/>
        <v/>
      </c>
      <c r="AH130" s="8" t="str">
        <f t="shared" si="56"/>
        <v/>
      </c>
      <c r="AI130" s="8" t="str">
        <f t="shared" si="57"/>
        <v/>
      </c>
      <c r="AJ130" s="9" t="str">
        <f t="shared" si="58"/>
        <v/>
      </c>
    </row>
    <row r="131" spans="1:36" ht="16.5" customHeight="1" x14ac:dyDescent="0.3">
      <c r="A131" s="10">
        <v>129</v>
      </c>
      <c r="B131" s="6" t="str">
        <f t="shared" ref="B131:B152" si="59">IFERROR(IF(H131&lt;&gt;"",RANK(H131,$H$3:$H$400,1),""),"")</f>
        <v/>
      </c>
      <c r="C131" s="6" t="str">
        <f t="shared" ref="C131:C152" si="60">IFERROR(IF(J131="Completed",COUNTIFS(J$3:J$400,"Completed",I$3:I$400,"&lt;"&amp;I131,I$3:I$400,"&lt;&gt;"&amp;"")+COUNTIFS(J$3:J$400,"Completed",I$3:I$400,"="&amp;I131,A$3:A$400,"&lt;="&amp;A131,I$3:I$400,"&lt;&gt;"&amp;""),""),"")</f>
        <v/>
      </c>
      <c r="D131" s="12"/>
      <c r="E131" s="10"/>
      <c r="F131" s="10"/>
      <c r="G131" s="10"/>
      <c r="H131" s="14"/>
      <c r="I131" s="14"/>
      <c r="J131" s="6" t="str">
        <f t="shared" ref="J131:J152" si="61">IF(I131&lt;&gt;"","Completed","Pending")</f>
        <v>Pending</v>
      </c>
      <c r="K131" s="10" t="s">
        <v>42</v>
      </c>
      <c r="L131" s="12"/>
      <c r="M131" s="10"/>
      <c r="N131" s="10"/>
      <c r="O131" s="10"/>
      <c r="P131" s="10"/>
      <c r="Q131" s="6" t="str">
        <f t="shared" ref="Q131:Q152" si="62">IF(COUNT(O131,P131)=2, O131-P131, "")</f>
        <v/>
      </c>
      <c r="R131" s="7" t="str">
        <f t="shared" ref="R131:R152" si="63">IFERROR(P131/O131,"")</f>
        <v/>
      </c>
      <c r="S131" s="10"/>
      <c r="T131" s="10"/>
      <c r="U131" s="10"/>
      <c r="V131" s="10"/>
      <c r="W131" s="6" t="str">
        <f t="shared" ref="W131:W152" si="64">IF(COUNT(U131,V131)=2, U131-V131, "")</f>
        <v/>
      </c>
      <c r="X131" s="7" t="str">
        <f t="shared" ref="X131:X152" si="65">IFERROR(V131/U131,"")</f>
        <v/>
      </c>
      <c r="Y131" s="10"/>
      <c r="Z131" s="10"/>
      <c r="AA131" s="10"/>
      <c r="AB131" s="10"/>
      <c r="AC131" s="6" t="str">
        <f t="shared" ref="AC131:AC152" si="66">IF(COUNT(AA131,AB131)=2, AA131-AB131, "")</f>
        <v/>
      </c>
      <c r="AD131" s="7" t="str">
        <f t="shared" ref="AD131:AD152" si="67">IFERROR(AB131/AA131,"")</f>
        <v/>
      </c>
      <c r="AE131" s="6" t="str">
        <f t="shared" ref="AE131:AE152" si="68">IF(AND(M131="",S131="",Y131=""),"",IFERROR(M131+S131+Y131,""))</f>
        <v/>
      </c>
      <c r="AF131" s="10"/>
      <c r="AG131" s="6" t="str">
        <f t="shared" ref="AG131:AG152" si="69">IF(AND(O131="",U131="",AA131=""),"",IFERROR(O131+U131+AA131,""))</f>
        <v/>
      </c>
      <c r="AH131" s="6" t="str">
        <f t="shared" ref="AH131:AH152" si="70">IF(AND(P131="",V131="",AB131=""),"",IFERROR(P131+V131+AB131,""))</f>
        <v/>
      </c>
      <c r="AI131" s="6" t="str">
        <f t="shared" ref="AI131:AI152" si="71">IF(AND(Q131="",W131="",AC131=""),"",IFERROR(Q131+W131+AC131,""))</f>
        <v/>
      </c>
      <c r="AJ131" s="7" t="str">
        <f t="shared" ref="AJ131:AJ152" si="72">IFERROR(AH131/AG131,"")</f>
        <v/>
      </c>
    </row>
    <row r="132" spans="1:36" ht="16.5" customHeight="1" x14ac:dyDescent="0.3">
      <c r="A132" s="11">
        <v>130</v>
      </c>
      <c r="B132" s="8" t="str">
        <f t="shared" si="59"/>
        <v/>
      </c>
      <c r="C132" s="8" t="str">
        <f t="shared" si="60"/>
        <v/>
      </c>
      <c r="D132" s="13"/>
      <c r="E132" s="11"/>
      <c r="F132" s="11"/>
      <c r="G132" s="11"/>
      <c r="H132" s="15"/>
      <c r="I132" s="15"/>
      <c r="J132" s="8" t="str">
        <f t="shared" si="61"/>
        <v>Pending</v>
      </c>
      <c r="K132" s="11" t="s">
        <v>42</v>
      </c>
      <c r="L132" s="13"/>
      <c r="M132" s="11"/>
      <c r="N132" s="11"/>
      <c r="O132" s="11"/>
      <c r="P132" s="11"/>
      <c r="Q132" s="6" t="str">
        <f t="shared" si="62"/>
        <v/>
      </c>
      <c r="R132" s="9" t="str">
        <f t="shared" si="63"/>
        <v/>
      </c>
      <c r="S132" s="11"/>
      <c r="T132" s="11"/>
      <c r="U132" s="11"/>
      <c r="V132" s="11"/>
      <c r="W132" s="6" t="str">
        <f t="shared" si="64"/>
        <v/>
      </c>
      <c r="X132" s="9" t="str">
        <f t="shared" si="65"/>
        <v/>
      </c>
      <c r="Y132" s="11"/>
      <c r="Z132" s="11"/>
      <c r="AA132" s="11"/>
      <c r="AB132" s="11"/>
      <c r="AC132" s="6" t="str">
        <f t="shared" si="66"/>
        <v/>
      </c>
      <c r="AD132" s="9" t="str">
        <f t="shared" si="67"/>
        <v/>
      </c>
      <c r="AE132" s="8" t="str">
        <f t="shared" si="68"/>
        <v/>
      </c>
      <c r="AF132" s="11"/>
      <c r="AG132" s="8" t="str">
        <f t="shared" si="69"/>
        <v/>
      </c>
      <c r="AH132" s="8" t="str">
        <f t="shared" si="70"/>
        <v/>
      </c>
      <c r="AI132" s="8" t="str">
        <f t="shared" si="71"/>
        <v/>
      </c>
      <c r="AJ132" s="9" t="str">
        <f t="shared" si="72"/>
        <v/>
      </c>
    </row>
    <row r="133" spans="1:36" ht="16.5" customHeight="1" x14ac:dyDescent="0.3">
      <c r="A133" s="10">
        <v>131</v>
      </c>
      <c r="B133" s="6" t="str">
        <f t="shared" si="59"/>
        <v/>
      </c>
      <c r="C133" s="6" t="str">
        <f t="shared" si="60"/>
        <v/>
      </c>
      <c r="D133" s="12"/>
      <c r="E133" s="10"/>
      <c r="F133" s="10"/>
      <c r="G133" s="10"/>
      <c r="H133" s="14"/>
      <c r="I133" s="14"/>
      <c r="J133" s="6" t="str">
        <f t="shared" si="61"/>
        <v>Pending</v>
      </c>
      <c r="K133" s="10" t="s">
        <v>42</v>
      </c>
      <c r="L133" s="12"/>
      <c r="M133" s="10"/>
      <c r="N133" s="10"/>
      <c r="O133" s="10"/>
      <c r="P133" s="10"/>
      <c r="Q133" s="6" t="str">
        <f t="shared" si="62"/>
        <v/>
      </c>
      <c r="R133" s="7" t="str">
        <f t="shared" si="63"/>
        <v/>
      </c>
      <c r="S133" s="10"/>
      <c r="T133" s="10"/>
      <c r="U133" s="10"/>
      <c r="V133" s="10"/>
      <c r="W133" s="6" t="str">
        <f t="shared" si="64"/>
        <v/>
      </c>
      <c r="X133" s="7" t="str">
        <f t="shared" si="65"/>
        <v/>
      </c>
      <c r="Y133" s="10"/>
      <c r="Z133" s="10"/>
      <c r="AA133" s="10"/>
      <c r="AB133" s="10"/>
      <c r="AC133" s="6" t="str">
        <f t="shared" si="66"/>
        <v/>
      </c>
      <c r="AD133" s="7" t="str">
        <f t="shared" si="67"/>
        <v/>
      </c>
      <c r="AE133" s="6" t="str">
        <f t="shared" si="68"/>
        <v/>
      </c>
      <c r="AF133" s="10"/>
      <c r="AG133" s="6" t="str">
        <f t="shared" si="69"/>
        <v/>
      </c>
      <c r="AH133" s="6" t="str">
        <f t="shared" si="70"/>
        <v/>
      </c>
      <c r="AI133" s="6" t="str">
        <f t="shared" si="71"/>
        <v/>
      </c>
      <c r="AJ133" s="7" t="str">
        <f t="shared" si="72"/>
        <v/>
      </c>
    </row>
    <row r="134" spans="1:36" ht="16.5" customHeight="1" x14ac:dyDescent="0.3">
      <c r="A134" s="11">
        <v>132</v>
      </c>
      <c r="B134" s="8" t="str">
        <f t="shared" si="59"/>
        <v/>
      </c>
      <c r="C134" s="8" t="str">
        <f t="shared" si="60"/>
        <v/>
      </c>
      <c r="D134" s="13"/>
      <c r="E134" s="11"/>
      <c r="F134" s="11"/>
      <c r="G134" s="11"/>
      <c r="H134" s="15"/>
      <c r="I134" s="15"/>
      <c r="J134" s="8" t="str">
        <f t="shared" si="61"/>
        <v>Pending</v>
      </c>
      <c r="K134" s="11" t="s">
        <v>42</v>
      </c>
      <c r="L134" s="13"/>
      <c r="M134" s="11"/>
      <c r="N134" s="11"/>
      <c r="O134" s="11"/>
      <c r="P134" s="11"/>
      <c r="Q134" s="6" t="str">
        <f t="shared" si="62"/>
        <v/>
      </c>
      <c r="R134" s="9" t="str">
        <f t="shared" si="63"/>
        <v/>
      </c>
      <c r="S134" s="11"/>
      <c r="T134" s="11"/>
      <c r="U134" s="11"/>
      <c r="V134" s="11"/>
      <c r="W134" s="6" t="str">
        <f t="shared" si="64"/>
        <v/>
      </c>
      <c r="X134" s="9" t="str">
        <f t="shared" si="65"/>
        <v/>
      </c>
      <c r="Y134" s="11"/>
      <c r="Z134" s="11"/>
      <c r="AA134" s="11"/>
      <c r="AB134" s="11"/>
      <c r="AC134" s="6" t="str">
        <f t="shared" si="66"/>
        <v/>
      </c>
      <c r="AD134" s="9" t="str">
        <f t="shared" si="67"/>
        <v/>
      </c>
      <c r="AE134" s="8" t="str">
        <f t="shared" si="68"/>
        <v/>
      </c>
      <c r="AF134" s="11"/>
      <c r="AG134" s="8" t="str">
        <f t="shared" si="69"/>
        <v/>
      </c>
      <c r="AH134" s="8" t="str">
        <f t="shared" si="70"/>
        <v/>
      </c>
      <c r="AI134" s="8" t="str">
        <f t="shared" si="71"/>
        <v/>
      </c>
      <c r="AJ134" s="9" t="str">
        <f t="shared" si="72"/>
        <v/>
      </c>
    </row>
    <row r="135" spans="1:36" ht="16.5" customHeight="1" x14ac:dyDescent="0.3">
      <c r="A135" s="10">
        <v>133</v>
      </c>
      <c r="B135" s="6" t="str">
        <f t="shared" si="59"/>
        <v/>
      </c>
      <c r="C135" s="6" t="str">
        <f t="shared" si="60"/>
        <v/>
      </c>
      <c r="D135" s="12"/>
      <c r="E135" s="10"/>
      <c r="F135" s="10"/>
      <c r="G135" s="10"/>
      <c r="H135" s="14"/>
      <c r="I135" s="14"/>
      <c r="J135" s="6" t="str">
        <f t="shared" si="61"/>
        <v>Pending</v>
      </c>
      <c r="K135" s="10" t="s">
        <v>42</v>
      </c>
      <c r="L135" s="12"/>
      <c r="M135" s="10"/>
      <c r="N135" s="10"/>
      <c r="O135" s="10"/>
      <c r="P135" s="10"/>
      <c r="Q135" s="6" t="str">
        <f t="shared" si="62"/>
        <v/>
      </c>
      <c r="R135" s="7" t="str">
        <f t="shared" si="63"/>
        <v/>
      </c>
      <c r="S135" s="10"/>
      <c r="T135" s="10"/>
      <c r="U135" s="10"/>
      <c r="V135" s="10"/>
      <c r="W135" s="6" t="str">
        <f t="shared" si="64"/>
        <v/>
      </c>
      <c r="X135" s="7" t="str">
        <f t="shared" si="65"/>
        <v/>
      </c>
      <c r="Y135" s="10"/>
      <c r="Z135" s="10"/>
      <c r="AA135" s="10"/>
      <c r="AB135" s="10"/>
      <c r="AC135" s="6" t="str">
        <f t="shared" si="66"/>
        <v/>
      </c>
      <c r="AD135" s="7" t="str">
        <f t="shared" si="67"/>
        <v/>
      </c>
      <c r="AE135" s="6" t="str">
        <f t="shared" si="68"/>
        <v/>
      </c>
      <c r="AF135" s="10"/>
      <c r="AG135" s="6" t="str">
        <f t="shared" si="69"/>
        <v/>
      </c>
      <c r="AH135" s="6" t="str">
        <f t="shared" si="70"/>
        <v/>
      </c>
      <c r="AI135" s="6" t="str">
        <f t="shared" si="71"/>
        <v/>
      </c>
      <c r="AJ135" s="7" t="str">
        <f t="shared" si="72"/>
        <v/>
      </c>
    </row>
    <row r="136" spans="1:36" ht="16.5" customHeight="1" x14ac:dyDescent="0.3">
      <c r="A136" s="11">
        <v>134</v>
      </c>
      <c r="B136" s="8" t="str">
        <f t="shared" si="59"/>
        <v/>
      </c>
      <c r="C136" s="8" t="str">
        <f t="shared" si="60"/>
        <v/>
      </c>
      <c r="D136" s="13"/>
      <c r="E136" s="11"/>
      <c r="F136" s="11"/>
      <c r="G136" s="11"/>
      <c r="H136" s="15"/>
      <c r="I136" s="15"/>
      <c r="J136" s="8" t="str">
        <f t="shared" si="61"/>
        <v>Pending</v>
      </c>
      <c r="K136" s="11" t="s">
        <v>42</v>
      </c>
      <c r="L136" s="13"/>
      <c r="M136" s="11"/>
      <c r="N136" s="11"/>
      <c r="O136" s="11"/>
      <c r="P136" s="11"/>
      <c r="Q136" s="6" t="str">
        <f t="shared" si="62"/>
        <v/>
      </c>
      <c r="R136" s="9" t="str">
        <f t="shared" si="63"/>
        <v/>
      </c>
      <c r="S136" s="11"/>
      <c r="T136" s="11"/>
      <c r="U136" s="11"/>
      <c r="V136" s="11"/>
      <c r="W136" s="6" t="str">
        <f t="shared" si="64"/>
        <v/>
      </c>
      <c r="X136" s="9" t="str">
        <f t="shared" si="65"/>
        <v/>
      </c>
      <c r="Y136" s="11"/>
      <c r="Z136" s="11"/>
      <c r="AA136" s="11"/>
      <c r="AB136" s="11"/>
      <c r="AC136" s="6" t="str">
        <f t="shared" si="66"/>
        <v/>
      </c>
      <c r="AD136" s="9" t="str">
        <f t="shared" si="67"/>
        <v/>
      </c>
      <c r="AE136" s="8" t="str">
        <f t="shared" si="68"/>
        <v/>
      </c>
      <c r="AF136" s="11"/>
      <c r="AG136" s="8" t="str">
        <f t="shared" si="69"/>
        <v/>
      </c>
      <c r="AH136" s="8" t="str">
        <f t="shared" si="70"/>
        <v/>
      </c>
      <c r="AI136" s="8" t="str">
        <f t="shared" si="71"/>
        <v/>
      </c>
      <c r="AJ136" s="9" t="str">
        <f t="shared" si="72"/>
        <v/>
      </c>
    </row>
    <row r="137" spans="1:36" ht="16.5" customHeight="1" x14ac:dyDescent="0.3">
      <c r="A137" s="10">
        <v>135</v>
      </c>
      <c r="B137" s="6" t="str">
        <f t="shared" si="59"/>
        <v/>
      </c>
      <c r="C137" s="6" t="str">
        <f t="shared" si="60"/>
        <v/>
      </c>
      <c r="D137" s="12"/>
      <c r="E137" s="10"/>
      <c r="F137" s="10"/>
      <c r="G137" s="10"/>
      <c r="H137" s="14"/>
      <c r="I137" s="14"/>
      <c r="J137" s="6" t="str">
        <f t="shared" si="61"/>
        <v>Pending</v>
      </c>
      <c r="K137" s="10" t="s">
        <v>42</v>
      </c>
      <c r="L137" s="12"/>
      <c r="M137" s="10"/>
      <c r="N137" s="10"/>
      <c r="O137" s="10"/>
      <c r="P137" s="10"/>
      <c r="Q137" s="6" t="str">
        <f t="shared" si="62"/>
        <v/>
      </c>
      <c r="R137" s="7" t="str">
        <f t="shared" si="63"/>
        <v/>
      </c>
      <c r="S137" s="10"/>
      <c r="T137" s="10"/>
      <c r="U137" s="10"/>
      <c r="V137" s="10"/>
      <c r="W137" s="6" t="str">
        <f t="shared" si="64"/>
        <v/>
      </c>
      <c r="X137" s="7" t="str">
        <f t="shared" si="65"/>
        <v/>
      </c>
      <c r="Y137" s="10"/>
      <c r="Z137" s="10"/>
      <c r="AA137" s="10"/>
      <c r="AB137" s="10"/>
      <c r="AC137" s="6" t="str">
        <f t="shared" si="66"/>
        <v/>
      </c>
      <c r="AD137" s="7" t="str">
        <f t="shared" si="67"/>
        <v/>
      </c>
      <c r="AE137" s="6" t="str">
        <f t="shared" si="68"/>
        <v/>
      </c>
      <c r="AF137" s="10"/>
      <c r="AG137" s="6" t="str">
        <f t="shared" si="69"/>
        <v/>
      </c>
      <c r="AH137" s="6" t="str">
        <f t="shared" si="70"/>
        <v/>
      </c>
      <c r="AI137" s="6" t="str">
        <f t="shared" si="71"/>
        <v/>
      </c>
      <c r="AJ137" s="7" t="str">
        <f t="shared" si="72"/>
        <v/>
      </c>
    </row>
    <row r="138" spans="1:36" ht="16.5" customHeight="1" x14ac:dyDescent="0.3">
      <c r="A138" s="11">
        <v>136</v>
      </c>
      <c r="B138" s="8" t="str">
        <f t="shared" si="59"/>
        <v/>
      </c>
      <c r="C138" s="8" t="str">
        <f t="shared" si="60"/>
        <v/>
      </c>
      <c r="D138" s="13"/>
      <c r="E138" s="11"/>
      <c r="F138" s="11"/>
      <c r="G138" s="11"/>
      <c r="H138" s="15"/>
      <c r="I138" s="15"/>
      <c r="J138" s="8" t="str">
        <f t="shared" si="61"/>
        <v>Pending</v>
      </c>
      <c r="K138" s="11" t="s">
        <v>42</v>
      </c>
      <c r="L138" s="13"/>
      <c r="M138" s="11"/>
      <c r="N138" s="11"/>
      <c r="O138" s="11"/>
      <c r="P138" s="11"/>
      <c r="Q138" s="6" t="str">
        <f t="shared" si="62"/>
        <v/>
      </c>
      <c r="R138" s="9" t="str">
        <f t="shared" si="63"/>
        <v/>
      </c>
      <c r="S138" s="11"/>
      <c r="T138" s="11"/>
      <c r="U138" s="11"/>
      <c r="V138" s="11"/>
      <c r="W138" s="6" t="str">
        <f t="shared" si="64"/>
        <v/>
      </c>
      <c r="X138" s="9" t="str">
        <f t="shared" si="65"/>
        <v/>
      </c>
      <c r="Y138" s="11"/>
      <c r="Z138" s="11"/>
      <c r="AA138" s="11"/>
      <c r="AB138" s="11"/>
      <c r="AC138" s="6" t="str">
        <f t="shared" si="66"/>
        <v/>
      </c>
      <c r="AD138" s="9" t="str">
        <f t="shared" si="67"/>
        <v/>
      </c>
      <c r="AE138" s="8" t="str">
        <f t="shared" si="68"/>
        <v/>
      </c>
      <c r="AF138" s="11"/>
      <c r="AG138" s="8" t="str">
        <f t="shared" si="69"/>
        <v/>
      </c>
      <c r="AH138" s="8" t="str">
        <f t="shared" si="70"/>
        <v/>
      </c>
      <c r="AI138" s="8" t="str">
        <f t="shared" si="71"/>
        <v/>
      </c>
      <c r="AJ138" s="9" t="str">
        <f t="shared" si="72"/>
        <v/>
      </c>
    </row>
    <row r="139" spans="1:36" ht="16.5" customHeight="1" x14ac:dyDescent="0.3">
      <c r="A139" s="10">
        <v>137</v>
      </c>
      <c r="B139" s="6" t="str">
        <f t="shared" si="59"/>
        <v/>
      </c>
      <c r="C139" s="6" t="str">
        <f t="shared" si="60"/>
        <v/>
      </c>
      <c r="D139" s="12"/>
      <c r="E139" s="10"/>
      <c r="F139" s="10"/>
      <c r="G139" s="10"/>
      <c r="H139" s="14"/>
      <c r="I139" s="14"/>
      <c r="J139" s="6" t="str">
        <f t="shared" si="61"/>
        <v>Pending</v>
      </c>
      <c r="K139" s="10" t="s">
        <v>42</v>
      </c>
      <c r="L139" s="12"/>
      <c r="M139" s="10"/>
      <c r="N139" s="10"/>
      <c r="O139" s="10"/>
      <c r="P139" s="10"/>
      <c r="Q139" s="6" t="str">
        <f t="shared" si="62"/>
        <v/>
      </c>
      <c r="R139" s="7" t="str">
        <f t="shared" si="63"/>
        <v/>
      </c>
      <c r="S139" s="10"/>
      <c r="T139" s="10"/>
      <c r="U139" s="10"/>
      <c r="V139" s="10"/>
      <c r="W139" s="6" t="str">
        <f t="shared" si="64"/>
        <v/>
      </c>
      <c r="X139" s="7" t="str">
        <f t="shared" si="65"/>
        <v/>
      </c>
      <c r="Y139" s="10"/>
      <c r="Z139" s="10"/>
      <c r="AA139" s="10"/>
      <c r="AB139" s="10"/>
      <c r="AC139" s="6" t="str">
        <f t="shared" si="66"/>
        <v/>
      </c>
      <c r="AD139" s="7" t="str">
        <f t="shared" si="67"/>
        <v/>
      </c>
      <c r="AE139" s="6" t="str">
        <f t="shared" si="68"/>
        <v/>
      </c>
      <c r="AF139" s="10"/>
      <c r="AG139" s="6" t="str">
        <f t="shared" si="69"/>
        <v/>
      </c>
      <c r="AH139" s="6" t="str">
        <f t="shared" si="70"/>
        <v/>
      </c>
      <c r="AI139" s="6" t="str">
        <f t="shared" si="71"/>
        <v/>
      </c>
      <c r="AJ139" s="7" t="str">
        <f t="shared" si="72"/>
        <v/>
      </c>
    </row>
    <row r="140" spans="1:36" ht="16.5" customHeight="1" x14ac:dyDescent="0.3">
      <c r="A140" s="11">
        <v>138</v>
      </c>
      <c r="B140" s="8" t="str">
        <f t="shared" si="59"/>
        <v/>
      </c>
      <c r="C140" s="8" t="str">
        <f t="shared" si="60"/>
        <v/>
      </c>
      <c r="D140" s="13"/>
      <c r="E140" s="11"/>
      <c r="F140" s="11"/>
      <c r="G140" s="11"/>
      <c r="H140" s="15"/>
      <c r="I140" s="15"/>
      <c r="J140" s="8" t="str">
        <f t="shared" si="61"/>
        <v>Pending</v>
      </c>
      <c r="K140" s="11" t="s">
        <v>42</v>
      </c>
      <c r="L140" s="13"/>
      <c r="M140" s="11"/>
      <c r="N140" s="11"/>
      <c r="O140" s="11"/>
      <c r="P140" s="11"/>
      <c r="Q140" s="6" t="str">
        <f t="shared" si="62"/>
        <v/>
      </c>
      <c r="R140" s="9" t="str">
        <f t="shared" si="63"/>
        <v/>
      </c>
      <c r="S140" s="11"/>
      <c r="T140" s="11"/>
      <c r="U140" s="11"/>
      <c r="V140" s="11"/>
      <c r="W140" s="6" t="str">
        <f t="shared" si="64"/>
        <v/>
      </c>
      <c r="X140" s="9" t="str">
        <f t="shared" si="65"/>
        <v/>
      </c>
      <c r="Y140" s="11"/>
      <c r="Z140" s="11"/>
      <c r="AA140" s="11"/>
      <c r="AB140" s="11"/>
      <c r="AC140" s="6" t="str">
        <f t="shared" si="66"/>
        <v/>
      </c>
      <c r="AD140" s="9" t="str">
        <f t="shared" si="67"/>
        <v/>
      </c>
      <c r="AE140" s="8" t="str">
        <f t="shared" si="68"/>
        <v/>
      </c>
      <c r="AF140" s="11"/>
      <c r="AG140" s="8" t="str">
        <f t="shared" si="69"/>
        <v/>
      </c>
      <c r="AH140" s="8" t="str">
        <f t="shared" si="70"/>
        <v/>
      </c>
      <c r="AI140" s="8" t="str">
        <f t="shared" si="71"/>
        <v/>
      </c>
      <c r="AJ140" s="9" t="str">
        <f t="shared" si="72"/>
        <v/>
      </c>
    </row>
    <row r="141" spans="1:36" ht="16.5" customHeight="1" x14ac:dyDescent="0.3">
      <c r="A141" s="10">
        <v>139</v>
      </c>
      <c r="B141" s="6" t="str">
        <f t="shared" si="59"/>
        <v/>
      </c>
      <c r="C141" s="6" t="str">
        <f t="shared" si="60"/>
        <v/>
      </c>
      <c r="D141" s="12"/>
      <c r="E141" s="10"/>
      <c r="F141" s="10"/>
      <c r="G141" s="10"/>
      <c r="H141" s="14"/>
      <c r="I141" s="14"/>
      <c r="J141" s="6" t="str">
        <f t="shared" si="61"/>
        <v>Pending</v>
      </c>
      <c r="K141" s="10" t="s">
        <v>42</v>
      </c>
      <c r="L141" s="12"/>
      <c r="M141" s="10"/>
      <c r="N141" s="10"/>
      <c r="O141" s="10"/>
      <c r="P141" s="10"/>
      <c r="Q141" s="6" t="str">
        <f t="shared" si="62"/>
        <v/>
      </c>
      <c r="R141" s="7" t="str">
        <f t="shared" si="63"/>
        <v/>
      </c>
      <c r="S141" s="10"/>
      <c r="T141" s="10"/>
      <c r="U141" s="10"/>
      <c r="V141" s="10"/>
      <c r="W141" s="6" t="str">
        <f t="shared" si="64"/>
        <v/>
      </c>
      <c r="X141" s="7" t="str">
        <f t="shared" si="65"/>
        <v/>
      </c>
      <c r="Y141" s="10"/>
      <c r="Z141" s="10"/>
      <c r="AA141" s="10"/>
      <c r="AB141" s="10"/>
      <c r="AC141" s="6" t="str">
        <f t="shared" si="66"/>
        <v/>
      </c>
      <c r="AD141" s="7" t="str">
        <f t="shared" si="67"/>
        <v/>
      </c>
      <c r="AE141" s="6" t="str">
        <f t="shared" si="68"/>
        <v/>
      </c>
      <c r="AF141" s="10"/>
      <c r="AG141" s="6" t="str">
        <f t="shared" si="69"/>
        <v/>
      </c>
      <c r="AH141" s="6" t="str">
        <f t="shared" si="70"/>
        <v/>
      </c>
      <c r="AI141" s="6" t="str">
        <f t="shared" si="71"/>
        <v/>
      </c>
      <c r="AJ141" s="7" t="str">
        <f t="shared" si="72"/>
        <v/>
      </c>
    </row>
    <row r="142" spans="1:36" ht="16.5" customHeight="1" x14ac:dyDescent="0.3">
      <c r="A142" s="11">
        <v>140</v>
      </c>
      <c r="B142" s="8" t="str">
        <f t="shared" si="59"/>
        <v/>
      </c>
      <c r="C142" s="8" t="str">
        <f t="shared" si="60"/>
        <v/>
      </c>
      <c r="D142" s="13"/>
      <c r="E142" s="11"/>
      <c r="F142" s="11"/>
      <c r="G142" s="11"/>
      <c r="H142" s="15"/>
      <c r="I142" s="15"/>
      <c r="J142" s="8" t="str">
        <f t="shared" si="61"/>
        <v>Pending</v>
      </c>
      <c r="K142" s="11" t="s">
        <v>42</v>
      </c>
      <c r="L142" s="13"/>
      <c r="M142" s="11"/>
      <c r="N142" s="11"/>
      <c r="O142" s="11"/>
      <c r="P142" s="11"/>
      <c r="Q142" s="6" t="str">
        <f t="shared" si="62"/>
        <v/>
      </c>
      <c r="R142" s="9" t="str">
        <f t="shared" si="63"/>
        <v/>
      </c>
      <c r="S142" s="11"/>
      <c r="T142" s="11"/>
      <c r="U142" s="11"/>
      <c r="V142" s="11"/>
      <c r="W142" s="6" t="str">
        <f t="shared" si="64"/>
        <v/>
      </c>
      <c r="X142" s="9" t="str">
        <f t="shared" si="65"/>
        <v/>
      </c>
      <c r="Y142" s="11"/>
      <c r="Z142" s="11"/>
      <c r="AA142" s="11"/>
      <c r="AB142" s="11"/>
      <c r="AC142" s="6" t="str">
        <f t="shared" si="66"/>
        <v/>
      </c>
      <c r="AD142" s="9" t="str">
        <f t="shared" si="67"/>
        <v/>
      </c>
      <c r="AE142" s="8" t="str">
        <f t="shared" si="68"/>
        <v/>
      </c>
      <c r="AF142" s="11"/>
      <c r="AG142" s="8" t="str">
        <f t="shared" si="69"/>
        <v/>
      </c>
      <c r="AH142" s="8" t="str">
        <f t="shared" si="70"/>
        <v/>
      </c>
      <c r="AI142" s="8" t="str">
        <f t="shared" si="71"/>
        <v/>
      </c>
      <c r="AJ142" s="9" t="str">
        <f t="shared" si="72"/>
        <v/>
      </c>
    </row>
    <row r="143" spans="1:36" ht="16.5" customHeight="1" x14ac:dyDescent="0.3">
      <c r="A143" s="10">
        <v>141</v>
      </c>
      <c r="B143" s="6" t="str">
        <f t="shared" si="59"/>
        <v/>
      </c>
      <c r="C143" s="6" t="str">
        <f t="shared" si="60"/>
        <v/>
      </c>
      <c r="D143" s="12"/>
      <c r="E143" s="10"/>
      <c r="F143" s="10"/>
      <c r="G143" s="10"/>
      <c r="H143" s="14"/>
      <c r="I143" s="14"/>
      <c r="J143" s="6" t="str">
        <f t="shared" si="61"/>
        <v>Pending</v>
      </c>
      <c r="K143" s="10" t="s">
        <v>42</v>
      </c>
      <c r="L143" s="12"/>
      <c r="M143" s="10"/>
      <c r="N143" s="10"/>
      <c r="O143" s="10"/>
      <c r="P143" s="10"/>
      <c r="Q143" s="6" t="str">
        <f t="shared" si="62"/>
        <v/>
      </c>
      <c r="R143" s="7" t="str">
        <f t="shared" si="63"/>
        <v/>
      </c>
      <c r="S143" s="10"/>
      <c r="T143" s="10"/>
      <c r="U143" s="10"/>
      <c r="V143" s="10"/>
      <c r="W143" s="6" t="str">
        <f t="shared" si="64"/>
        <v/>
      </c>
      <c r="X143" s="7" t="str">
        <f t="shared" si="65"/>
        <v/>
      </c>
      <c r="Y143" s="10"/>
      <c r="Z143" s="10"/>
      <c r="AA143" s="10"/>
      <c r="AB143" s="10"/>
      <c r="AC143" s="6" t="str">
        <f t="shared" si="66"/>
        <v/>
      </c>
      <c r="AD143" s="7" t="str">
        <f t="shared" si="67"/>
        <v/>
      </c>
      <c r="AE143" s="6" t="str">
        <f t="shared" si="68"/>
        <v/>
      </c>
      <c r="AF143" s="10"/>
      <c r="AG143" s="6" t="str">
        <f t="shared" si="69"/>
        <v/>
      </c>
      <c r="AH143" s="6" t="str">
        <f t="shared" si="70"/>
        <v/>
      </c>
      <c r="AI143" s="6" t="str">
        <f t="shared" si="71"/>
        <v/>
      </c>
      <c r="AJ143" s="7" t="str">
        <f t="shared" si="72"/>
        <v/>
      </c>
    </row>
    <row r="144" spans="1:36" ht="16.5" customHeight="1" x14ac:dyDescent="0.3">
      <c r="A144" s="11">
        <v>142</v>
      </c>
      <c r="B144" s="8" t="str">
        <f t="shared" si="59"/>
        <v/>
      </c>
      <c r="C144" s="8" t="str">
        <f t="shared" si="60"/>
        <v/>
      </c>
      <c r="D144" s="13"/>
      <c r="E144" s="11"/>
      <c r="F144" s="11"/>
      <c r="G144" s="11"/>
      <c r="H144" s="15"/>
      <c r="I144" s="15"/>
      <c r="J144" s="8" t="str">
        <f t="shared" si="61"/>
        <v>Pending</v>
      </c>
      <c r="K144" s="11" t="s">
        <v>42</v>
      </c>
      <c r="L144" s="13"/>
      <c r="M144" s="11"/>
      <c r="N144" s="11"/>
      <c r="O144" s="11"/>
      <c r="P144" s="11"/>
      <c r="Q144" s="6" t="str">
        <f t="shared" si="62"/>
        <v/>
      </c>
      <c r="R144" s="9" t="str">
        <f t="shared" si="63"/>
        <v/>
      </c>
      <c r="S144" s="11"/>
      <c r="T144" s="11"/>
      <c r="U144" s="11"/>
      <c r="V144" s="11"/>
      <c r="W144" s="6" t="str">
        <f t="shared" si="64"/>
        <v/>
      </c>
      <c r="X144" s="9" t="str">
        <f t="shared" si="65"/>
        <v/>
      </c>
      <c r="Y144" s="11"/>
      <c r="Z144" s="11"/>
      <c r="AA144" s="11"/>
      <c r="AB144" s="11"/>
      <c r="AC144" s="6" t="str">
        <f t="shared" si="66"/>
        <v/>
      </c>
      <c r="AD144" s="9" t="str">
        <f t="shared" si="67"/>
        <v/>
      </c>
      <c r="AE144" s="8" t="str">
        <f t="shared" si="68"/>
        <v/>
      </c>
      <c r="AF144" s="11"/>
      <c r="AG144" s="8" t="str">
        <f t="shared" si="69"/>
        <v/>
      </c>
      <c r="AH144" s="8" t="str">
        <f t="shared" si="70"/>
        <v/>
      </c>
      <c r="AI144" s="8" t="str">
        <f t="shared" si="71"/>
        <v/>
      </c>
      <c r="AJ144" s="9" t="str">
        <f t="shared" si="72"/>
        <v/>
      </c>
    </row>
    <row r="145" spans="1:36" ht="16.5" customHeight="1" x14ac:dyDescent="0.3">
      <c r="A145" s="10">
        <v>143</v>
      </c>
      <c r="B145" s="6" t="str">
        <f t="shared" si="59"/>
        <v/>
      </c>
      <c r="C145" s="6" t="str">
        <f t="shared" si="60"/>
        <v/>
      </c>
      <c r="D145" s="12"/>
      <c r="E145" s="10"/>
      <c r="F145" s="10"/>
      <c r="G145" s="10"/>
      <c r="H145" s="14"/>
      <c r="I145" s="14"/>
      <c r="J145" s="6" t="str">
        <f t="shared" si="61"/>
        <v>Pending</v>
      </c>
      <c r="K145" s="10" t="s">
        <v>42</v>
      </c>
      <c r="L145" s="12"/>
      <c r="M145" s="10"/>
      <c r="N145" s="10"/>
      <c r="O145" s="10"/>
      <c r="P145" s="10"/>
      <c r="Q145" s="6" t="str">
        <f t="shared" si="62"/>
        <v/>
      </c>
      <c r="R145" s="7" t="str">
        <f t="shared" si="63"/>
        <v/>
      </c>
      <c r="S145" s="10"/>
      <c r="T145" s="10"/>
      <c r="U145" s="10"/>
      <c r="V145" s="10"/>
      <c r="W145" s="6" t="str">
        <f t="shared" si="64"/>
        <v/>
      </c>
      <c r="X145" s="7" t="str">
        <f t="shared" si="65"/>
        <v/>
      </c>
      <c r="Y145" s="10"/>
      <c r="Z145" s="10"/>
      <c r="AA145" s="10"/>
      <c r="AB145" s="10"/>
      <c r="AC145" s="6" t="str">
        <f t="shared" si="66"/>
        <v/>
      </c>
      <c r="AD145" s="7" t="str">
        <f t="shared" si="67"/>
        <v/>
      </c>
      <c r="AE145" s="6" t="str">
        <f t="shared" si="68"/>
        <v/>
      </c>
      <c r="AF145" s="10"/>
      <c r="AG145" s="6" t="str">
        <f t="shared" si="69"/>
        <v/>
      </c>
      <c r="AH145" s="6" t="str">
        <f t="shared" si="70"/>
        <v/>
      </c>
      <c r="AI145" s="6" t="str">
        <f t="shared" si="71"/>
        <v/>
      </c>
      <c r="AJ145" s="7" t="str">
        <f t="shared" si="72"/>
        <v/>
      </c>
    </row>
    <row r="146" spans="1:36" ht="16.5" customHeight="1" x14ac:dyDescent="0.3">
      <c r="A146" s="11">
        <v>144</v>
      </c>
      <c r="B146" s="8" t="str">
        <f t="shared" si="59"/>
        <v/>
      </c>
      <c r="C146" s="8" t="str">
        <f t="shared" si="60"/>
        <v/>
      </c>
      <c r="D146" s="13"/>
      <c r="E146" s="11"/>
      <c r="F146" s="11"/>
      <c r="G146" s="11"/>
      <c r="H146" s="15"/>
      <c r="I146" s="15"/>
      <c r="J146" s="8" t="str">
        <f t="shared" si="61"/>
        <v>Pending</v>
      </c>
      <c r="K146" s="11" t="s">
        <v>42</v>
      </c>
      <c r="L146" s="13"/>
      <c r="M146" s="11"/>
      <c r="N146" s="11"/>
      <c r="O146" s="11"/>
      <c r="P146" s="11"/>
      <c r="Q146" s="6" t="str">
        <f t="shared" si="62"/>
        <v/>
      </c>
      <c r="R146" s="9" t="str">
        <f t="shared" si="63"/>
        <v/>
      </c>
      <c r="S146" s="11"/>
      <c r="T146" s="11"/>
      <c r="U146" s="11"/>
      <c r="V146" s="11"/>
      <c r="W146" s="6" t="str">
        <f t="shared" si="64"/>
        <v/>
      </c>
      <c r="X146" s="9" t="str">
        <f t="shared" si="65"/>
        <v/>
      </c>
      <c r="Y146" s="11"/>
      <c r="Z146" s="11"/>
      <c r="AA146" s="11"/>
      <c r="AB146" s="11"/>
      <c r="AC146" s="6" t="str">
        <f t="shared" si="66"/>
        <v/>
      </c>
      <c r="AD146" s="9" t="str">
        <f t="shared" si="67"/>
        <v/>
      </c>
      <c r="AE146" s="8" t="str">
        <f t="shared" si="68"/>
        <v/>
      </c>
      <c r="AF146" s="11"/>
      <c r="AG146" s="8" t="str">
        <f t="shared" si="69"/>
        <v/>
      </c>
      <c r="AH146" s="8" t="str">
        <f t="shared" si="70"/>
        <v/>
      </c>
      <c r="AI146" s="8" t="str">
        <f t="shared" si="71"/>
        <v/>
      </c>
      <c r="AJ146" s="9" t="str">
        <f t="shared" si="72"/>
        <v/>
      </c>
    </row>
    <row r="147" spans="1:36" ht="16.5" customHeight="1" x14ac:dyDescent="0.3">
      <c r="A147" s="10">
        <v>145</v>
      </c>
      <c r="B147" s="6" t="str">
        <f t="shared" si="59"/>
        <v/>
      </c>
      <c r="C147" s="6" t="str">
        <f t="shared" si="60"/>
        <v/>
      </c>
      <c r="D147" s="12"/>
      <c r="E147" s="10"/>
      <c r="F147" s="10"/>
      <c r="G147" s="10"/>
      <c r="H147" s="14"/>
      <c r="I147" s="14"/>
      <c r="J147" s="6" t="str">
        <f t="shared" si="61"/>
        <v>Pending</v>
      </c>
      <c r="K147" s="10" t="s">
        <v>42</v>
      </c>
      <c r="L147" s="12"/>
      <c r="M147" s="10"/>
      <c r="N147" s="10"/>
      <c r="O147" s="10"/>
      <c r="P147" s="10"/>
      <c r="Q147" s="6" t="str">
        <f t="shared" si="62"/>
        <v/>
      </c>
      <c r="R147" s="7" t="str">
        <f t="shared" si="63"/>
        <v/>
      </c>
      <c r="S147" s="10"/>
      <c r="T147" s="10"/>
      <c r="U147" s="10"/>
      <c r="V147" s="10"/>
      <c r="W147" s="6" t="str">
        <f t="shared" si="64"/>
        <v/>
      </c>
      <c r="X147" s="7" t="str">
        <f t="shared" si="65"/>
        <v/>
      </c>
      <c r="Y147" s="10"/>
      <c r="Z147" s="10"/>
      <c r="AA147" s="10"/>
      <c r="AB147" s="10"/>
      <c r="AC147" s="6" t="str">
        <f t="shared" si="66"/>
        <v/>
      </c>
      <c r="AD147" s="7" t="str">
        <f t="shared" si="67"/>
        <v/>
      </c>
      <c r="AE147" s="6" t="str">
        <f t="shared" si="68"/>
        <v/>
      </c>
      <c r="AF147" s="10"/>
      <c r="AG147" s="6" t="str">
        <f t="shared" si="69"/>
        <v/>
      </c>
      <c r="AH147" s="6" t="str">
        <f t="shared" si="70"/>
        <v/>
      </c>
      <c r="AI147" s="6" t="str">
        <f t="shared" si="71"/>
        <v/>
      </c>
      <c r="AJ147" s="7" t="str">
        <f t="shared" si="72"/>
        <v/>
      </c>
    </row>
    <row r="148" spans="1:36" ht="16.5" customHeight="1" x14ac:dyDescent="0.3">
      <c r="A148" s="11">
        <v>146</v>
      </c>
      <c r="B148" s="8" t="str">
        <f t="shared" si="59"/>
        <v/>
      </c>
      <c r="C148" s="8" t="str">
        <f t="shared" si="60"/>
        <v/>
      </c>
      <c r="D148" s="13"/>
      <c r="E148" s="11"/>
      <c r="F148" s="11"/>
      <c r="G148" s="11"/>
      <c r="H148" s="15"/>
      <c r="I148" s="15"/>
      <c r="J148" s="8" t="str">
        <f t="shared" si="61"/>
        <v>Pending</v>
      </c>
      <c r="K148" s="11" t="s">
        <v>42</v>
      </c>
      <c r="L148" s="13"/>
      <c r="M148" s="11"/>
      <c r="N148" s="11"/>
      <c r="O148" s="11"/>
      <c r="P148" s="11"/>
      <c r="Q148" s="6" t="str">
        <f t="shared" si="62"/>
        <v/>
      </c>
      <c r="R148" s="9" t="str">
        <f t="shared" si="63"/>
        <v/>
      </c>
      <c r="S148" s="11"/>
      <c r="T148" s="11"/>
      <c r="U148" s="11"/>
      <c r="V148" s="11"/>
      <c r="W148" s="6" t="str">
        <f t="shared" si="64"/>
        <v/>
      </c>
      <c r="X148" s="9" t="str">
        <f t="shared" si="65"/>
        <v/>
      </c>
      <c r="Y148" s="11"/>
      <c r="Z148" s="11"/>
      <c r="AA148" s="11"/>
      <c r="AB148" s="11"/>
      <c r="AC148" s="6" t="str">
        <f t="shared" si="66"/>
        <v/>
      </c>
      <c r="AD148" s="9" t="str">
        <f t="shared" si="67"/>
        <v/>
      </c>
      <c r="AE148" s="8" t="str">
        <f t="shared" si="68"/>
        <v/>
      </c>
      <c r="AF148" s="11"/>
      <c r="AG148" s="8" t="str">
        <f t="shared" si="69"/>
        <v/>
      </c>
      <c r="AH148" s="8" t="str">
        <f t="shared" si="70"/>
        <v/>
      </c>
      <c r="AI148" s="8" t="str">
        <f t="shared" si="71"/>
        <v/>
      </c>
      <c r="AJ148" s="9" t="str">
        <f t="shared" si="72"/>
        <v/>
      </c>
    </row>
    <row r="149" spans="1:36" ht="16.5" customHeight="1" x14ac:dyDescent="0.3">
      <c r="A149" s="10">
        <v>147</v>
      </c>
      <c r="B149" s="6" t="str">
        <f t="shared" si="59"/>
        <v/>
      </c>
      <c r="C149" s="6" t="str">
        <f t="shared" si="60"/>
        <v/>
      </c>
      <c r="D149" s="12"/>
      <c r="E149" s="10"/>
      <c r="F149" s="10"/>
      <c r="G149" s="10"/>
      <c r="H149" s="14"/>
      <c r="I149" s="14"/>
      <c r="J149" s="6" t="str">
        <f t="shared" si="61"/>
        <v>Pending</v>
      </c>
      <c r="K149" s="10" t="s">
        <v>42</v>
      </c>
      <c r="L149" s="12"/>
      <c r="M149" s="10"/>
      <c r="N149" s="10"/>
      <c r="O149" s="10"/>
      <c r="P149" s="10"/>
      <c r="Q149" s="6" t="str">
        <f t="shared" si="62"/>
        <v/>
      </c>
      <c r="R149" s="7" t="str">
        <f t="shared" si="63"/>
        <v/>
      </c>
      <c r="S149" s="10"/>
      <c r="T149" s="10"/>
      <c r="U149" s="10"/>
      <c r="V149" s="10"/>
      <c r="W149" s="6" t="str">
        <f t="shared" si="64"/>
        <v/>
      </c>
      <c r="X149" s="7" t="str">
        <f t="shared" si="65"/>
        <v/>
      </c>
      <c r="Y149" s="10"/>
      <c r="Z149" s="10"/>
      <c r="AA149" s="10"/>
      <c r="AB149" s="10"/>
      <c r="AC149" s="6" t="str">
        <f t="shared" si="66"/>
        <v/>
      </c>
      <c r="AD149" s="7" t="str">
        <f t="shared" si="67"/>
        <v/>
      </c>
      <c r="AE149" s="6" t="str">
        <f t="shared" si="68"/>
        <v/>
      </c>
      <c r="AF149" s="10"/>
      <c r="AG149" s="6" t="str">
        <f t="shared" si="69"/>
        <v/>
      </c>
      <c r="AH149" s="6" t="str">
        <f t="shared" si="70"/>
        <v/>
      </c>
      <c r="AI149" s="6" t="str">
        <f t="shared" si="71"/>
        <v/>
      </c>
      <c r="AJ149" s="7" t="str">
        <f t="shared" si="72"/>
        <v/>
      </c>
    </row>
    <row r="150" spans="1:36" ht="16.5" customHeight="1" x14ac:dyDescent="0.3">
      <c r="A150" s="11">
        <v>148</v>
      </c>
      <c r="B150" s="8" t="str">
        <f t="shared" si="59"/>
        <v/>
      </c>
      <c r="C150" s="8" t="str">
        <f t="shared" si="60"/>
        <v/>
      </c>
      <c r="D150" s="13"/>
      <c r="E150" s="11"/>
      <c r="F150" s="11"/>
      <c r="G150" s="11"/>
      <c r="H150" s="15"/>
      <c r="I150" s="15"/>
      <c r="J150" s="8" t="str">
        <f t="shared" si="61"/>
        <v>Pending</v>
      </c>
      <c r="K150" s="11" t="s">
        <v>42</v>
      </c>
      <c r="L150" s="13"/>
      <c r="M150" s="11"/>
      <c r="N150" s="11"/>
      <c r="O150" s="11"/>
      <c r="P150" s="11"/>
      <c r="Q150" s="6" t="str">
        <f t="shared" si="62"/>
        <v/>
      </c>
      <c r="R150" s="9" t="str">
        <f t="shared" si="63"/>
        <v/>
      </c>
      <c r="S150" s="11"/>
      <c r="T150" s="11"/>
      <c r="U150" s="11"/>
      <c r="V150" s="11"/>
      <c r="W150" s="6" t="str">
        <f t="shared" si="64"/>
        <v/>
      </c>
      <c r="X150" s="9" t="str">
        <f t="shared" si="65"/>
        <v/>
      </c>
      <c r="Y150" s="11"/>
      <c r="Z150" s="11"/>
      <c r="AA150" s="11"/>
      <c r="AB150" s="11"/>
      <c r="AC150" s="6" t="str">
        <f t="shared" si="66"/>
        <v/>
      </c>
      <c r="AD150" s="9" t="str">
        <f t="shared" si="67"/>
        <v/>
      </c>
      <c r="AE150" s="8" t="str">
        <f t="shared" si="68"/>
        <v/>
      </c>
      <c r="AF150" s="11"/>
      <c r="AG150" s="8" t="str">
        <f t="shared" si="69"/>
        <v/>
      </c>
      <c r="AH150" s="8" t="str">
        <f t="shared" si="70"/>
        <v/>
      </c>
      <c r="AI150" s="8" t="str">
        <f t="shared" si="71"/>
        <v/>
      </c>
      <c r="AJ150" s="9" t="str">
        <f t="shared" si="72"/>
        <v/>
      </c>
    </row>
    <row r="151" spans="1:36" ht="16.5" customHeight="1" x14ac:dyDescent="0.3">
      <c r="A151" s="10">
        <v>149</v>
      </c>
      <c r="B151" s="6" t="str">
        <f t="shared" si="59"/>
        <v/>
      </c>
      <c r="C151" s="6" t="str">
        <f t="shared" si="60"/>
        <v/>
      </c>
      <c r="D151" s="12"/>
      <c r="E151" s="10"/>
      <c r="F151" s="10"/>
      <c r="G151" s="10"/>
      <c r="H151" s="14"/>
      <c r="I151" s="14"/>
      <c r="J151" s="6" t="str">
        <f t="shared" si="61"/>
        <v>Pending</v>
      </c>
      <c r="K151" s="10" t="s">
        <v>42</v>
      </c>
      <c r="L151" s="12"/>
      <c r="M151" s="10"/>
      <c r="N151" s="10"/>
      <c r="O151" s="10"/>
      <c r="P151" s="10"/>
      <c r="Q151" s="6" t="str">
        <f t="shared" si="62"/>
        <v/>
      </c>
      <c r="R151" s="7" t="str">
        <f t="shared" si="63"/>
        <v/>
      </c>
      <c r="S151" s="10"/>
      <c r="T151" s="10"/>
      <c r="U151" s="10"/>
      <c r="V151" s="10"/>
      <c r="W151" s="6" t="str">
        <f t="shared" si="64"/>
        <v/>
      </c>
      <c r="X151" s="7" t="str">
        <f t="shared" si="65"/>
        <v/>
      </c>
      <c r="Y151" s="10"/>
      <c r="Z151" s="10"/>
      <c r="AA151" s="10"/>
      <c r="AB151" s="10"/>
      <c r="AC151" s="6" t="str">
        <f t="shared" si="66"/>
        <v/>
      </c>
      <c r="AD151" s="7" t="str">
        <f t="shared" si="67"/>
        <v/>
      </c>
      <c r="AE151" s="6" t="str">
        <f t="shared" si="68"/>
        <v/>
      </c>
      <c r="AF151" s="10"/>
      <c r="AG151" s="6" t="str">
        <f t="shared" si="69"/>
        <v/>
      </c>
      <c r="AH151" s="6" t="str">
        <f t="shared" si="70"/>
        <v/>
      </c>
      <c r="AI151" s="6" t="str">
        <f t="shared" si="71"/>
        <v/>
      </c>
      <c r="AJ151" s="7" t="str">
        <f t="shared" si="72"/>
        <v/>
      </c>
    </row>
    <row r="152" spans="1:36" ht="16.5" customHeight="1" x14ac:dyDescent="0.3">
      <c r="A152" s="11">
        <v>150</v>
      </c>
      <c r="B152" s="8" t="str">
        <f t="shared" si="59"/>
        <v/>
      </c>
      <c r="C152" s="8" t="str">
        <f t="shared" si="60"/>
        <v/>
      </c>
      <c r="D152" s="13"/>
      <c r="E152" s="11"/>
      <c r="F152" s="11"/>
      <c r="G152" s="11"/>
      <c r="H152" s="15"/>
      <c r="I152" s="15"/>
      <c r="J152" s="8" t="str">
        <f t="shared" si="61"/>
        <v>Pending</v>
      </c>
      <c r="K152" s="11" t="s">
        <v>42</v>
      </c>
      <c r="L152" s="13"/>
      <c r="M152" s="11"/>
      <c r="N152" s="11"/>
      <c r="O152" s="11"/>
      <c r="P152" s="11"/>
      <c r="Q152" s="6" t="str">
        <f t="shared" si="62"/>
        <v/>
      </c>
      <c r="R152" s="9" t="str">
        <f t="shared" si="63"/>
        <v/>
      </c>
      <c r="S152" s="11"/>
      <c r="T152" s="11"/>
      <c r="U152" s="11"/>
      <c r="V152" s="11"/>
      <c r="W152" s="6" t="str">
        <f t="shared" si="64"/>
        <v/>
      </c>
      <c r="X152" s="9" t="str">
        <f t="shared" si="65"/>
        <v/>
      </c>
      <c r="Y152" s="11"/>
      <c r="Z152" s="11"/>
      <c r="AA152" s="11"/>
      <c r="AB152" s="11"/>
      <c r="AC152" s="6" t="str">
        <f t="shared" si="66"/>
        <v/>
      </c>
      <c r="AD152" s="9" t="str">
        <f t="shared" si="67"/>
        <v/>
      </c>
      <c r="AE152" s="8" t="str">
        <f t="shared" si="68"/>
        <v/>
      </c>
      <c r="AF152" s="11"/>
      <c r="AG152" s="8" t="str">
        <f t="shared" si="69"/>
        <v/>
      </c>
      <c r="AH152" s="8" t="str">
        <f t="shared" si="70"/>
        <v/>
      </c>
      <c r="AI152" s="8" t="str">
        <f t="shared" si="71"/>
        <v/>
      </c>
      <c r="AJ152" s="9" t="str">
        <f t="shared" si="72"/>
        <v/>
      </c>
    </row>
    <row r="154" spans="1:36" ht="12.75" customHeight="1" x14ac:dyDescent="0.3">
      <c r="A154" s="129" t="s">
        <v>142</v>
      </c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29"/>
      <c r="AH154" s="129"/>
      <c r="AI154" s="129"/>
      <c r="AJ154" s="129"/>
    </row>
  </sheetData>
  <sheetProtection sheet="1" scenarios="1" sort="0" autoFilter="0"/>
  <mergeCells count="2">
    <mergeCell ref="A1:AJ1"/>
    <mergeCell ref="A154:AJ154"/>
  </mergeCells>
  <conditionalFormatting sqref="A3:L152">
    <cfRule type="expression" dxfId="93" priority="33" stopIfTrue="1">
      <formula>$J3="Pending"</formula>
    </cfRule>
  </conditionalFormatting>
  <conditionalFormatting sqref="K3:K152">
    <cfRule type="expression" dxfId="92" priority="34" stopIfTrue="1">
      <formula>AND($J3="Completed",$K3&lt;&gt;"Yes")</formula>
    </cfRule>
  </conditionalFormatting>
  <conditionalFormatting sqref="M3:M152">
    <cfRule type="expression" dxfId="91" priority="135" stopIfTrue="1">
      <formula>AND(M3&lt;&gt;"",M3=MAX($M$3:$M$152))</formula>
    </cfRule>
    <cfRule type="expression" dxfId="90" priority="136" stopIfTrue="1">
      <formula>AND(M3&lt;&gt;"",M3=MIN($M$3:$M$152))</formula>
    </cfRule>
    <cfRule type="expression" dxfId="89" priority="137" stopIfTrue="1">
      <formula>AND(M3&lt;&gt;"",M3&gt;=AVERAGE($M$3:$M$152)+STDEV($M$3:$M$152))</formula>
    </cfRule>
    <cfRule type="expression" dxfId="88" priority="138" stopIfTrue="1">
      <formula>AND(M3&lt;&gt;"",M3&lt;=AVERAGE($M$3:$M$152)-STDEV($M$3:$M$152))</formula>
    </cfRule>
    <cfRule type="expression" dxfId="87" priority="139" stopIfTrue="1">
      <formula>AND(M3&lt;&gt;"",M3&gt;MEDIAN($M$3:$M$152))</formula>
    </cfRule>
    <cfRule type="expression" dxfId="86" priority="140" stopIfTrue="1">
      <formula>AND(M3&lt;&gt;"",M3&lt;MEDIAN($M$3:$M$152))</formula>
    </cfRule>
    <cfRule type="expression" dxfId="85" priority="141" stopIfTrue="1">
      <formula>M3&lt;&gt;""</formula>
    </cfRule>
  </conditionalFormatting>
  <conditionalFormatting sqref="N3:N152">
    <cfRule type="expression" dxfId="84" priority="163" stopIfTrue="1">
      <formula>AND(N3&lt;&gt;"",N3=MAX($N$3:$N$152))</formula>
    </cfRule>
    <cfRule type="expression" dxfId="83" priority="164" stopIfTrue="1">
      <formula>AND(N3&lt;&gt;"",N3=MIN($N$3:$N$152))</formula>
    </cfRule>
    <cfRule type="expression" dxfId="82" priority="165" stopIfTrue="1">
      <formula>AND(N3&lt;&gt;"",N3&gt;=AVERAGE($N$3:$N$152)+STDEV($N$3:$N$152))</formula>
    </cfRule>
    <cfRule type="expression" dxfId="81" priority="166" stopIfTrue="1">
      <formula>AND(N3&lt;&gt;"",N3&lt;=AVERAGE($N$3:$N$152)-STDEV($N$3:$N$152))</formula>
    </cfRule>
    <cfRule type="expression" dxfId="80" priority="167" stopIfTrue="1">
      <formula>AND(N3&lt;&gt;"",N3&gt;MEDIAN($N$3:$N$152))</formula>
    </cfRule>
    <cfRule type="expression" dxfId="79" priority="168" stopIfTrue="1">
      <formula>AND(N3&lt;&gt;"",N3&lt;MEDIAN($N$3:$N$152))</formula>
    </cfRule>
    <cfRule type="expression" dxfId="78" priority="169" stopIfTrue="1">
      <formula>N3&lt;&gt;""</formula>
    </cfRule>
  </conditionalFormatting>
  <conditionalFormatting sqref="R3:R152">
    <cfRule type="expression" dxfId="77" priority="197" stopIfTrue="1">
      <formula>R3&lt;&gt;""</formula>
    </cfRule>
    <cfRule type="expression" dxfId="76" priority="196" stopIfTrue="1">
      <formula>AND(R3&lt;&gt;"",R3&lt;MEDIAN($R$3:$R$152))</formula>
    </cfRule>
    <cfRule type="expression" dxfId="75" priority="195" stopIfTrue="1">
      <formula>AND(R3&lt;&gt;"",R3&gt;MEDIAN($R$3:$R$152))</formula>
    </cfRule>
    <cfRule type="expression" dxfId="74" priority="194" stopIfTrue="1">
      <formula>AND(R3&lt;&gt;"",R3&lt;=AVERAGE($R$3:$R$152)-STDEV($R$3:$R$152))</formula>
    </cfRule>
    <cfRule type="expression" dxfId="73" priority="193" stopIfTrue="1">
      <formula>AND(R3&lt;&gt;"",R3&gt;=AVERAGE($R$3:$R$152)+STDEV($R$3:$R$152))</formula>
    </cfRule>
    <cfRule type="expression" dxfId="72" priority="192" stopIfTrue="1">
      <formula>AND(R3&lt;&gt;"",R3=MIN($R$3:$R$152))</formula>
    </cfRule>
    <cfRule type="expression" dxfId="71" priority="191" stopIfTrue="1">
      <formula>AND(R3&lt;&gt;"",R3=MAX($R$3:$R$152))</formula>
    </cfRule>
  </conditionalFormatting>
  <conditionalFormatting sqref="S3:S152">
    <cfRule type="expression" dxfId="70" priority="142" stopIfTrue="1">
      <formula>AND(S3&lt;&gt;"",S3=MAX($S$3:$S$152))</formula>
    </cfRule>
    <cfRule type="expression" dxfId="69" priority="143" stopIfTrue="1">
      <formula>AND(S3&lt;&gt;"",S3=MIN($S$3:$S$152))</formula>
    </cfRule>
    <cfRule type="expression" dxfId="68" priority="144" stopIfTrue="1">
      <formula>AND(S3&lt;&gt;"",S3&gt;=AVERAGE($S$3:$S$152)+STDEV($S$3:$S$152))</formula>
    </cfRule>
    <cfRule type="expression" dxfId="67" priority="145" stopIfTrue="1">
      <formula>AND(S3&lt;&gt;"",S3&lt;=AVERAGE($S$3:$S$152)-STDEV($S$3:$S$152))</formula>
    </cfRule>
    <cfRule type="expression" dxfId="66" priority="146" stopIfTrue="1">
      <formula>AND(S3&lt;&gt;"",S3&gt;MEDIAN($S$3:$S$152))</formula>
    </cfRule>
    <cfRule type="expression" dxfId="65" priority="147" stopIfTrue="1">
      <formula>AND(S3&lt;&gt;"",S3&lt;MEDIAN($S$3:$S$152))</formula>
    </cfRule>
    <cfRule type="expression" dxfId="64" priority="148" stopIfTrue="1">
      <formula>S3&lt;&gt;""</formula>
    </cfRule>
  </conditionalFormatting>
  <conditionalFormatting sqref="T3:T152">
    <cfRule type="expression" dxfId="63" priority="170" stopIfTrue="1">
      <formula>AND(T3&lt;&gt;"",T3=MAX($T$3:$T$152))</formula>
    </cfRule>
    <cfRule type="expression" dxfId="62" priority="171" stopIfTrue="1">
      <formula>AND(T3&lt;&gt;"",T3=MIN($T$3:$T$152))</formula>
    </cfRule>
    <cfRule type="expression" dxfId="61" priority="172" stopIfTrue="1">
      <formula>AND(T3&lt;&gt;"",T3&gt;=AVERAGE($T$3:$T$152)+STDEV($T$3:$T$152))</formula>
    </cfRule>
    <cfRule type="expression" dxfId="60" priority="173" stopIfTrue="1">
      <formula>AND(T3&lt;&gt;"",T3&lt;=AVERAGE($T$3:$T$152)-STDEV($T$3:$T$152))</formula>
    </cfRule>
    <cfRule type="expression" dxfId="59" priority="174" stopIfTrue="1">
      <formula>AND(T3&lt;&gt;"",T3&gt;MEDIAN($T$3:$T$152))</formula>
    </cfRule>
    <cfRule type="expression" dxfId="58" priority="175" stopIfTrue="1">
      <formula>AND(T3&lt;&gt;"",T3&lt;MEDIAN($T$3:$T$152))</formula>
    </cfRule>
    <cfRule type="expression" dxfId="57" priority="176" stopIfTrue="1">
      <formula>T3&lt;&gt;""</formula>
    </cfRule>
  </conditionalFormatting>
  <conditionalFormatting sqref="X3:X152">
    <cfRule type="expression" dxfId="56" priority="204" stopIfTrue="1">
      <formula>X3&lt;&gt;""</formula>
    </cfRule>
    <cfRule type="expression" dxfId="55" priority="203" stopIfTrue="1">
      <formula>AND(X3&lt;&gt;"",X3&lt;MEDIAN($X$3:$X$152))</formula>
    </cfRule>
    <cfRule type="expression" dxfId="54" priority="202" stopIfTrue="1">
      <formula>AND(X3&lt;&gt;"",X3&gt;MEDIAN($X$3:$X$152))</formula>
    </cfRule>
    <cfRule type="expression" dxfId="53" priority="201" stopIfTrue="1">
      <formula>AND(X3&lt;&gt;"",X3&lt;=AVERAGE($X$3:$X$152)-STDEV($X$3:$X$152))</formula>
    </cfRule>
    <cfRule type="expression" dxfId="52" priority="200" stopIfTrue="1">
      <formula>AND(X3&lt;&gt;"",X3&gt;=AVERAGE($X$3:$X$152)+STDEV($X$3:$X$152))</formula>
    </cfRule>
    <cfRule type="expression" dxfId="51" priority="199" stopIfTrue="1">
      <formula>AND(X3&lt;&gt;"",X3=MIN($X$3:$X$152))</formula>
    </cfRule>
    <cfRule type="expression" dxfId="50" priority="198" stopIfTrue="1">
      <formula>AND(X3&lt;&gt;"",X3=MAX($X$3:$X$152))</formula>
    </cfRule>
  </conditionalFormatting>
  <conditionalFormatting sqref="Y3:Y152">
    <cfRule type="expression" dxfId="49" priority="149" stopIfTrue="1">
      <formula>AND(Y3&lt;&gt;"",Y3=MAX($Y$3:$Y$152))</formula>
    </cfRule>
    <cfRule type="expression" dxfId="48" priority="150" stopIfTrue="1">
      <formula>AND(Y3&lt;&gt;"",Y3=MIN($Y$3:$Y$152))</formula>
    </cfRule>
    <cfRule type="expression" dxfId="47" priority="151" stopIfTrue="1">
      <formula>AND(Y3&lt;&gt;"",Y3&gt;=AVERAGE($Y$3:$Y$152)+STDEV($Y$3:$Y$152))</formula>
    </cfRule>
    <cfRule type="expression" dxfId="46" priority="152" stopIfTrue="1">
      <formula>AND(Y3&lt;&gt;"",Y3&lt;=AVERAGE($Y$3:$Y$152)-STDEV($Y$3:$Y$152))</formula>
    </cfRule>
    <cfRule type="expression" dxfId="45" priority="153" stopIfTrue="1">
      <formula>AND(Y3&lt;&gt;"",Y3&gt;MEDIAN($Y$3:$Y$152))</formula>
    </cfRule>
    <cfRule type="expression" dxfId="44" priority="154" stopIfTrue="1">
      <formula>AND(Y3&lt;&gt;"",Y3&lt;MEDIAN($Y$3:$Y$152))</formula>
    </cfRule>
    <cfRule type="expression" dxfId="43" priority="155" stopIfTrue="1">
      <formula>Y3&lt;&gt;""</formula>
    </cfRule>
  </conditionalFormatting>
  <conditionalFormatting sqref="Z3:Z152">
    <cfRule type="expression" dxfId="42" priority="177" stopIfTrue="1">
      <formula>AND(Z3&lt;&gt;"",Z3=MAX($Z$3:$Z$152))</formula>
    </cfRule>
    <cfRule type="expression" dxfId="41" priority="178" stopIfTrue="1">
      <formula>AND(Z3&lt;&gt;"",Z3=MIN($Z$3:$Z$152))</formula>
    </cfRule>
    <cfRule type="expression" dxfId="40" priority="179" stopIfTrue="1">
      <formula>AND(Z3&lt;&gt;"",Z3&gt;=AVERAGE($Z$3:$Z$152)+STDEV($Z$3:$Z$152))</formula>
    </cfRule>
    <cfRule type="expression" dxfId="39" priority="180" stopIfTrue="1">
      <formula>AND(Z3&lt;&gt;"",Z3&lt;=AVERAGE($Z$3:$Z$152)-STDEV($Z$3:$Z$152))</formula>
    </cfRule>
    <cfRule type="expression" dxfId="38" priority="181" stopIfTrue="1">
      <formula>AND(Z3&lt;&gt;"",Z3&gt;MEDIAN($Z$3:$Z$152))</formula>
    </cfRule>
    <cfRule type="expression" dxfId="37" priority="182" stopIfTrue="1">
      <formula>AND(Z3&lt;&gt;"",Z3&lt;MEDIAN($Z$3:$Z$152))</formula>
    </cfRule>
    <cfRule type="expression" dxfId="36" priority="183" stopIfTrue="1">
      <formula>Z3&lt;&gt;""</formula>
    </cfRule>
  </conditionalFormatting>
  <conditionalFormatting sqref="AD3:AD152">
    <cfRule type="expression" dxfId="35" priority="205" stopIfTrue="1">
      <formula>AND(AD3&lt;&gt;"",AD3=MAX($AD$3:$AD$152))</formula>
    </cfRule>
    <cfRule type="expression" dxfId="34" priority="206" stopIfTrue="1">
      <formula>AND(AD3&lt;&gt;"",AD3=MIN($AD$3:$AD$152))</formula>
    </cfRule>
    <cfRule type="expression" dxfId="33" priority="207" stopIfTrue="1">
      <formula>AND(AD3&lt;&gt;"",AD3&gt;=AVERAGE($AD$3:$AD$152)+STDEV($AD$3:$AD$152))</formula>
    </cfRule>
    <cfRule type="expression" dxfId="32" priority="208" stopIfTrue="1">
      <formula>AND(AD3&lt;&gt;"",AD3&lt;=AVERAGE($AD$3:$AD$152)-STDEV($AD$3:$AD$152))</formula>
    </cfRule>
    <cfRule type="expression" dxfId="31" priority="209" stopIfTrue="1">
      <formula>AND(AD3&lt;&gt;"",AD3&gt;MEDIAN($AD$3:$AD$152))</formula>
    </cfRule>
    <cfRule type="expression" dxfId="30" priority="210" stopIfTrue="1">
      <formula>AND(AD3&lt;&gt;"",AD3&lt;MEDIAN($AD$3:$AD$152))</formula>
    </cfRule>
    <cfRule type="expression" dxfId="29" priority="211" stopIfTrue="1">
      <formula>AD3&lt;&gt;""</formula>
    </cfRule>
  </conditionalFormatting>
  <conditionalFormatting sqref="AE3:AE152">
    <cfRule type="expression" dxfId="28" priority="162" stopIfTrue="1">
      <formula>AE3&lt;&gt;""</formula>
    </cfRule>
    <cfRule type="expression" dxfId="27" priority="161" stopIfTrue="1">
      <formula>AND(AE3&lt;&gt;"",AE3&lt;MEDIAN($AE$3:$AE$152))</formula>
    </cfRule>
    <cfRule type="expression" dxfId="26" priority="160" stopIfTrue="1">
      <formula>AND(AE3&lt;&gt;"",AE3&gt;MEDIAN($AE$3:$AE$152))</formula>
    </cfRule>
    <cfRule type="expression" dxfId="25" priority="159" stopIfTrue="1">
      <formula>AND(AE3&lt;&gt;"",AE3&lt;=AVERAGE($AE$3:$AE$152)-STDEV($AE$3:$AE$152))</formula>
    </cfRule>
    <cfRule type="expression" dxfId="24" priority="158" stopIfTrue="1">
      <formula>AND(AE3&lt;&gt;"",AE3&gt;=AVERAGE($AE$3:$AE$152)+STDEV($AE$3:$AE$152))</formula>
    </cfRule>
    <cfRule type="expression" dxfId="23" priority="157" stopIfTrue="1">
      <formula>AND(AE3&lt;&gt;"",AE3=MIN($AE$3:$AE$152))</formula>
    </cfRule>
    <cfRule type="expression" dxfId="22" priority="156" stopIfTrue="1">
      <formula>AND(AE3&lt;&gt;"",AE3=MAX($AE$3:$AE$152))</formula>
    </cfRule>
  </conditionalFormatting>
  <conditionalFormatting sqref="AF3:AF152">
    <cfRule type="expression" dxfId="21" priority="190" stopIfTrue="1">
      <formula>AF3&lt;&gt;""</formula>
    </cfRule>
    <cfRule type="expression" dxfId="20" priority="189" stopIfTrue="1">
      <formula>AND(AF3&lt;&gt;"",AF3&lt;MEDIAN($AF$3:$AF$152))</formula>
    </cfRule>
    <cfRule type="expression" dxfId="19" priority="188" stopIfTrue="1">
      <formula>AND(AF3&lt;&gt;"",AF3&gt;MEDIAN($AF$3:$AF$152))</formula>
    </cfRule>
    <cfRule type="expression" dxfId="18" priority="187" stopIfTrue="1">
      <formula>AND(AF3&lt;&gt;"",AF3&lt;=AVERAGE($AF$3:$AF$152)-STDEV($AF$3:$AF$152))</formula>
    </cfRule>
    <cfRule type="expression" dxfId="17" priority="186" stopIfTrue="1">
      <formula>AND(AF3&lt;&gt;"",AF3&gt;=AVERAGE($AF$3:$AF$152)+STDEV($AF$3:$AF$152))</formula>
    </cfRule>
    <cfRule type="expression" dxfId="16" priority="185" stopIfTrue="1">
      <formula>AND(AF3&lt;&gt;"",AF3=MIN($AF$3:$AF$152))</formula>
    </cfRule>
    <cfRule type="expression" dxfId="15" priority="184" stopIfTrue="1">
      <formula>AND(AF3&lt;&gt;"",AF3=MAX($AF$3:$AF$152))</formula>
    </cfRule>
  </conditionalFormatting>
  <conditionalFormatting sqref="AJ3:AJ152">
    <cfRule type="expression" dxfId="14" priority="212" stopIfTrue="1">
      <formula>AND(AJ3&lt;&gt;"",AJ3=MAX($AJ$3:$AJ$152))</formula>
    </cfRule>
    <cfRule type="expression" dxfId="13" priority="213" stopIfTrue="1">
      <formula>AND(AJ3&lt;&gt;"",AJ3=MIN($AJ$3:$AJ$152))</formula>
    </cfRule>
    <cfRule type="expression" dxfId="12" priority="214" stopIfTrue="1">
      <formula>AND(AJ3&lt;&gt;"",AJ3&gt;=AVERAGE($AJ$3:$AJ$152)+STDEV($AJ$3:$AJ$152))</formula>
    </cfRule>
    <cfRule type="expression" dxfId="11" priority="215" stopIfTrue="1">
      <formula>AND(AJ3&lt;&gt;"",AJ3&lt;=AVERAGE($AJ$3:$AJ$152)-STDEV($AJ$3:$AJ$152))</formula>
    </cfRule>
    <cfRule type="expression" dxfId="10" priority="216" stopIfTrue="1">
      <formula>AND(AJ3&lt;&gt;"",AJ3&gt;MEDIAN($AJ$3:$AJ$152))</formula>
    </cfRule>
    <cfRule type="expression" dxfId="9" priority="217" stopIfTrue="1">
      <formula>AND(AJ3&lt;&gt;"",AJ3&lt;MEDIAN($AJ$3:$AJ$152))</formula>
    </cfRule>
    <cfRule type="expression" dxfId="8" priority="218" stopIfTrue="1">
      <formula>AJ3&lt;&gt;""</formula>
    </cfRule>
  </conditionalFormatting>
  <dataValidations count="10">
    <dataValidation type="list" allowBlank="1" showErrorMessage="1" errorTitle="Invalid entry" error="Pick a value from the lst_Providers list." sqref="E3:E152" xr:uid="{D2903547-9D22-428C-8E50-2EA523F31D67}">
      <formula1>lst_Providers</formula1>
    </dataValidation>
    <dataValidation type="list" allowBlank="1" showErrorMessage="1" errorTitle="Invalid entry" error="Pick a value from the lst_Series list." sqref="F3:F152" xr:uid="{F7B70C99-7873-4262-B37A-F8648A6CDB1F}">
      <formula1>lst_Series</formula1>
    </dataValidation>
    <dataValidation type="list" allowBlank="1" showErrorMessage="1" errorTitle="Invalid entry" error="Pick a value from the lst_MockTypes list." sqref="G3:G152" xr:uid="{95CC9055-6204-4542-B6F1-2F3C50274DE9}">
      <formula1>lst_MockTypes</formula1>
    </dataValidation>
    <dataValidation type="list" allowBlank="1" showErrorMessage="1" errorTitle="Invalid entry" error="Pick a value from the lst_Analysis list." sqref="K3:K152" xr:uid="{0D041E71-5582-4BE6-8956-41CB6AB3697F}">
      <formula1>lst_Analysis</formula1>
    </dataValidation>
    <dataValidation type="whole" allowBlank="1" showInputMessage="1" showErrorMessage="1" errorTitle="Invalid mock no" error="Enter a whole number 1-400." sqref="A3:A152" xr:uid="{2EA87637-2C59-4B4F-B07B-E8C9DAF4779E}">
      <formula1>1</formula1>
      <formula2>400</formula2>
    </dataValidation>
    <dataValidation type="whole" allowBlank="1" showInputMessage="1" showErrorMessage="1" errorTitle="Invalid date" error="Enter a real date between 2020 and 2035." sqref="H3:I152" xr:uid="{C408B2CF-4A4D-4E85-8D93-AD8216BE817A}">
      <formula1>43831</formula1>
      <formula2>49673</formula2>
    </dataValidation>
    <dataValidation type="decimal" allowBlank="1" showInputMessage="1" showErrorMessage="1" errorTitle="Invalid percentile" error="Percentile must be between 0 and 100." sqref="N3:N152 AF3:AF152 Z3:Z152 T3:T152" xr:uid="{B857FC9B-D49F-43A3-BCCD-7F1005F5BBE8}">
      <formula1>0</formula1>
      <formula2>100</formula2>
    </dataValidation>
    <dataValidation type="whole" allowBlank="1" showInputMessage="1" showErrorMessage="1" errorTitle="Invalid attempts" error="Attempts must be a whole number 0-150." sqref="O3:O152 AA3:AA152 U3:U152" xr:uid="{35BEE7F2-63E4-49F0-B40F-574876DDC5A0}">
      <formula1>0</formula1>
      <formula2>150</formula2>
    </dataValidation>
    <dataValidation type="custom" allowBlank="1" showInputMessage="1" showErrorMessage="1" errorTitle="Invalid score" error="Section score must be a whole number between -100 and 200." sqref="M3:M152 Y3:Y152 S3:S152" xr:uid="{75891B03-CD65-40B3-8BE6-8F9075D7036D}">
      <formula1>AND(ISNUMBER(M3),M3&gt;=-100,M3&lt;=200,M3=INT(M3))</formula1>
    </dataValidation>
    <dataValidation type="custom" allowBlank="1" showInputMessage="1" showErrorMessage="1" errorTitle="Invalid correct count" error="Correct must be a whole number ≥ 0 and cannot exceed Attempts for that section." sqref="P3:P152 AB3:AB152 V3:V152" xr:uid="{14A19BD4-54AE-49F2-87A5-9E54E08D92A9}">
      <formula1>AND(ISNUMBER(P3),P3&gt;=0,P3=INT(P3),OR(O3="",P3&lt;=O3))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"/>
  <sheetViews>
    <sheetView zoomScaleNormal="100" workbookViewId="0"/>
  </sheetViews>
  <sheetFormatPr defaultColWidth="8.6640625" defaultRowHeight="14.4" x14ac:dyDescent="0.3"/>
  <cols>
    <col min="1" max="1" width="30.5546875" customWidth="1"/>
    <col min="2" max="9" width="17" customWidth="1"/>
  </cols>
  <sheetData>
    <row r="1" spans="1:11" ht="14.25" customHeight="1" x14ac:dyDescent="0.3">
      <c r="A1" s="18" t="s">
        <v>11</v>
      </c>
      <c r="B1" s="18" t="s">
        <v>82</v>
      </c>
      <c r="C1" s="18" t="s">
        <v>83</v>
      </c>
      <c r="D1" s="18" t="s">
        <v>64</v>
      </c>
      <c r="E1" s="18" t="s">
        <v>65</v>
      </c>
      <c r="F1" s="18" t="s">
        <v>70</v>
      </c>
      <c r="G1" s="18" t="s">
        <v>71</v>
      </c>
      <c r="H1" s="18" t="s">
        <v>76</v>
      </c>
      <c r="I1" s="18" t="s">
        <v>77</v>
      </c>
      <c r="K1" s="19" t="s">
        <v>228</v>
      </c>
    </row>
    <row r="2" spans="1:11" ht="14.25" customHeight="1" x14ac:dyDescent="0.3">
      <c r="A2" s="20" t="s">
        <v>143</v>
      </c>
      <c r="B2" s="21" cm="1">
        <f t="array" aca="1" ref="B2" ca="1">IF($K$2="","",IF(INDEX(Chart_Data!$J$2:$J$401,$K$2)="","",INDEX(Chart_Data!$J$2:$J$401,$K$2)))</f>
        <v>55</v>
      </c>
      <c r="C2" s="21" cm="1">
        <f t="array" aca="1" ref="C2" ca="1">IF($K$2="","",IF(INDEX(Chart_Data!$K$2:$K$401,$K$2)="","",INDEX(Chart_Data!$K$2:$K$401,$K$2)))</f>
        <v>79.22</v>
      </c>
      <c r="D2" s="21" cm="1">
        <f t="array" aca="1" ref="D2" ca="1">IF($K$2="","",IF(INDEX(Chart_Data!$D$2:$D$401,$K$2)="","",INDEX(Chart_Data!$D$2:$D$401,$K$2)))</f>
        <v>20</v>
      </c>
      <c r="E2" s="21" cm="1">
        <f t="array" aca="1" ref="E2" ca="1">IF($K$2="","",IF(INDEX(Chart_Data!$E$2:$E$401,$K$2)="","",INDEX(Chart_Data!$E$2:$E$401,$K$2)))</f>
        <v>65.510000000000005</v>
      </c>
      <c r="F2" s="21" cm="1">
        <f t="array" aca="1" ref="F2" ca="1">IF($K$2="","",IF(INDEX(Chart_Data!$F$2:$F$401,$K$2)="","",INDEX(Chart_Data!$F$2:$F$401,$K$2)))</f>
        <v>16</v>
      </c>
      <c r="G2" s="21" cm="1">
        <f t="array" aca="1" ref="G2" ca="1">IF($K$2="","",IF(INDEX(Chart_Data!$G$2:$G$401,$K$2)="","",INDEX(Chart_Data!$G$2:$G$401,$K$2)))</f>
        <v>83.74</v>
      </c>
      <c r="H2" s="21" cm="1">
        <f t="array" aca="1" ref="H2" ca="1">IF($K$2="","",IF(INDEX(Chart_Data!$H$2:$H$401,$K$2)="","",INDEX(Chart_Data!$H$2:$H$401,$K$2)))</f>
        <v>19</v>
      </c>
      <c r="I2" s="21" cm="1">
        <f t="array" aca="1" ref="I2" ca="1">IF($K$2="","",IF(INDEX(Chart_Data!$I$2:$I$401,$K$2)="","",INDEX(Chart_Data!$I$2:$I$401,$K$2)))</f>
        <v>69.819999999999993</v>
      </c>
      <c r="K2">
        <f ca="1">IFERROR(COUNT(Chart_Data!$J$2:$J$401),"")</f>
        <v>10</v>
      </c>
    </row>
    <row r="3" spans="1:11" ht="14.25" customHeight="1" x14ac:dyDescent="0.3">
      <c r="A3" s="20" t="s">
        <v>144</v>
      </c>
      <c r="B3" s="21">
        <f ca="1">IFERROR(AVERAGE(Chart_Data!$J$2:$J$401),"")</f>
        <v>79.099999999999994</v>
      </c>
      <c r="C3" s="21">
        <f ca="1">IFERROR(AVERAGE(Chart_Data!$K$2:$K$401),"")</f>
        <v>92.015555555555565</v>
      </c>
      <c r="D3" s="21">
        <f ca="1">IFERROR(AVERAGE(Chart_Data!$D$2:$D$401),"")</f>
        <v>38.4</v>
      </c>
      <c r="E3" s="21">
        <f ca="1">IFERROR(AVERAGE(Chart_Data!$E$2:$E$401),"")</f>
        <v>92.475555555555559</v>
      </c>
      <c r="F3" s="21">
        <f ca="1">IFERROR(AVERAGE(Chart_Data!$F$2:$F$401),"")</f>
        <v>20.7</v>
      </c>
      <c r="G3" s="21">
        <f ca="1">IFERROR(AVERAGE(Chart_Data!$G$2:$G$401),"")</f>
        <v>77.814444444444447</v>
      </c>
      <c r="H3" s="21">
        <f ca="1">IFERROR(AVERAGE(Chart_Data!$H$2:$H$401),"")</f>
        <v>20</v>
      </c>
      <c r="I3" s="21">
        <f ca="1">IFERROR(AVERAGE(Chart_Data!$I$2:$I$401),"")</f>
        <v>71.315555555555548</v>
      </c>
    </row>
    <row r="4" spans="1:11" ht="14.25" customHeight="1" x14ac:dyDescent="0.3">
      <c r="A4" s="20" t="s">
        <v>145</v>
      </c>
      <c r="B4" s="21">
        <f ca="1">IFERROR(MEDIAN(Chart_Data!$J$2:$J$401),"")</f>
        <v>82.5</v>
      </c>
      <c r="C4" s="21">
        <f ca="1">IFERROR(MEDIAN(Chart_Data!$K$2:$K$401),"")</f>
        <v>94.82</v>
      </c>
      <c r="D4" s="21">
        <f ca="1">IFERROR(MEDIAN(Chart_Data!$D$2:$D$401),"")</f>
        <v>37.5</v>
      </c>
      <c r="E4" s="21">
        <f ca="1">IFERROR(MEDIAN(Chart_Data!$E$2:$E$401),"")</f>
        <v>98.12</v>
      </c>
      <c r="F4" s="21">
        <f ca="1">IFERROR(MEDIAN(Chart_Data!$F$2:$F$401),"")</f>
        <v>22</v>
      </c>
      <c r="G4" s="21">
        <f ca="1">IFERROR(MEDIAN(Chart_Data!$G$2:$G$401),"")</f>
        <v>83.74</v>
      </c>
      <c r="H4" s="21">
        <f ca="1">IFERROR(MEDIAN(Chart_Data!$H$2:$H$401),"")</f>
        <v>20.5</v>
      </c>
      <c r="I4" s="21">
        <f ca="1">IFERROR(MEDIAN(Chart_Data!$I$2:$I$401),"")</f>
        <v>69.819999999999993</v>
      </c>
    </row>
    <row r="5" spans="1:11" ht="14.25" customHeight="1" x14ac:dyDescent="0.3">
      <c r="A5" s="20" t="s">
        <v>146</v>
      </c>
      <c r="B5" s="21">
        <f ca="1">IFERROR(MAX(Chart_Data!$J$2:$J$401),"")</f>
        <v>95</v>
      </c>
      <c r="C5" s="21">
        <f ca="1">IFERROR(MAX(Chart_Data!$K$2:$K$401),"")</f>
        <v>98.37</v>
      </c>
      <c r="D5" s="21">
        <f ca="1">IFERROR(MAX(Chart_Data!$D$2:$D$401),"")</f>
        <v>50</v>
      </c>
      <c r="E5" s="21">
        <f ca="1">IFERROR(MAX(Chart_Data!$E$2:$E$401),"")</f>
        <v>99.91</v>
      </c>
      <c r="F5" s="21">
        <f ca="1">IFERROR(MAX(Chart_Data!$F$2:$F$401),"")</f>
        <v>36</v>
      </c>
      <c r="G5" s="21">
        <f ca="1">IFERROR(MAX(Chart_Data!$G$2:$G$401),"")</f>
        <v>94.69</v>
      </c>
      <c r="H5" s="21">
        <f ca="1">IFERROR(MAX(Chart_Data!$H$2:$H$401),"")</f>
        <v>36</v>
      </c>
      <c r="I5" s="21">
        <f ca="1">IFERROR(MAX(Chart_Data!$I$2:$I$401),"")</f>
        <v>96.81</v>
      </c>
    </row>
    <row r="6" spans="1:11" ht="14.25" customHeight="1" x14ac:dyDescent="0.3">
      <c r="A6" s="20" t="s">
        <v>147</v>
      </c>
      <c r="B6" s="21">
        <f ca="1">IFERROR(MIN(Chart_Data!$J$2:$J$401),"")</f>
        <v>55</v>
      </c>
      <c r="C6" s="21">
        <f ca="1">IFERROR(MIN(Chart_Data!$K$2:$K$401),"")</f>
        <v>79.22</v>
      </c>
      <c r="D6" s="21">
        <f ca="1">IFERROR(MIN(Chart_Data!$D$2:$D$401),"")</f>
        <v>20</v>
      </c>
      <c r="E6" s="21">
        <f ca="1">IFERROR(MIN(Chart_Data!$E$2:$E$401),"")</f>
        <v>65.510000000000005</v>
      </c>
      <c r="F6" s="21">
        <f ca="1">IFERROR(MIN(Chart_Data!$F$2:$F$401),"")</f>
        <v>3</v>
      </c>
      <c r="G6" s="21">
        <f ca="1">IFERROR(MIN(Chart_Data!$G$2:$G$401),"")</f>
        <v>33.840000000000003</v>
      </c>
      <c r="H6" s="21">
        <f ca="1">IFERROR(MIN(Chart_Data!$H$2:$H$401),"")</f>
        <v>10</v>
      </c>
      <c r="I6" s="21">
        <f ca="1">IFERROR(MIN(Chart_Data!$I$2:$I$401),"")</f>
        <v>45.38</v>
      </c>
    </row>
    <row r="7" spans="1:11" ht="14.25" customHeight="1" x14ac:dyDescent="0.3">
      <c r="A7" s="20" t="s">
        <v>148</v>
      </c>
      <c r="B7" s="21">
        <f ca="1">IFERROR(VAR(Chart_Data!$J$2:$J$401),"")</f>
        <v>145.43333333333351</v>
      </c>
      <c r="C7" s="21">
        <f ca="1">IFERROR(VAR(Chart_Data!$K$2:$K$401),"")</f>
        <v>42.221477777777778</v>
      </c>
      <c r="D7" s="21">
        <f ca="1">IFERROR(VAR(Chart_Data!$D$2:$D$401),"")</f>
        <v>98.266666666666623</v>
      </c>
      <c r="E7" s="21">
        <f ca="1">IFERROR(VAR(Chart_Data!$E$2:$E$401),"")</f>
        <v>121.5940777777796</v>
      </c>
      <c r="F7" s="21">
        <f ca="1">IFERROR(VAR(Chart_Data!$F$2:$F$401),"")</f>
        <v>87.344444444444491</v>
      </c>
      <c r="G7" s="21">
        <f ca="1">IFERROR(VAR(Chart_Data!$G$2:$G$401),"")</f>
        <v>377.38482777777881</v>
      </c>
      <c r="H7" s="21">
        <f ca="1">IFERROR(VAR(Chart_Data!$H$2:$H$401),"")</f>
        <v>60.888888888888886</v>
      </c>
      <c r="I7" s="21">
        <f ca="1">IFERROR(VAR(Chart_Data!$I$2:$I$401),"")</f>
        <v>253.46275277778022</v>
      </c>
    </row>
    <row r="8" spans="1:11" ht="14.25" customHeight="1" x14ac:dyDescent="0.3">
      <c r="A8" s="20" t="s">
        <v>149</v>
      </c>
      <c r="B8" s="21">
        <f ca="1">IFERROR(STDEV(Chart_Data!$J$2:$J$401),"")</f>
        <v>12.059574342958109</v>
      </c>
      <c r="C8" s="21">
        <f ca="1">IFERROR(STDEV(Chart_Data!$K$2:$K$401),"")</f>
        <v>6.4978056124954815</v>
      </c>
      <c r="D8" s="21">
        <f ca="1">IFERROR(STDEV(Chart_Data!$D$2:$D$401),"")</f>
        <v>9.9129544872690012</v>
      </c>
      <c r="E8" s="21">
        <f ca="1">IFERROR(STDEV(Chart_Data!$E$2:$E$401),"")</f>
        <v>11.026970471429566</v>
      </c>
      <c r="F8" s="21">
        <f ca="1">IFERROR(STDEV(Chart_Data!$F$2:$F$401),"")</f>
        <v>9.3458249739894281</v>
      </c>
      <c r="G8" s="21">
        <f ca="1">IFERROR(STDEV(Chart_Data!$G$2:$G$401),"")</f>
        <v>19.426395130795079</v>
      </c>
      <c r="H8" s="21">
        <f ca="1">IFERROR(STDEV(Chart_Data!$H$2:$H$401),"")</f>
        <v>7.8031332738130832</v>
      </c>
      <c r="I8" s="21">
        <f ca="1">IFERROR(STDEV(Chart_Data!$I$2:$I$401),"")</f>
        <v>15.92051358398278</v>
      </c>
    </row>
    <row r="9" spans="1:11" ht="14.25" customHeight="1" x14ac:dyDescent="0.3">
      <c r="A9" s="20" t="s">
        <v>150</v>
      </c>
      <c r="B9" s="21">
        <f ca="1">IFERROR(AVERAGE(OFFSET(Chart_Data!$J$1,MAX(1,B13-4),0,MIN(5,B13),1)),"")</f>
        <v>75.8</v>
      </c>
      <c r="C9" s="21">
        <f ca="1">IFERROR(AVERAGE(OFFSET(Chart_Data!$K$1,MAX(1,$B$13-4),0,MIN(5,$B$13),1)),"")</f>
        <v>92.377499999999998</v>
      </c>
      <c r="D9" s="21">
        <f ca="1">IFERROR(AVERAGE(OFFSET(Chart_Data!$D$1,MAX(1,D13-4),0,MIN(5,D13),1)),"")</f>
        <v>37.200000000000003</v>
      </c>
      <c r="E9" s="21">
        <f ca="1">IFERROR(AVERAGE(OFFSET(Chart_Data!$E$1,MAX(1,$B$13-4),0,MIN(5,$B$13),1)),"")</f>
        <v>90.789999999999992</v>
      </c>
      <c r="F9" s="21">
        <f ca="1">IFERROR(AVERAGE(OFFSET(Chart_Data!$F$1,MAX(1,F13-4),0,MIN(5,F13),1)),"")</f>
        <v>16.8</v>
      </c>
      <c r="G9" s="21">
        <f ca="1">IFERROR(AVERAGE(OFFSET(Chart_Data!$G$1,MAX(1,$B$13-4),0,MIN(5,$B$13),1)),"")</f>
        <v>67.337500000000006</v>
      </c>
      <c r="H9" s="21">
        <f ca="1">IFERROR(AVERAGE(OFFSET(Chart_Data!$H$1,MAX(1,H13-4),0,MIN(5,H13),1)),"")</f>
        <v>21.8</v>
      </c>
      <c r="I9" s="21">
        <f ca="1">IFERROR(AVERAGE(OFFSET(Chart_Data!$I$1,MAX(1,$B$13-4),0,MIN(5,$B$13),1)),"")</f>
        <v>73.784999999999997</v>
      </c>
    </row>
    <row r="10" spans="1:11" ht="14.25" customHeight="1" x14ac:dyDescent="0.3">
      <c r="A10" s="20" t="s">
        <v>151</v>
      </c>
      <c r="B10" s="21">
        <f ca="1">IFERROR(AVERAGE(OFFSET(Chart_Data!$J$1,MAX(1,B13-9),0,MIN(10,B13),1)),"")</f>
        <v>79.099999999999994</v>
      </c>
      <c r="C10" s="21">
        <f ca="1">IFERROR(AVERAGE(OFFSET(Chart_Data!$K$1,MAX(1,$B$13-9),0,MIN(10,$B$13),1)),"")</f>
        <v>92.015555555555565</v>
      </c>
      <c r="D10" s="21">
        <f ca="1">IFERROR(AVERAGE(OFFSET(Chart_Data!$D$1,MAX(1,D13-9),0,MIN(10,D13),1)),"")</f>
        <v>38.4</v>
      </c>
      <c r="E10" s="21">
        <f ca="1">IFERROR(AVERAGE(OFFSET(Chart_Data!$E$1,MAX(1,$B$13-9),0,MIN(10,$B$13),1)),"")</f>
        <v>92.475555555555559</v>
      </c>
      <c r="F10" s="21">
        <f ca="1">IFERROR(AVERAGE(OFFSET(Chart_Data!$F$1,MAX(1,F13-9),0,MIN(10,F13),1)),"")</f>
        <v>20.7</v>
      </c>
      <c r="G10" s="21">
        <f ca="1">IFERROR(AVERAGE(OFFSET(Chart_Data!$G$1,MAX(1,$B$13-9),0,MIN(10,$B$13),1)),"")</f>
        <v>77.814444444444447</v>
      </c>
      <c r="H10" s="21">
        <f ca="1">IFERROR(AVERAGE(OFFSET(Chart_Data!$H$1,MAX(1,H13-9),0,MIN(10,H13),1)),"")</f>
        <v>20</v>
      </c>
      <c r="I10" s="21">
        <f ca="1">IFERROR(AVERAGE(OFFSET(Chart_Data!$I$1,MAX(1,$B$13-9),0,MIN(10,$B$13),1)),"")</f>
        <v>71.315555555555548</v>
      </c>
    </row>
    <row r="11" spans="1:11" ht="14.25" customHeight="1" x14ac:dyDescent="0.3">
      <c r="A11" s="20" t="s">
        <v>152</v>
      </c>
      <c r="B11" s="21">
        <f ca="1">IFERROR(B2-INDEX(Chart_Data!$J$2:$J$401,1),"")</f>
        <v>-21</v>
      </c>
      <c r="C11" s="21">
        <f ca="1">IFERROR(C2-INDEX(Chart_Data!$K$2:$K$401,1),"")</f>
        <v>-9.7000000000000028</v>
      </c>
      <c r="D11" s="21">
        <f ca="1">IFERROR(D2-INDEX(Chart_Data!$D$2:$D$401,1),"")</f>
        <v>-11</v>
      </c>
      <c r="E11" s="21">
        <f ca="1">IFERROR(E2-INDEX(Chart_Data!$E$2:$E$401,1),"")</f>
        <v>-22.509999999999991</v>
      </c>
      <c r="F11" s="21">
        <f ca="1">IFERROR(F2-INDEX(Chart_Data!$F$2:$F$401,1),"")</f>
        <v>-8</v>
      </c>
      <c r="G11" s="21">
        <f ca="1">IFERROR(G2-INDEX(Chart_Data!$G$2:$G$401,1),"")</f>
        <v>-6.3000000000000114</v>
      </c>
      <c r="H11" s="21">
        <f ca="1">IFERROR(H2-INDEX(Chart_Data!$H$2:$H$401,1),"")</f>
        <v>-2</v>
      </c>
      <c r="I11" s="21">
        <f ca="1">IFERROR(I2-INDEX(Chart_Data!$I$2:$I$401,1),"")</f>
        <v>9.9999999999909051E-3</v>
      </c>
    </row>
    <row r="12" spans="1:11" ht="14.25" customHeight="1" x14ac:dyDescent="0.3">
      <c r="A12" s="20" t="s">
        <v>153</v>
      </c>
      <c r="B12" s="21">
        <f ca="1">IFERROR(MAX(Chart_Data!$J$2:$J$401),"")</f>
        <v>95</v>
      </c>
      <c r="C12" s="21">
        <f ca="1">IFERROR(MAX(Chart_Data!$K$2:$K$401),"")</f>
        <v>98.37</v>
      </c>
      <c r="D12" s="21">
        <f ca="1">IFERROR(MAX(Chart_Data!$D$2:$D$401),"")</f>
        <v>50</v>
      </c>
      <c r="E12" s="21">
        <f ca="1">IFERROR(MAX(Chart_Data!$E$2:$E$401),"")</f>
        <v>99.91</v>
      </c>
      <c r="F12" s="21">
        <f ca="1">IFERROR(MAX(Chart_Data!$F$2:$F$401),"")</f>
        <v>36</v>
      </c>
      <c r="G12" s="21">
        <f ca="1">IFERROR(MAX(Chart_Data!$G$2:$G$401),"")</f>
        <v>94.69</v>
      </c>
      <c r="H12" s="21">
        <f ca="1">IFERROR(MAX(Chart_Data!$H$2:$H$401),"")</f>
        <v>36</v>
      </c>
      <c r="I12" s="21">
        <f ca="1">IFERROR(MAX(Chart_Data!$I$2:$I$401),"")</f>
        <v>96.81</v>
      </c>
    </row>
    <row r="13" spans="1:11" ht="14.25" customHeight="1" x14ac:dyDescent="0.3">
      <c r="A13" s="20" t="s">
        <v>154</v>
      </c>
      <c r="B13" s="21">
        <f ca="1">COUNT(Chart_Data!$J$2:$J$401)</f>
        <v>10</v>
      </c>
      <c r="C13" s="21">
        <f ca="1">COUNT(Chart_Data!$K$2:$K$401)</f>
        <v>9</v>
      </c>
      <c r="D13" s="21">
        <f ca="1">COUNT(Chart_Data!$D$2:$D$401)</f>
        <v>10</v>
      </c>
      <c r="E13" s="21">
        <f ca="1">COUNT(Chart_Data!$E$2:$E$401)</f>
        <v>9</v>
      </c>
      <c r="F13" s="21">
        <f ca="1">COUNT(Chart_Data!$F$2:$F$401)</f>
        <v>10</v>
      </c>
      <c r="G13" s="21">
        <f ca="1">COUNT(Chart_Data!$G$2:$G$401)</f>
        <v>9</v>
      </c>
      <c r="H13" s="21">
        <f ca="1">COUNT(Chart_Data!$H$2:$H$401)</f>
        <v>10</v>
      </c>
      <c r="I13" s="21">
        <f ca="1">COUNT(Chart_Data!$I$2:$I$401)</f>
        <v>9</v>
      </c>
    </row>
    <row r="14" spans="1:11" ht="14.25" customHeight="1" x14ac:dyDescent="0.3">
      <c r="A14" s="20" t="s">
        <v>155</v>
      </c>
      <c r="B14" s="21">
        <f ca="1">IFERROR(AVERAGE(OFFSET(Chart_Data!$J$1,MAX(1,B13-4),0,MIN(5,B13),1))-B3,"")</f>
        <v>-3.2999999999999972</v>
      </c>
      <c r="C14" s="21">
        <f ca="1">IFERROR(AVERAGE(OFFSET(Chart_Data!$K$1,MAX(1,$B$13-4),0,MIN(5,$B$13),1))-C3,"")</f>
        <v>0.36194444444443263</v>
      </c>
      <c r="D14" s="21">
        <f ca="1">IFERROR(AVERAGE(OFFSET(Chart_Data!$D$1,MAX(1,D13-4),0,MIN(5,D13),1))-D3,"")</f>
        <v>-1.1999999999999957</v>
      </c>
      <c r="E14" s="21">
        <f ca="1">IFERROR(AVERAGE(OFFSET(Chart_Data!$E$1,MAX(1,$B$13-4),0,MIN(5,$B$13),1))-E3,"")</f>
        <v>-1.6855555555555668</v>
      </c>
      <c r="F14" s="21">
        <f ca="1">IFERROR(AVERAGE(OFFSET(Chart_Data!$F$1,MAX(1,F13-4),0,MIN(5,F13),1))-F3,"")</f>
        <v>-3.8999999999999986</v>
      </c>
      <c r="G14" s="21">
        <f ca="1">IFERROR(AVERAGE(OFFSET(Chart_Data!$G$1,MAX(1,$B$13-4),0,MIN(5,$B$13),1))-G3,"")</f>
        <v>-10.476944444444442</v>
      </c>
      <c r="H14" s="21">
        <f ca="1">IFERROR(AVERAGE(OFFSET(Chart_Data!$H$1,MAX(1,H13-4),0,MIN(5,H13),1))-H3,"")</f>
        <v>1.8000000000000007</v>
      </c>
      <c r="I14" s="21">
        <f ca="1">IFERROR(AVERAGE(OFFSET(Chart_Data!$I$1,MAX(1,$B$13-4),0,MIN(5,$B$13),1))-I3,"")</f>
        <v>2.4694444444444485</v>
      </c>
    </row>
    <row r="15" spans="1:11" ht="14.25" customHeight="1" x14ac:dyDescent="0.3">
      <c r="A15" s="20" t="s">
        <v>156</v>
      </c>
      <c r="B15" s="21">
        <f ca="1">IFERROR(AVERAGE(OFFSET(Chart_Data!$J$1,MAX(1,B13-9),0,MIN(10,B13),1))-B3,"")</f>
        <v>0</v>
      </c>
      <c r="C15" s="21">
        <f ca="1">IFERROR(AVERAGE(OFFSET(Chart_Data!$K$1,MAX(1,$B$13-9),0,MIN(10,$B$13),1))-C3,"")</f>
        <v>0</v>
      </c>
      <c r="D15" s="21">
        <f ca="1">IFERROR(AVERAGE(OFFSET(Chart_Data!$D$1,MAX(1,D13-9),0,MIN(10,D13),1))-D3,"")</f>
        <v>0</v>
      </c>
      <c r="E15" s="21">
        <f ca="1">IFERROR(AVERAGE(OFFSET(Chart_Data!$E$1,MAX(1,$B$13-9),0,MIN(10,$B$13),1))-E3,"")</f>
        <v>0</v>
      </c>
      <c r="F15" s="21">
        <f ca="1">IFERROR(AVERAGE(OFFSET(Chart_Data!$F$1,MAX(1,F13-9),0,MIN(10,F13),1))-F3,"")</f>
        <v>0</v>
      </c>
      <c r="G15" s="21">
        <f ca="1">IFERROR(AVERAGE(OFFSET(Chart_Data!$G$1,MAX(1,$B$13-9),0,MIN(10,$B$13),1))-G3,"")</f>
        <v>0</v>
      </c>
      <c r="H15" s="21">
        <f ca="1">IFERROR(AVERAGE(OFFSET(Chart_Data!$H$1,MAX(1,H13-9),0,MIN(10,H13),1))-H3,"")</f>
        <v>0</v>
      </c>
      <c r="I15" s="21">
        <f ca="1">IFERROR(AVERAGE(OFFSET(Chart_Data!$I$1,MAX(1,$B$13-9),0,MIN(10,$B$13),1))-I3,"")</f>
        <v>0</v>
      </c>
    </row>
    <row r="16" spans="1:11" ht="14.25" customHeight="1" x14ac:dyDescent="0.3">
      <c r="A16" s="20" t="s">
        <v>157</v>
      </c>
      <c r="B16" s="21">
        <f t="shared" ref="B16:I16" ca="1" si="0">IFERROR(100*(1-B8/B3),"")</f>
        <v>84.754014737094678</v>
      </c>
      <c r="C16" s="21">
        <f t="shared" ca="1" si="0"/>
        <v>92.938361809300446</v>
      </c>
      <c r="D16" s="21">
        <f t="shared" ca="1" si="0"/>
        <v>74.185014356070297</v>
      </c>
      <c r="E16" s="21">
        <f t="shared" ca="1" si="0"/>
        <v>88.075799701678989</v>
      </c>
      <c r="F16" s="21">
        <f t="shared" ca="1" si="0"/>
        <v>54.851087082176676</v>
      </c>
      <c r="G16" s="21">
        <f t="shared" ca="1" si="0"/>
        <v>75.034975486248527</v>
      </c>
      <c r="H16" s="21">
        <f t="shared" ca="1" si="0"/>
        <v>60.984333630934586</v>
      </c>
      <c r="I16" s="21">
        <f t="shared" ca="1" si="0"/>
        <v>77.675959389280038</v>
      </c>
    </row>
    <row r="17" spans="1:9" ht="14.25" customHeight="1" x14ac:dyDescent="0.3">
      <c r="A17" t="s">
        <v>158</v>
      </c>
      <c r="B17" s="22">
        <f ca="1">IFERROR((_xlfn.MAXIFS('Mock Database'!$I$3:$I$400,'Mock Database'!$J$3:$J$400,"Completed")-_xlfn.MINIFS('Mock Database'!$I$3:$I$400,'Mock Database'!$J$3:$J$400,"Completed"))/MAX(B13-1,1),"")</f>
        <v>8.7777777777777786</v>
      </c>
    </row>
    <row r="18" spans="1:9" ht="14.25" customHeight="1" x14ac:dyDescent="0.3">
      <c r="A18" t="s">
        <v>159</v>
      </c>
      <c r="B18" t="str">
        <f ca="1">IFERROR(IF(D3&gt;=F3,IF(D3&gt;=H3,"VARC","QA"),IF(F3&gt;=H3,"DILR","QA")),"—")</f>
        <v>VARC</v>
      </c>
    </row>
    <row r="19" spans="1:9" ht="14.25" customHeight="1" x14ac:dyDescent="0.3">
      <c r="A19" t="s">
        <v>160</v>
      </c>
      <c r="B19" t="str">
        <f ca="1">IFERROR(IF(D3&lt;=F3,IF(D3&lt;=H3,"VARC","QA"),IF(F3&lt;=H3,"DILR","QA")),"—")</f>
        <v>QA</v>
      </c>
    </row>
    <row r="20" spans="1:9" ht="14.25" customHeight="1" x14ac:dyDescent="0.3">
      <c r="A20" t="s">
        <v>161</v>
      </c>
      <c r="B20" t="str">
        <f ca="1">IFERROR(IF(D11&gt;=F11,IF(D11&gt;=H11,"VARC","QA"),IF(F11&gt;=H11,"DILR","QA")),"—")</f>
        <v>QA</v>
      </c>
    </row>
    <row r="22" spans="1:9" ht="14.25" customHeight="1" x14ac:dyDescent="0.3">
      <c r="A22" s="20" t="s">
        <v>162</v>
      </c>
      <c r="B22">
        <f>COUNTIFS('Mock Database'!$D$3:$D$400,"&lt;&gt;",'Mock Database'!$H$3:$H$400,"&lt;&gt;")</f>
        <v>100</v>
      </c>
    </row>
    <row r="23" spans="1:9" ht="14.25" customHeight="1" x14ac:dyDescent="0.3">
      <c r="A23" s="20" t="s">
        <v>163</v>
      </c>
      <c r="B23">
        <f>COUNTIF('Mock Database'!$J$3:$J$400,"Completed")</f>
        <v>10</v>
      </c>
    </row>
    <row r="24" spans="1:9" ht="14.25" customHeight="1" x14ac:dyDescent="0.3">
      <c r="A24" s="20" t="s">
        <v>164</v>
      </c>
      <c r="B24">
        <f>B22-B23</f>
        <v>90</v>
      </c>
    </row>
    <row r="25" spans="1:9" ht="14.25" customHeight="1" x14ac:dyDescent="0.3">
      <c r="A25" s="20" t="s">
        <v>165</v>
      </c>
      <c r="B25" s="23">
        <f>IFERROR(B23/B22,0)</f>
        <v>0.1</v>
      </c>
    </row>
    <row r="26" spans="1:9" ht="14.25" customHeight="1" x14ac:dyDescent="0.3">
      <c r="A26" s="20" t="s">
        <v>35</v>
      </c>
      <c r="B26">
        <f>COUNTIFS('Mock Database'!$J$3:$J$400,"Completed",'Mock Database'!$K$3:$K$400,"Yes")</f>
        <v>10</v>
      </c>
    </row>
    <row r="27" spans="1:9" ht="14.25" customHeight="1" x14ac:dyDescent="0.3">
      <c r="A27" s="20" t="s">
        <v>166</v>
      </c>
      <c r="B27">
        <f>B23-B26</f>
        <v>0</v>
      </c>
    </row>
    <row r="28" spans="1:9" ht="14.25" customHeight="1" x14ac:dyDescent="0.3">
      <c r="A28" s="20" t="s">
        <v>167</v>
      </c>
      <c r="B28" s="23">
        <f>IFERROR(B26/B23,0)</f>
        <v>1</v>
      </c>
    </row>
    <row r="29" spans="1:9" ht="14.25" customHeight="1" x14ac:dyDescent="0.3">
      <c r="A29" s="20" t="s">
        <v>168</v>
      </c>
      <c r="B29">
        <f ca="1">DATE(2026,11,29)-TODAY()</f>
        <v>111</v>
      </c>
    </row>
    <row r="30" spans="1:9" ht="14.25" customHeight="1" x14ac:dyDescent="0.3">
      <c r="A30" s="20" t="s">
        <v>169</v>
      </c>
      <c r="B30" s="24">
        <f>IFERROR(_xlfn.MAXIFS('Mock Database'!$I$3:$I$400,'Mock Database'!$J$3:$J$400,"Completed"),"")</f>
        <v>46216</v>
      </c>
    </row>
    <row r="31" spans="1:9" x14ac:dyDescent="0.3">
      <c r="A31" s="20" t="s">
        <v>257</v>
      </c>
      <c r="B31" s="22">
        <f ca="1">IFERROR(IF(B24&lt;=0,"",B29/B24),"")</f>
        <v>1.2333333333333334</v>
      </c>
    </row>
    <row r="32" spans="1:9" x14ac:dyDescent="0.3">
      <c r="A32" s="20" t="s">
        <v>242</v>
      </c>
      <c r="B32">
        <f ca="1">IFERROR(SLOPE(Chart_Data!$J$2:$J$401,Chart_Data!$A$2:$A$401),"")</f>
        <v>-1.5212121212121212</v>
      </c>
      <c r="C32">
        <f ca="1">IFERROR(SLOPE(Chart_Data!$K$2:$K$401,Chart_Data!$A$2:$A$401),"")</f>
        <v>-0.41654838709677455</v>
      </c>
      <c r="D32">
        <f ca="1">IFERROR(SLOPE(Chart_Data!$D$2:$D$401,Chart_Data!$A$2:$A$401),"")</f>
        <v>-0.83636363636363631</v>
      </c>
      <c r="E32">
        <f ca="1">IFERROR(SLOPE(Chart_Data!$E$2:$E$401,Chart_Data!$A$2:$A$401),"")</f>
        <v>-1.3071129032258053</v>
      </c>
      <c r="F32">
        <f ca="1">IFERROR(SLOPE(Chart_Data!$F$2:$F$401,Chart_Data!$A$2:$A$401),"")</f>
        <v>-1.2181818181818183</v>
      </c>
      <c r="G32">
        <f ca="1">IFERROR(SLOPE(Chart_Data!$G$2:$G$401,Chart_Data!$A$2:$A$401),"")</f>
        <v>-2.5792903225806447</v>
      </c>
      <c r="H32">
        <f ca="1">IFERROR(SLOPE(Chart_Data!$H$2:$H$401,Chart_Data!$A$2:$A$401),"")</f>
        <v>0.53333333333333333</v>
      </c>
      <c r="I32">
        <f ca="1">IFERROR(SLOPE(Chart_Data!$I$2:$I$401,Chart_Data!$A$2:$A$401),"")</f>
        <v>0.66185483870967676</v>
      </c>
    </row>
    <row r="33" spans="1:9" x14ac:dyDescent="0.3">
      <c r="A33" s="20" t="s">
        <v>243</v>
      </c>
      <c r="B33">
        <f ca="1">IFERROR(FORECAST(COUNT(Chart_Data!$J$2:$J$401)+1,Chart_Data!$J$2:$J$401,Chart_Data!$A$2:$A$401),"")</f>
        <v>70.733333333333334</v>
      </c>
      <c r="C33">
        <f ca="1">IFERROR(FORECAST($B$13+1,Chart_Data!$K$2:$K$401,Chart_Data!$A$2:$A$401),"")</f>
        <v>89.562548387096783</v>
      </c>
      <c r="D33">
        <f ca="1">IFERROR(FORECAST(COUNT(Chart_Data!$D$2:$D$401)+1,Chart_Data!$D$2:$D$401,Chart_Data!$A$2:$A$401),"")</f>
        <v>33.799999999999997</v>
      </c>
      <c r="E33">
        <f ca="1">IFERROR(FORECAST($B$13+1,Chart_Data!$E$2:$E$401,Chart_Data!$A$2:$A$401),"")</f>
        <v>84.778112903225818</v>
      </c>
      <c r="F33">
        <f ca="1">IFERROR(FORECAST(COUNT(Chart_Data!$F$2:$F$401)+1,Chart_Data!$F$2:$F$401,Chart_Data!$A$2:$A$401),"")</f>
        <v>13.999999999999998</v>
      </c>
      <c r="G33">
        <f ca="1">IFERROR(FORECAST($B$13+1,Chart_Data!$G$2:$G$401,Chart_Data!$A$2:$A$401),"")</f>
        <v>62.625290322580653</v>
      </c>
      <c r="H33">
        <f ca="1">IFERROR(FORECAST(COUNT(Chart_Data!$H$2:$H$401)+1,Chart_Data!$H$2:$H$401,Chart_Data!$A$2:$A$401),"")</f>
        <v>22.933333333333334</v>
      </c>
      <c r="I33">
        <f ca="1">IFERROR(FORECAST($B$13+1,Chart_Data!$I$2:$I$401,Chart_Data!$A$2:$A$401),"")</f>
        <v>75.213145161290299</v>
      </c>
    </row>
    <row r="34" spans="1:9" x14ac:dyDescent="0.3">
      <c r="A34" s="20" t="s">
        <v>244</v>
      </c>
      <c r="B34">
        <f t="shared" ref="B34:I34" ca="1" si="1">IFERROR(100*B8/B3,"")</f>
        <v>15.245985262905323</v>
      </c>
      <c r="C34">
        <f t="shared" ca="1" si="1"/>
        <v>7.0616381906995587</v>
      </c>
      <c r="D34">
        <f t="shared" ca="1" si="1"/>
        <v>25.814985643929692</v>
      </c>
      <c r="E34">
        <f t="shared" ca="1" si="1"/>
        <v>11.924200298321008</v>
      </c>
      <c r="F34">
        <f t="shared" ca="1" si="1"/>
        <v>45.148912917823324</v>
      </c>
      <c r="G34">
        <f t="shared" ca="1" si="1"/>
        <v>24.965024513751473</v>
      </c>
      <c r="H34">
        <f t="shared" ca="1" si="1"/>
        <v>39.015666369065414</v>
      </c>
      <c r="I34">
        <f t="shared" ca="1" si="1"/>
        <v>22.324040610719965</v>
      </c>
    </row>
    <row r="35" spans="1:9" x14ac:dyDescent="0.3">
      <c r="A35" s="20" t="s">
        <v>330</v>
      </c>
      <c r="B35" cm="1">
        <f t="array" aca="1" ref="B35" ca="1">IFERROR(SUMPRODUCT(IF(cd_Ovrsc="",0,cd_Ovrsc)*($B$42^($K$2-cd_Idx)))/SUMPRODUCT(IF(cd_Ovrsc="",0,1)*($B$42^($K$2-cd_Idx))),"")</f>
        <v>78.350278215784769</v>
      </c>
    </row>
    <row r="36" spans="1:9" ht="15.6" x14ac:dyDescent="0.3">
      <c r="A36" s="25" t="s">
        <v>252</v>
      </c>
      <c r="B36" s="25"/>
      <c r="C36" s="25"/>
      <c r="D36" s="25"/>
      <c r="E36" s="25"/>
      <c r="F36" s="25"/>
    </row>
    <row r="37" spans="1:9" x14ac:dyDescent="0.3">
      <c r="A37" s="26" t="s">
        <v>11</v>
      </c>
      <c r="B37" s="26" t="s">
        <v>253</v>
      </c>
      <c r="C37" s="26" t="s">
        <v>254</v>
      </c>
      <c r="D37" s="26" t="s">
        <v>255</v>
      </c>
      <c r="E37" s="26" t="s">
        <v>61</v>
      </c>
      <c r="F37" s="26" t="s">
        <v>258</v>
      </c>
    </row>
    <row r="38" spans="1:9" x14ac:dyDescent="0.3">
      <c r="A38" s="27" t="s">
        <v>256</v>
      </c>
      <c r="B38" s="39">
        <v>99.9</v>
      </c>
      <c r="C38" s="28">
        <f ca="1">IFERROR(C9,"")</f>
        <v>92.377499999999998</v>
      </c>
      <c r="D38" s="29">
        <f ca="1">IFERROR(B38-C38,"")</f>
        <v>7.522500000000008</v>
      </c>
      <c r="E38" s="30" t="str">
        <f ca="1">IF(C38="","—",IF(C38&gt;=B38,"✓ On target",IF(C32&gt;0,"Closing +"&amp;TEXT(C32,"0.0")&amp;"/mock","Behind")))</f>
        <v>Behind</v>
      </c>
      <c r="F38" s="30" t="str">
        <f ca="1">IF(C38="","—",IF(D38&lt;=0,"✓ met",IF(C32&lt;=0,"not closing",ROUND(D38/C32,0))))</f>
        <v>not closing</v>
      </c>
    </row>
    <row r="39" spans="1:9" x14ac:dyDescent="0.3">
      <c r="A39" s="27" t="s">
        <v>64</v>
      </c>
      <c r="B39" s="40">
        <v>55</v>
      </c>
      <c r="C39" s="28">
        <f ca="1">IFERROR(D9,"")</f>
        <v>37.200000000000003</v>
      </c>
      <c r="D39" s="29">
        <f ca="1">IFERROR(B39-C39,"")</f>
        <v>17.799999999999997</v>
      </c>
      <c r="E39" s="30" t="str">
        <f ca="1">IF(C39="","—",IF(C39&gt;=B39,"✓ On target",IF(D32&gt;0,"Closing +"&amp;TEXT(D32,"0.0")&amp;"/mock","Behind")))</f>
        <v>Behind</v>
      </c>
      <c r="F39" s="30" t="str">
        <f ca="1">IF(C39="","—",IF(D39&lt;=0,"✓ met",IF(D32&lt;=0,"not closing",ROUND(D39/D32,0))))</f>
        <v>not closing</v>
      </c>
    </row>
    <row r="40" spans="1:9" x14ac:dyDescent="0.3">
      <c r="A40" s="27" t="s">
        <v>70</v>
      </c>
      <c r="B40" s="40">
        <v>40</v>
      </c>
      <c r="C40" s="28">
        <f ca="1">IFERROR(F9,"")</f>
        <v>16.8</v>
      </c>
      <c r="D40" s="29">
        <f ca="1">IFERROR(B40-C40,"")</f>
        <v>23.2</v>
      </c>
      <c r="E40" s="30" t="str">
        <f ca="1">IF(C40="","—",IF(C40&gt;=B40,"✓ On target",IF(F32&gt;0,"Closing +"&amp;TEXT(F32,"0.0")&amp;"/mock","Behind")))</f>
        <v>Behind</v>
      </c>
      <c r="F40" s="30" t="str">
        <f ca="1">IF(C40="","—",IF(D40&lt;=0,"✓ met",IF(F32&lt;=0,"not closing",ROUND(D40/F32,0))))</f>
        <v>not closing</v>
      </c>
    </row>
    <row r="41" spans="1:9" x14ac:dyDescent="0.3">
      <c r="A41" s="27" t="s">
        <v>76</v>
      </c>
      <c r="B41" s="40">
        <v>45</v>
      </c>
      <c r="C41" s="28">
        <f ca="1">IFERROR(H9,"")</f>
        <v>21.8</v>
      </c>
      <c r="D41" s="29">
        <f ca="1">IFERROR(B41-C41,"")</f>
        <v>23.2</v>
      </c>
      <c r="E41" s="30" t="str">
        <f ca="1">IF(C41="","—",IF(C41&gt;=B41,"✓ On target",IF(H32&gt;0,"Closing +"&amp;TEXT(H32,"0.0")&amp;"/mock","Behind")))</f>
        <v>Closing +0.5/mock</v>
      </c>
      <c r="F41" s="30">
        <f ca="1">IF(C41="","—",IF(D41&lt;=0,"✓ met",IF(H32&lt;=0,"not closing",ROUND(D41/H32,0))))</f>
        <v>44</v>
      </c>
    </row>
    <row r="42" spans="1:9" x14ac:dyDescent="0.3">
      <c r="A42" s="90" t="s">
        <v>331</v>
      </c>
      <c r="B42" s="91">
        <v>0.94499999999999995</v>
      </c>
    </row>
    <row r="43" spans="1:9" ht="15.6" x14ac:dyDescent="0.3">
      <c r="A43" s="25" t="s">
        <v>259</v>
      </c>
      <c r="B43" s="25"/>
      <c r="C43" s="25"/>
      <c r="D43" s="25"/>
      <c r="E43" s="25"/>
      <c r="F43" s="25"/>
    </row>
    <row r="44" spans="1:9" x14ac:dyDescent="0.3">
      <c r="A44" s="26" t="s">
        <v>246</v>
      </c>
      <c r="B44" s="26" t="s">
        <v>260</v>
      </c>
      <c r="C44" s="26" t="s">
        <v>261</v>
      </c>
      <c r="D44" s="26" t="s">
        <v>262</v>
      </c>
      <c r="E44" s="26" t="s">
        <v>263</v>
      </c>
      <c r="F44" s="26" t="s">
        <v>264</v>
      </c>
    </row>
    <row r="45" spans="1:9" x14ac:dyDescent="0.3">
      <c r="A45" s="27" t="s">
        <v>249</v>
      </c>
      <c r="B45" s="28">
        <f>IFERROR(AVERAGEIFS('Mock Database'!$O$3:$O$152,'Mock Database'!$J$3:$J$152,"Completed"),"")</f>
        <v>24</v>
      </c>
      <c r="C45" s="28">
        <f>IFERROR(AVERAGEIFS('Mock Database'!$P$3:$P$152,'Mock Database'!$J$3:$J$152,"Completed"),"")</f>
        <v>15.1</v>
      </c>
      <c r="D45" s="28">
        <f>IFERROR(AVERAGEIFS('Mock Database'!$Q$3:$Q$152,'Mock Database'!$J$3:$J$152,"Completed"),"")</f>
        <v>8.9</v>
      </c>
      <c r="E45" s="31">
        <f>IFERROR(AVERAGEIFS('Mock Database'!$R$3:$R$152,'Mock Database'!$J$3:$J$152,"Completed"),"")</f>
        <v>0.62916666666666665</v>
      </c>
      <c r="F45" s="32">
        <f ca="1">IFERROR(D3/B45,"")</f>
        <v>1.5999999999999999</v>
      </c>
    </row>
    <row r="46" spans="1:9" x14ac:dyDescent="0.3">
      <c r="A46" s="27" t="s">
        <v>250</v>
      </c>
      <c r="B46" s="28">
        <f>IFERROR(AVERAGEIFS('Mock Database'!$U$3:$U$152,'Mock Database'!$J$3:$J$152,"Completed"),"")</f>
        <v>11</v>
      </c>
      <c r="C46" s="28">
        <f>IFERROR(AVERAGEIFS('Mock Database'!$V$3:$V$152,'Mock Database'!$J$3:$J$152,"Completed"),"")</f>
        <v>7.3</v>
      </c>
      <c r="D46" s="28">
        <f>IFERROR(AVERAGEIFS('Mock Database'!$W$3:$W$152,'Mock Database'!$J$3:$J$152,"Completed"),"")</f>
        <v>3.7</v>
      </c>
      <c r="E46" s="31">
        <f>IFERROR(AVERAGEIFS('Mock Database'!$X$3:$X$152,'Mock Database'!$J$3:$J$152,"Completed"),"")</f>
        <v>0.66860334110334119</v>
      </c>
      <c r="F46" s="32">
        <f ca="1">IFERROR(F3/B46,"")</f>
        <v>1.8818181818181818</v>
      </c>
    </row>
    <row r="47" spans="1:9" x14ac:dyDescent="0.3">
      <c r="A47" s="27" t="s">
        <v>251</v>
      </c>
      <c r="B47" s="28">
        <f>IFERROR(AVERAGEIFS('Mock Database'!$AA$3:$AA$152,'Mock Database'!$J$3:$J$152,"Completed"),"")</f>
        <v>10.9</v>
      </c>
      <c r="C47" s="28">
        <f>IFERROR(AVERAGEIFS('Mock Database'!$AB$3:$AB$152,'Mock Database'!$J$3:$J$152,"Completed"),"")</f>
        <v>7</v>
      </c>
      <c r="D47" s="28">
        <f>IFERROR(AVERAGEIFS('Mock Database'!$AC$3:$AC$152,'Mock Database'!$J$3:$J$152,"Completed"),"")</f>
        <v>3.9</v>
      </c>
      <c r="E47" s="31">
        <f>IFERROR(AVERAGEIFS('Mock Database'!$AD$3:$AD$152,'Mock Database'!$J$3:$J$152,"Completed"),"")</f>
        <v>0.65400183150183144</v>
      </c>
      <c r="F47" s="32">
        <f ca="1">IFERROR(H3/B47,"")</f>
        <v>1.8348623853211008</v>
      </c>
    </row>
    <row r="48" spans="1:9" x14ac:dyDescent="0.3">
      <c r="A48" s="33" t="s">
        <v>265</v>
      </c>
      <c r="B48" s="34">
        <f>IFERROR(AVERAGEIFS('Mock Database'!$AG$3:$AG$152,'Mock Database'!$J$3:$J$152,"Completed"),"")</f>
        <v>45.9</v>
      </c>
      <c r="C48" s="34">
        <f>IFERROR(AVERAGEIFS('Mock Database'!$AH$3:$AH$152,'Mock Database'!$J$3:$J$152,"Completed"),"")</f>
        <v>29.4</v>
      </c>
      <c r="D48" s="34">
        <f>IFERROR(AVERAGEIFS('Mock Database'!$AI$3:$AI$152,'Mock Database'!$J$3:$J$152,"Completed"),"")</f>
        <v>16.5</v>
      </c>
      <c r="E48" s="35">
        <f>IFERROR(AVERAGEIFS('Mock Database'!$AJ$3:$AJ$152,'Mock Database'!$J$3:$J$152,"Completed"),"")</f>
        <v>0.64489899064630873</v>
      </c>
      <c r="F48" s="36">
        <f ca="1">IFERROR(B3/B48,"")</f>
        <v>1.7233115468409586</v>
      </c>
    </row>
    <row r="50" spans="1:6" x14ac:dyDescent="0.3">
      <c r="A50" s="37" t="s">
        <v>266</v>
      </c>
      <c r="B50" s="38" t="str">
        <f ca="1">IFERROR("Most efficient: "&amp;INDEX($A$45:$A$47,MATCH(MAX($F$45:$F$47),$F$45:$F$47,0))&amp;" ("&amp;TEXT(MAX($F$45:$F$47),"0.00")&amp;" marks/attempt)  ·  Least efficient: "&amp;INDEX($A$45:$A$47,MATCH(MIN($F$45:$F$47),$F$45:$F$47,0))&amp;" ("&amp;TEXT(MIN($F$45:$F$47),"0.00")&amp;")  ·  Most negatives: "&amp;INDEX($A$45:$A$47,MATCH(MAX($D$45:$D$47),$D$45:$D$47,0))&amp;" ("&amp;TEXT(MAX($D$45:$D$47),"0.0")&amp;" wrong/mock)","—")</f>
        <v>Most efficient: DILR (1.88 marks/attempt)  ·  Least efficient: VARC (1.60)  ·  Most negatives: VARC (8.9 wrong/mock)</v>
      </c>
      <c r="C50" s="38"/>
      <c r="D50" s="38"/>
      <c r="E50" s="38"/>
      <c r="F50" s="38"/>
    </row>
  </sheetData>
  <sheetProtection sheet="1" scenarios="1" sort="0" autoFilter="0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1B9A"/>
  </sheetPr>
  <dimension ref="A1:F85"/>
  <sheetViews>
    <sheetView showGridLines="0" topLeftCell="A44" zoomScaleNormal="100" workbookViewId="0">
      <selection activeCell="K30" sqref="K30"/>
    </sheetView>
  </sheetViews>
  <sheetFormatPr defaultColWidth="8.6640625" defaultRowHeight="14.4" x14ac:dyDescent="0.3"/>
  <cols>
    <col min="1" max="1" width="24" customWidth="1"/>
    <col min="2" max="3" width="14" customWidth="1"/>
    <col min="4" max="4" width="20" customWidth="1"/>
    <col min="5" max="5" width="10" customWidth="1"/>
  </cols>
  <sheetData>
    <row r="1" spans="1:5" ht="19.5" customHeight="1" x14ac:dyDescent="0.3">
      <c r="A1" s="130" t="s">
        <v>170</v>
      </c>
      <c r="B1" s="130"/>
      <c r="C1" s="130"/>
      <c r="D1" s="130"/>
      <c r="E1" s="130"/>
    </row>
    <row r="2" spans="1:5" ht="15" customHeight="1" x14ac:dyDescent="0.3">
      <c r="A2" s="131" t="s">
        <v>226</v>
      </c>
      <c r="B2" s="131"/>
      <c r="C2" s="131"/>
      <c r="D2" s="131"/>
      <c r="E2" s="131"/>
    </row>
    <row r="4" spans="1:5" ht="24" customHeight="1" x14ac:dyDescent="0.3">
      <c r="A4" s="132" t="s">
        <v>171</v>
      </c>
      <c r="B4" s="132"/>
      <c r="C4" s="132"/>
      <c r="D4" s="132"/>
      <c r="E4" s="132"/>
    </row>
    <row r="5" spans="1:5" ht="15.75" customHeight="1" x14ac:dyDescent="0.3">
      <c r="A5" s="62" t="s">
        <v>172</v>
      </c>
      <c r="B5" s="62" t="s">
        <v>12</v>
      </c>
      <c r="C5" s="62" t="s">
        <v>173</v>
      </c>
      <c r="D5" s="62" t="s">
        <v>174</v>
      </c>
      <c r="E5" s="62" t="s">
        <v>175</v>
      </c>
    </row>
    <row r="6" spans="1:5" ht="16.5" customHeight="1" x14ac:dyDescent="0.3">
      <c r="A6" s="63" t="s">
        <v>15</v>
      </c>
      <c r="B6" s="43">
        <f ca="1">IFERROR(Calculations!B2,"—")</f>
        <v>55</v>
      </c>
      <c r="C6" s="43">
        <f ca="1">IFERROR(Calculations!C2,"—")</f>
        <v>79.22</v>
      </c>
      <c r="D6" s="50" t="str">
        <f ca="1">IFERROR(IF(Calculations!B2&gt;=Calculations!B3,"▲ Above avg","▼ Below avg"),"—")</f>
        <v>▼ Below avg</v>
      </c>
      <c r="E6" s="99">
        <f ca="1">IFERROR(Calculations!B13,"")</f>
        <v>10</v>
      </c>
    </row>
    <row r="7" spans="1:5" ht="16.5" customHeight="1" x14ac:dyDescent="0.3">
      <c r="A7" s="64" t="s">
        <v>16</v>
      </c>
      <c r="B7" s="46">
        <f ca="1">IFERROR(Calculations!B3,"—")</f>
        <v>79.099999999999994</v>
      </c>
      <c r="C7" s="46">
        <f ca="1">IFERROR(Calculations!C3,"—")</f>
        <v>92.015555555555565</v>
      </c>
      <c r="D7" s="47"/>
      <c r="E7" s="65"/>
    </row>
    <row r="8" spans="1:5" ht="16.5" customHeight="1" x14ac:dyDescent="0.3">
      <c r="A8" s="66" t="s">
        <v>17</v>
      </c>
      <c r="B8" s="49">
        <f ca="1">IFERROR(Calculations!B4,"—")</f>
        <v>82.5</v>
      </c>
      <c r="C8" s="49">
        <f ca="1">IFERROR(Calculations!C4,"—")</f>
        <v>94.82</v>
      </c>
      <c r="D8" s="50"/>
      <c r="E8" s="67"/>
    </row>
    <row r="9" spans="1:5" ht="16.5" customHeight="1" x14ac:dyDescent="0.3">
      <c r="A9" s="68" t="s">
        <v>18</v>
      </c>
      <c r="B9" s="52">
        <f ca="1">IFERROR(Calculations!B5,"—")</f>
        <v>95</v>
      </c>
      <c r="C9" s="52">
        <f ca="1">IFERROR(Calculations!C5,"—")</f>
        <v>98.37</v>
      </c>
      <c r="D9" s="47"/>
      <c r="E9" s="65"/>
    </row>
    <row r="10" spans="1:5" ht="16.5" customHeight="1" x14ac:dyDescent="0.3">
      <c r="A10" s="66" t="s">
        <v>19</v>
      </c>
      <c r="B10" s="49">
        <f ca="1">IFERROR(Calculations!B6,"—")</f>
        <v>55</v>
      </c>
      <c r="C10" s="49">
        <f ca="1">IFERROR(Calculations!C6,"—")</f>
        <v>79.22</v>
      </c>
      <c r="D10" s="50"/>
      <c r="E10" s="67"/>
    </row>
    <row r="11" spans="1:5" ht="16.5" customHeight="1" x14ac:dyDescent="0.3">
      <c r="A11" s="64" t="s">
        <v>176</v>
      </c>
      <c r="B11" s="46">
        <f ca="1">IFERROR(Calculations!B7,"—")</f>
        <v>145.43333333333351</v>
      </c>
      <c r="C11" s="46">
        <f ca="1">IFERROR(Calculations!C7,"—")</f>
        <v>42.221477777777778</v>
      </c>
      <c r="D11" s="47"/>
      <c r="E11" s="65"/>
    </row>
    <row r="12" spans="1:5" ht="16.5" customHeight="1" x14ac:dyDescent="0.3">
      <c r="A12" s="66" t="s">
        <v>177</v>
      </c>
      <c r="B12" s="49">
        <f ca="1">IFERROR(Calculations!B8,"—")</f>
        <v>12.059574342958109</v>
      </c>
      <c r="C12" s="49">
        <f ca="1">IFERROR(Calculations!C8,"—")</f>
        <v>6.4978056124954815</v>
      </c>
      <c r="D12" s="50"/>
      <c r="E12" s="67"/>
    </row>
    <row r="13" spans="1:5" ht="16.5" customHeight="1" x14ac:dyDescent="0.3">
      <c r="A13" s="64" t="s">
        <v>178</v>
      </c>
      <c r="B13" s="46">
        <f ca="1">IFERROR(Calculations!B9,"—")</f>
        <v>75.8</v>
      </c>
      <c r="C13" s="46">
        <f ca="1">IFERROR(Calculations!C9,"—")</f>
        <v>92.377499999999998</v>
      </c>
      <c r="D13" s="47"/>
      <c r="E13" s="65"/>
    </row>
    <row r="14" spans="1:5" ht="16.5" customHeight="1" x14ac:dyDescent="0.3">
      <c r="A14" s="66" t="s">
        <v>179</v>
      </c>
      <c r="B14" s="49">
        <f ca="1">IFERROR(Calculations!B10,"—")</f>
        <v>79.099999999999994</v>
      </c>
      <c r="C14" s="49">
        <f ca="1">IFERROR(Calculations!C10,"—")</f>
        <v>92.015555555555565</v>
      </c>
      <c r="D14" s="50"/>
      <c r="E14" s="67"/>
    </row>
    <row r="15" spans="1:5" ht="16.5" customHeight="1" x14ac:dyDescent="0.3">
      <c r="A15" s="64" t="s">
        <v>23</v>
      </c>
      <c r="B15" s="69">
        <f ca="1">IFERROR(Calculations!B11,"—")</f>
        <v>-21</v>
      </c>
      <c r="C15" s="69">
        <f ca="1">IFERROR(Calculations!C11,"—")</f>
        <v>-9.7000000000000028</v>
      </c>
      <c r="D15" s="47" t="str">
        <f ca="1">IFERROR(IF(Calculations!B11&gt;=0,"▲ Positive","▼ Negative"),"—")</f>
        <v>▼ Negative</v>
      </c>
      <c r="E15" s="65"/>
    </row>
    <row r="16" spans="1:5" ht="16.5" customHeight="1" x14ac:dyDescent="0.3">
      <c r="A16" s="63" t="s">
        <v>180</v>
      </c>
      <c r="B16" s="43">
        <f ca="1">IFERROR(Calculations!B12,"—")</f>
        <v>95</v>
      </c>
      <c r="C16" s="43">
        <f ca="1">IFERROR(Calculations!C12,"—")</f>
        <v>98.37</v>
      </c>
      <c r="D16" s="50"/>
      <c r="E16" s="67"/>
    </row>
    <row r="17" spans="1:5" ht="16.5" customHeight="1" x14ac:dyDescent="0.3">
      <c r="A17" s="64" t="s">
        <v>24</v>
      </c>
      <c r="B17" s="69">
        <f ca="1">IFERROR(Calculations!B14,"—")</f>
        <v>-3.2999999999999972</v>
      </c>
      <c r="C17" s="69">
        <f ca="1">IFERROR(Calculations!C14,"—")</f>
        <v>0.36194444444443263</v>
      </c>
      <c r="D17" s="47" t="str">
        <f ca="1">IFERROR(IF(Calculations!B14&gt;=0,"▲ Positive","▼ Negative"),"—")</f>
        <v>▼ Negative</v>
      </c>
      <c r="E17" s="65"/>
    </row>
    <row r="18" spans="1:5" ht="16.5" customHeight="1" x14ac:dyDescent="0.3">
      <c r="A18" s="66" t="s">
        <v>181</v>
      </c>
      <c r="B18" s="53">
        <f ca="1">IFERROR(Calculations!B15,"—")</f>
        <v>0</v>
      </c>
      <c r="C18" s="53">
        <f ca="1">IFERROR(Calculations!C15,"—")</f>
        <v>0</v>
      </c>
      <c r="D18" s="50" t="str">
        <f ca="1">IFERROR(IF(Calculations!B15&gt;=0,"▲ Positive","▼ Negative"),"—")</f>
        <v>▲ Positive</v>
      </c>
      <c r="E18" s="67"/>
    </row>
    <row r="19" spans="1:5" ht="16.5" customHeight="1" x14ac:dyDescent="0.3">
      <c r="A19" s="64" t="s">
        <v>182</v>
      </c>
      <c r="B19" s="46">
        <f ca="1">IFERROR(Calculations!B16,"—")</f>
        <v>84.754014737094678</v>
      </c>
      <c r="C19" s="46">
        <f ca="1">IFERROR(Calculations!C16,"—")</f>
        <v>92.938361809300446</v>
      </c>
      <c r="D19" s="47" t="str">
        <f ca="1">IFERROR(IF(Calculations!B16&gt;=90,"●●● High",IF(Calculations!B16&gt;=75,"●●○ Medium","●○○ Low")),"—")</f>
        <v>●●○ Medium</v>
      </c>
      <c r="E19" s="65"/>
    </row>
    <row r="20" spans="1:5" ht="24" customHeight="1" x14ac:dyDescent="0.3">
      <c r="A20" s="133" t="s">
        <v>183</v>
      </c>
      <c r="B20" s="133"/>
      <c r="C20" s="133"/>
      <c r="D20" s="133"/>
      <c r="E20" s="133"/>
    </row>
    <row r="21" spans="1:5" ht="15.75" customHeight="1" x14ac:dyDescent="0.3">
      <c r="A21" s="62" t="s">
        <v>172</v>
      </c>
      <c r="B21" s="62" t="s">
        <v>12</v>
      </c>
      <c r="C21" s="62" t="s">
        <v>173</v>
      </c>
      <c r="D21" s="62" t="s">
        <v>174</v>
      </c>
      <c r="E21" s="62" t="s">
        <v>175</v>
      </c>
    </row>
    <row r="22" spans="1:5" ht="16.5" customHeight="1" x14ac:dyDescent="0.3">
      <c r="A22" s="63" t="s">
        <v>15</v>
      </c>
      <c r="B22" s="43">
        <f ca="1">IFERROR(Calculations!D2,"—")</f>
        <v>20</v>
      </c>
      <c r="C22" s="43">
        <f ca="1">IFERROR(Calculations!E2,"—")</f>
        <v>65.510000000000005</v>
      </c>
      <c r="D22" s="50" t="str">
        <f ca="1">IFERROR(IF(Calculations!D2&gt;=Calculations!D3,"▲ Above avg","▼ Below avg"),"—")</f>
        <v>▼ Below avg</v>
      </c>
      <c r="E22" s="99">
        <f ca="1">IFERROR(Calculations!D13,"")</f>
        <v>10</v>
      </c>
    </row>
    <row r="23" spans="1:5" ht="16.5" customHeight="1" x14ac:dyDescent="0.3">
      <c r="A23" s="64" t="s">
        <v>16</v>
      </c>
      <c r="B23" s="46">
        <f ca="1">IFERROR(Calculations!D3,"—")</f>
        <v>38.4</v>
      </c>
      <c r="C23" s="46">
        <f ca="1">IFERROR(Calculations!E3,"—")</f>
        <v>92.475555555555559</v>
      </c>
      <c r="D23" s="47"/>
      <c r="E23" s="65"/>
    </row>
    <row r="24" spans="1:5" ht="16.5" customHeight="1" x14ac:dyDescent="0.3">
      <c r="A24" s="66" t="s">
        <v>17</v>
      </c>
      <c r="B24" s="49">
        <f ca="1">IFERROR(Calculations!D4,"—")</f>
        <v>37.5</v>
      </c>
      <c r="C24" s="49">
        <f ca="1">IFERROR(Calculations!E4,"—")</f>
        <v>98.12</v>
      </c>
      <c r="D24" s="50"/>
      <c r="E24" s="67"/>
    </row>
    <row r="25" spans="1:5" ht="16.5" customHeight="1" x14ac:dyDescent="0.3">
      <c r="A25" s="68" t="s">
        <v>18</v>
      </c>
      <c r="B25" s="52">
        <f ca="1">IFERROR(Calculations!D5,"—")</f>
        <v>50</v>
      </c>
      <c r="C25" s="52">
        <f ca="1">IFERROR(Calculations!E5,"—")</f>
        <v>99.91</v>
      </c>
      <c r="D25" s="47"/>
      <c r="E25" s="65"/>
    </row>
    <row r="26" spans="1:5" ht="16.5" customHeight="1" x14ac:dyDescent="0.3">
      <c r="A26" s="66" t="s">
        <v>19</v>
      </c>
      <c r="B26" s="49">
        <f ca="1">IFERROR(Calculations!D6,"—")</f>
        <v>20</v>
      </c>
      <c r="C26" s="49">
        <f ca="1">IFERROR(Calculations!E6,"—")</f>
        <v>65.510000000000005</v>
      </c>
      <c r="D26" s="50"/>
      <c r="E26" s="67"/>
    </row>
    <row r="27" spans="1:5" ht="16.5" customHeight="1" x14ac:dyDescent="0.3">
      <c r="A27" s="64" t="s">
        <v>176</v>
      </c>
      <c r="B27" s="46">
        <f ca="1">IFERROR(Calculations!D7,"—")</f>
        <v>98.266666666666623</v>
      </c>
      <c r="C27" s="46">
        <f ca="1">IFERROR(Calculations!E7,"—")</f>
        <v>121.5940777777796</v>
      </c>
      <c r="D27" s="47"/>
      <c r="E27" s="65"/>
    </row>
    <row r="28" spans="1:5" ht="16.5" customHeight="1" x14ac:dyDescent="0.3">
      <c r="A28" s="66" t="s">
        <v>177</v>
      </c>
      <c r="B28" s="49">
        <f ca="1">IFERROR(Calculations!D8,"—")</f>
        <v>9.9129544872690012</v>
      </c>
      <c r="C28" s="49">
        <f ca="1">IFERROR(Calculations!E8,"—")</f>
        <v>11.026970471429566</v>
      </c>
      <c r="D28" s="50"/>
      <c r="E28" s="67"/>
    </row>
    <row r="29" spans="1:5" ht="16.5" customHeight="1" x14ac:dyDescent="0.3">
      <c r="A29" s="64" t="s">
        <v>178</v>
      </c>
      <c r="B29" s="46">
        <f ca="1">IFERROR(Calculations!D9,"—")</f>
        <v>37.200000000000003</v>
      </c>
      <c r="C29" s="46">
        <f ca="1">IFERROR(Calculations!E9,"—")</f>
        <v>90.789999999999992</v>
      </c>
      <c r="D29" s="47"/>
      <c r="E29" s="65"/>
    </row>
    <row r="30" spans="1:5" ht="16.5" customHeight="1" x14ac:dyDescent="0.3">
      <c r="A30" s="66" t="s">
        <v>179</v>
      </c>
      <c r="B30" s="49">
        <f ca="1">IFERROR(Calculations!D10,"—")</f>
        <v>38.4</v>
      </c>
      <c r="C30" s="49">
        <f ca="1">IFERROR(Calculations!E10,"—")</f>
        <v>92.475555555555559</v>
      </c>
      <c r="D30" s="50"/>
      <c r="E30" s="67"/>
    </row>
    <row r="31" spans="1:5" ht="16.5" customHeight="1" x14ac:dyDescent="0.3">
      <c r="A31" s="64" t="s">
        <v>23</v>
      </c>
      <c r="B31" s="69">
        <f ca="1">IFERROR(Calculations!D11,"—")</f>
        <v>-11</v>
      </c>
      <c r="C31" s="69">
        <f ca="1">IFERROR(Calculations!E11,"—")</f>
        <v>-22.509999999999991</v>
      </c>
      <c r="D31" s="47" t="str">
        <f ca="1">IFERROR(IF(Calculations!D11&gt;=0,"▲ Positive","▼ Negative"),"—")</f>
        <v>▼ Negative</v>
      </c>
      <c r="E31" s="65"/>
    </row>
    <row r="32" spans="1:5" ht="16.5" customHeight="1" x14ac:dyDescent="0.3">
      <c r="A32" s="63" t="s">
        <v>180</v>
      </c>
      <c r="B32" s="43">
        <f ca="1">IFERROR(Calculations!D12,"—")</f>
        <v>50</v>
      </c>
      <c r="C32" s="43">
        <f ca="1">IFERROR(Calculations!E12,"—")</f>
        <v>99.91</v>
      </c>
      <c r="D32" s="50"/>
      <c r="E32" s="67"/>
    </row>
    <row r="33" spans="1:5" ht="16.5" customHeight="1" x14ac:dyDescent="0.3">
      <c r="A33" s="64" t="s">
        <v>24</v>
      </c>
      <c r="B33" s="69">
        <f ca="1">IFERROR(Calculations!D14,"—")</f>
        <v>-1.1999999999999957</v>
      </c>
      <c r="C33" s="69">
        <f ca="1">IFERROR(Calculations!E14,"—")</f>
        <v>-1.6855555555555668</v>
      </c>
      <c r="D33" s="47" t="str">
        <f ca="1">IFERROR(IF(Calculations!D14&gt;=0,"▲ Positive","▼ Negative"),"—")</f>
        <v>▼ Negative</v>
      </c>
      <c r="E33" s="65"/>
    </row>
    <row r="34" spans="1:5" ht="16.5" customHeight="1" x14ac:dyDescent="0.3">
      <c r="A34" s="66" t="s">
        <v>181</v>
      </c>
      <c r="B34" s="53">
        <f ca="1">IFERROR(Calculations!D15,"—")</f>
        <v>0</v>
      </c>
      <c r="C34" s="53">
        <f ca="1">IFERROR(Calculations!E15,"—")</f>
        <v>0</v>
      </c>
      <c r="D34" s="50" t="str">
        <f ca="1">IFERROR(IF(Calculations!D15&gt;=0,"▲ Positive","▼ Negative"),"—")</f>
        <v>▲ Positive</v>
      </c>
      <c r="E34" s="67"/>
    </row>
    <row r="35" spans="1:5" ht="16.5" customHeight="1" x14ac:dyDescent="0.3">
      <c r="A35" s="64" t="s">
        <v>182</v>
      </c>
      <c r="B35" s="46">
        <f ca="1">IFERROR(Calculations!D16,"—")</f>
        <v>74.185014356070297</v>
      </c>
      <c r="C35" s="46">
        <f ca="1">IFERROR(Calculations!E16,"—")</f>
        <v>88.075799701678989</v>
      </c>
      <c r="D35" s="47" t="str">
        <f ca="1">IFERROR(IF(Calculations!D16&gt;=90,"●●● High",IF(Calculations!D16&gt;=75,"●●○ Medium","●○○ Low")),"—")</f>
        <v>●○○ Low</v>
      </c>
      <c r="E35" s="65"/>
    </row>
    <row r="36" spans="1:5" ht="24" customHeight="1" x14ac:dyDescent="0.3">
      <c r="A36" s="134" t="s">
        <v>184</v>
      </c>
      <c r="B36" s="134"/>
      <c r="C36" s="134"/>
      <c r="D36" s="134"/>
      <c r="E36" s="134"/>
    </row>
    <row r="37" spans="1:5" ht="15.75" customHeight="1" x14ac:dyDescent="0.3">
      <c r="A37" s="62" t="s">
        <v>172</v>
      </c>
      <c r="B37" s="62" t="s">
        <v>12</v>
      </c>
      <c r="C37" s="62" t="s">
        <v>173</v>
      </c>
      <c r="D37" s="62" t="s">
        <v>174</v>
      </c>
      <c r="E37" s="62" t="s">
        <v>175</v>
      </c>
    </row>
    <row r="38" spans="1:5" ht="16.5" customHeight="1" x14ac:dyDescent="0.3">
      <c r="A38" s="63" t="s">
        <v>15</v>
      </c>
      <c r="B38" s="43">
        <f ca="1">IFERROR(Calculations!F2,"—")</f>
        <v>16</v>
      </c>
      <c r="C38" s="43">
        <f ca="1">IFERROR(Calculations!G2,"—")</f>
        <v>83.74</v>
      </c>
      <c r="D38" s="50" t="str">
        <f ca="1">IFERROR(IF(Calculations!F2&gt;=Calculations!F3,"▲ Above avg","▼ Below avg"),"—")</f>
        <v>▼ Below avg</v>
      </c>
      <c r="E38" s="99">
        <f ca="1">IFERROR(Calculations!F13,"")</f>
        <v>10</v>
      </c>
    </row>
    <row r="39" spans="1:5" ht="16.5" customHeight="1" x14ac:dyDescent="0.3">
      <c r="A39" s="64" t="s">
        <v>16</v>
      </c>
      <c r="B39" s="46">
        <f ca="1">IFERROR(Calculations!F3,"—")</f>
        <v>20.7</v>
      </c>
      <c r="C39" s="46">
        <f ca="1">IFERROR(Calculations!G3,"—")</f>
        <v>77.814444444444447</v>
      </c>
      <c r="D39" s="47"/>
      <c r="E39" s="65"/>
    </row>
    <row r="40" spans="1:5" ht="16.5" customHeight="1" x14ac:dyDescent="0.3">
      <c r="A40" s="66" t="s">
        <v>17</v>
      </c>
      <c r="B40" s="49">
        <f ca="1">IFERROR(Calculations!F4,"—")</f>
        <v>22</v>
      </c>
      <c r="C40" s="49">
        <f ca="1">IFERROR(Calculations!G4,"—")</f>
        <v>83.74</v>
      </c>
      <c r="D40" s="50"/>
      <c r="E40" s="67"/>
    </row>
    <row r="41" spans="1:5" ht="16.5" customHeight="1" x14ac:dyDescent="0.3">
      <c r="A41" s="68" t="s">
        <v>18</v>
      </c>
      <c r="B41" s="52">
        <f ca="1">IFERROR(Calculations!F5,"—")</f>
        <v>36</v>
      </c>
      <c r="C41" s="52">
        <f ca="1">IFERROR(Calculations!G5,"—")</f>
        <v>94.69</v>
      </c>
      <c r="D41" s="47"/>
      <c r="E41" s="65"/>
    </row>
    <row r="42" spans="1:5" ht="16.5" customHeight="1" x14ac:dyDescent="0.3">
      <c r="A42" s="66" t="s">
        <v>19</v>
      </c>
      <c r="B42" s="49">
        <f ca="1">IFERROR(Calculations!F6,"—")</f>
        <v>3</v>
      </c>
      <c r="C42" s="49">
        <f ca="1">IFERROR(Calculations!G6,"—")</f>
        <v>33.840000000000003</v>
      </c>
      <c r="D42" s="50"/>
      <c r="E42" s="67"/>
    </row>
    <row r="43" spans="1:5" ht="16.5" customHeight="1" x14ac:dyDescent="0.3">
      <c r="A43" s="64" t="s">
        <v>176</v>
      </c>
      <c r="B43" s="46">
        <f ca="1">IFERROR(Calculations!F7,"—")</f>
        <v>87.344444444444491</v>
      </c>
      <c r="C43" s="46">
        <f ca="1">IFERROR(Calculations!G7,"—")</f>
        <v>377.38482777777881</v>
      </c>
      <c r="D43" s="47"/>
      <c r="E43" s="65"/>
    </row>
    <row r="44" spans="1:5" ht="16.5" customHeight="1" x14ac:dyDescent="0.3">
      <c r="A44" s="66" t="s">
        <v>177</v>
      </c>
      <c r="B44" s="49">
        <f ca="1">IFERROR(Calculations!F8,"—")</f>
        <v>9.3458249739894281</v>
      </c>
      <c r="C44" s="49">
        <f ca="1">IFERROR(Calculations!G8,"—")</f>
        <v>19.426395130795079</v>
      </c>
      <c r="D44" s="50"/>
      <c r="E44" s="67"/>
    </row>
    <row r="45" spans="1:5" ht="16.5" customHeight="1" x14ac:dyDescent="0.3">
      <c r="A45" s="64" t="s">
        <v>178</v>
      </c>
      <c r="B45" s="46">
        <f ca="1">IFERROR(Calculations!F9,"—")</f>
        <v>16.8</v>
      </c>
      <c r="C45" s="46">
        <f ca="1">IFERROR(Calculations!G9,"—")</f>
        <v>67.337500000000006</v>
      </c>
      <c r="D45" s="47"/>
      <c r="E45" s="65"/>
    </row>
    <row r="46" spans="1:5" ht="16.5" customHeight="1" x14ac:dyDescent="0.3">
      <c r="A46" s="66" t="s">
        <v>179</v>
      </c>
      <c r="B46" s="49">
        <f ca="1">IFERROR(Calculations!F10,"—")</f>
        <v>20.7</v>
      </c>
      <c r="C46" s="49">
        <f ca="1">IFERROR(Calculations!G10,"—")</f>
        <v>77.814444444444447</v>
      </c>
      <c r="D46" s="50"/>
      <c r="E46" s="67"/>
    </row>
    <row r="47" spans="1:5" ht="16.5" customHeight="1" x14ac:dyDescent="0.3">
      <c r="A47" s="64" t="s">
        <v>23</v>
      </c>
      <c r="B47" s="69">
        <f ca="1">IFERROR(Calculations!F11,"—")</f>
        <v>-8</v>
      </c>
      <c r="C47" s="69">
        <f ca="1">IFERROR(Calculations!G11,"—")</f>
        <v>-6.3000000000000114</v>
      </c>
      <c r="D47" s="47" t="str">
        <f ca="1">IFERROR(IF(Calculations!F11&gt;=0,"▲ Positive","▼ Negative"),"—")</f>
        <v>▼ Negative</v>
      </c>
      <c r="E47" s="65"/>
    </row>
    <row r="48" spans="1:5" ht="16.5" customHeight="1" x14ac:dyDescent="0.3">
      <c r="A48" s="63" t="s">
        <v>180</v>
      </c>
      <c r="B48" s="43">
        <f ca="1">IFERROR(Calculations!F12,"—")</f>
        <v>36</v>
      </c>
      <c r="C48" s="43">
        <f ca="1">IFERROR(Calculations!G12,"—")</f>
        <v>94.69</v>
      </c>
      <c r="D48" s="50"/>
      <c r="E48" s="67"/>
    </row>
    <row r="49" spans="1:5" ht="16.5" customHeight="1" x14ac:dyDescent="0.3">
      <c r="A49" s="64" t="s">
        <v>24</v>
      </c>
      <c r="B49" s="69">
        <f ca="1">IFERROR(Calculations!F14,"—")</f>
        <v>-3.8999999999999986</v>
      </c>
      <c r="C49" s="69">
        <f ca="1">IFERROR(Calculations!G14,"—")</f>
        <v>-10.476944444444442</v>
      </c>
      <c r="D49" s="47" t="str">
        <f ca="1">IFERROR(IF(Calculations!F14&gt;=0,"▲ Positive","▼ Negative"),"—")</f>
        <v>▼ Negative</v>
      </c>
      <c r="E49" s="65"/>
    </row>
    <row r="50" spans="1:5" ht="16.5" customHeight="1" x14ac:dyDescent="0.3">
      <c r="A50" s="66" t="s">
        <v>181</v>
      </c>
      <c r="B50" s="53">
        <f ca="1">IFERROR(Calculations!F15,"—")</f>
        <v>0</v>
      </c>
      <c r="C50" s="53">
        <f ca="1">IFERROR(Calculations!G15,"—")</f>
        <v>0</v>
      </c>
      <c r="D50" s="50" t="str">
        <f ca="1">IFERROR(IF(Calculations!F15&gt;=0,"▲ Positive","▼ Negative"),"—")</f>
        <v>▲ Positive</v>
      </c>
      <c r="E50" s="67"/>
    </row>
    <row r="51" spans="1:5" ht="16.5" customHeight="1" x14ac:dyDescent="0.3">
      <c r="A51" s="64" t="s">
        <v>182</v>
      </c>
      <c r="B51" s="46">
        <f ca="1">IFERROR(Calculations!F16,"—")</f>
        <v>54.851087082176676</v>
      </c>
      <c r="C51" s="46">
        <f ca="1">IFERROR(Calculations!G16,"—")</f>
        <v>75.034975486248527</v>
      </c>
      <c r="D51" s="47" t="str">
        <f ca="1">IFERROR(IF(Calculations!F16&gt;=90,"●●● High",IF(Calculations!F16&gt;=75,"●●○ Medium","●○○ Low")),"—")</f>
        <v>●○○ Low</v>
      </c>
      <c r="E51" s="65"/>
    </row>
    <row r="52" spans="1:5" ht="24" customHeight="1" x14ac:dyDescent="0.3">
      <c r="A52" s="136" t="s">
        <v>185</v>
      </c>
      <c r="B52" s="136"/>
      <c r="C52" s="136"/>
      <c r="D52" s="136"/>
      <c r="E52" s="136"/>
    </row>
    <row r="53" spans="1:5" ht="15.75" customHeight="1" x14ac:dyDescent="0.3">
      <c r="A53" s="62" t="s">
        <v>172</v>
      </c>
      <c r="B53" s="62" t="s">
        <v>12</v>
      </c>
      <c r="C53" s="62" t="s">
        <v>173</v>
      </c>
      <c r="D53" s="62" t="s">
        <v>174</v>
      </c>
      <c r="E53" s="62" t="s">
        <v>175</v>
      </c>
    </row>
    <row r="54" spans="1:5" ht="16.5" customHeight="1" x14ac:dyDescent="0.3">
      <c r="A54" s="63" t="s">
        <v>15</v>
      </c>
      <c r="B54" s="43">
        <f ca="1">IFERROR(Calculations!H2,"—")</f>
        <v>19</v>
      </c>
      <c r="C54" s="43">
        <f ca="1">IFERROR(Calculations!I2,"—")</f>
        <v>69.819999999999993</v>
      </c>
      <c r="D54" s="50" t="str">
        <f ca="1">IFERROR(IF(Calculations!H2&gt;=Calculations!H3,"▲ Above avg","▼ Below avg"),"—")</f>
        <v>▼ Below avg</v>
      </c>
      <c r="E54" s="99">
        <f ca="1">IFERROR(Calculations!H13,"")</f>
        <v>10</v>
      </c>
    </row>
    <row r="55" spans="1:5" ht="16.5" customHeight="1" x14ac:dyDescent="0.3">
      <c r="A55" s="64" t="s">
        <v>16</v>
      </c>
      <c r="B55" s="46">
        <f ca="1">IFERROR(Calculations!H3,"—")</f>
        <v>20</v>
      </c>
      <c r="C55" s="46">
        <f ca="1">IFERROR(Calculations!I3,"—")</f>
        <v>71.315555555555548</v>
      </c>
      <c r="D55" s="47"/>
      <c r="E55" s="65"/>
    </row>
    <row r="56" spans="1:5" ht="16.5" customHeight="1" x14ac:dyDescent="0.3">
      <c r="A56" s="66" t="s">
        <v>17</v>
      </c>
      <c r="B56" s="49">
        <f ca="1">IFERROR(Calculations!H4,"—")</f>
        <v>20.5</v>
      </c>
      <c r="C56" s="49">
        <f ca="1">IFERROR(Calculations!I4,"—")</f>
        <v>69.819999999999993</v>
      </c>
      <c r="D56" s="50"/>
      <c r="E56" s="67"/>
    </row>
    <row r="57" spans="1:5" ht="16.5" customHeight="1" x14ac:dyDescent="0.3">
      <c r="A57" s="68" t="s">
        <v>18</v>
      </c>
      <c r="B57" s="52">
        <f ca="1">IFERROR(Calculations!H5,"—")</f>
        <v>36</v>
      </c>
      <c r="C57" s="52">
        <f ca="1">IFERROR(Calculations!I5,"—")</f>
        <v>96.81</v>
      </c>
      <c r="D57" s="47"/>
      <c r="E57" s="65"/>
    </row>
    <row r="58" spans="1:5" ht="16.5" customHeight="1" x14ac:dyDescent="0.3">
      <c r="A58" s="66" t="s">
        <v>19</v>
      </c>
      <c r="B58" s="49">
        <f ca="1">IFERROR(Calculations!H6,"—")</f>
        <v>10</v>
      </c>
      <c r="C58" s="49">
        <f ca="1">IFERROR(Calculations!I6,"—")</f>
        <v>45.38</v>
      </c>
      <c r="D58" s="50"/>
      <c r="E58" s="67"/>
    </row>
    <row r="59" spans="1:5" ht="16.5" customHeight="1" x14ac:dyDescent="0.3">
      <c r="A59" s="64" t="s">
        <v>176</v>
      </c>
      <c r="B59" s="46">
        <f ca="1">IFERROR(Calculations!H7,"—")</f>
        <v>60.888888888888886</v>
      </c>
      <c r="C59" s="46">
        <f ca="1">IFERROR(Calculations!I7,"—")</f>
        <v>253.46275277778022</v>
      </c>
      <c r="D59" s="47"/>
      <c r="E59" s="65"/>
    </row>
    <row r="60" spans="1:5" ht="16.5" customHeight="1" x14ac:dyDescent="0.3">
      <c r="A60" s="66" t="s">
        <v>177</v>
      </c>
      <c r="B60" s="49">
        <f ca="1">IFERROR(Calculations!H8,"—")</f>
        <v>7.8031332738130832</v>
      </c>
      <c r="C60" s="49">
        <f ca="1">IFERROR(Calculations!I8,"—")</f>
        <v>15.92051358398278</v>
      </c>
      <c r="D60" s="50"/>
      <c r="E60" s="67"/>
    </row>
    <row r="61" spans="1:5" ht="16.5" customHeight="1" x14ac:dyDescent="0.3">
      <c r="A61" s="64" t="s">
        <v>178</v>
      </c>
      <c r="B61" s="46">
        <f ca="1">IFERROR(Calculations!H9,"—")</f>
        <v>21.8</v>
      </c>
      <c r="C61" s="46">
        <f ca="1">IFERROR(Calculations!I9,"—")</f>
        <v>73.784999999999997</v>
      </c>
      <c r="D61" s="47"/>
      <c r="E61" s="65"/>
    </row>
    <row r="62" spans="1:5" ht="16.5" customHeight="1" x14ac:dyDescent="0.3">
      <c r="A62" s="66" t="s">
        <v>179</v>
      </c>
      <c r="B62" s="49">
        <f ca="1">IFERROR(Calculations!H10,"—")</f>
        <v>20</v>
      </c>
      <c r="C62" s="49">
        <f ca="1">IFERROR(Calculations!I10,"—")</f>
        <v>71.315555555555548</v>
      </c>
      <c r="D62" s="50"/>
      <c r="E62" s="67"/>
    </row>
    <row r="63" spans="1:5" ht="16.5" customHeight="1" x14ac:dyDescent="0.3">
      <c r="A63" s="64" t="s">
        <v>23</v>
      </c>
      <c r="B63" s="69">
        <f ca="1">IFERROR(Calculations!H11,"—")</f>
        <v>-2</v>
      </c>
      <c r="C63" s="69">
        <f ca="1">IFERROR(Calculations!I11,"—")</f>
        <v>9.9999999999909051E-3</v>
      </c>
      <c r="D63" s="47" t="str">
        <f ca="1">IFERROR(IF(Calculations!H11&gt;=0,"▲ Positive","▼ Negative"),"—")</f>
        <v>▼ Negative</v>
      </c>
      <c r="E63" s="65"/>
    </row>
    <row r="64" spans="1:5" ht="16.5" customHeight="1" x14ac:dyDescent="0.3">
      <c r="A64" s="63" t="s">
        <v>180</v>
      </c>
      <c r="B64" s="43">
        <f ca="1">IFERROR(Calculations!H12,"—")</f>
        <v>36</v>
      </c>
      <c r="C64" s="43">
        <f ca="1">IFERROR(Calculations!I12,"—")</f>
        <v>96.81</v>
      </c>
      <c r="D64" s="50"/>
      <c r="E64" s="67"/>
    </row>
    <row r="65" spans="1:6" ht="16.5" customHeight="1" x14ac:dyDescent="0.3">
      <c r="A65" s="64" t="s">
        <v>24</v>
      </c>
      <c r="B65" s="69">
        <f ca="1">IFERROR(Calculations!H14,"—")</f>
        <v>1.8000000000000007</v>
      </c>
      <c r="C65" s="69">
        <f ca="1">IFERROR(Calculations!I14,"—")</f>
        <v>2.4694444444444485</v>
      </c>
      <c r="D65" s="47" t="str">
        <f ca="1">IFERROR(IF(Calculations!H14&gt;=0,"▲ Positive","▼ Negative"),"—")</f>
        <v>▲ Positive</v>
      </c>
      <c r="E65" s="65"/>
    </row>
    <row r="66" spans="1:6" ht="16.5" customHeight="1" x14ac:dyDescent="0.3">
      <c r="A66" s="66" t="s">
        <v>181</v>
      </c>
      <c r="B66" s="53">
        <f ca="1">IFERROR(Calculations!H15,"—")</f>
        <v>0</v>
      </c>
      <c r="C66" s="53">
        <f ca="1">IFERROR(Calculations!I15,"—")</f>
        <v>0</v>
      </c>
      <c r="D66" s="50" t="str">
        <f ca="1">IFERROR(IF(Calculations!H15&gt;=0,"▲ Positive","▼ Negative"),"—")</f>
        <v>▲ Positive</v>
      </c>
      <c r="E66" s="67"/>
    </row>
    <row r="67" spans="1:6" ht="16.5" customHeight="1" x14ac:dyDescent="0.3">
      <c r="A67" s="64" t="s">
        <v>182</v>
      </c>
      <c r="B67" s="46">
        <f ca="1">IFERROR(Calculations!H16,"—")</f>
        <v>60.984333630934586</v>
      </c>
      <c r="C67" s="46">
        <f ca="1">IFERROR(Calculations!I16,"—")</f>
        <v>77.675959389280038</v>
      </c>
      <c r="D67" s="47" t="str">
        <f ca="1">IFERROR(IF(Calculations!H16&gt;=90,"●●● High",IF(Calculations!H16&gt;=75,"●●○ Medium","●○○ Low")),"—")</f>
        <v>●○○ Low</v>
      </c>
      <c r="E67" s="65"/>
    </row>
    <row r="68" spans="1:6" ht="6" customHeight="1" x14ac:dyDescent="0.3"/>
    <row r="70" spans="1:6" ht="21.75" customHeight="1" x14ac:dyDescent="0.3">
      <c r="A70" s="137" t="s">
        <v>186</v>
      </c>
      <c r="B70" s="137"/>
      <c r="C70" s="137"/>
      <c r="D70" s="137"/>
      <c r="E70" s="137"/>
    </row>
    <row r="71" spans="1:6" ht="18" customHeight="1" x14ac:dyDescent="0.3">
      <c r="A71" s="68" t="s">
        <v>187</v>
      </c>
      <c r="B71" s="138" t="str">
        <f ca="1">IFERROR(Calculations!B18,"—")</f>
        <v>VARC</v>
      </c>
      <c r="C71" s="138"/>
      <c r="D71" s="138"/>
      <c r="E71" s="138"/>
    </row>
    <row r="72" spans="1:6" ht="18" customHeight="1" x14ac:dyDescent="0.3">
      <c r="A72" s="63" t="s">
        <v>188</v>
      </c>
      <c r="B72" s="135" t="str">
        <f ca="1">IFERROR(Calculations!B19,"—")</f>
        <v>QA</v>
      </c>
      <c r="C72" s="135"/>
      <c r="D72" s="135"/>
      <c r="E72" s="135"/>
    </row>
    <row r="73" spans="1:6" ht="18" customHeight="1" x14ac:dyDescent="0.3">
      <c r="A73" s="68" t="s">
        <v>189</v>
      </c>
      <c r="B73" s="138" t="str">
        <f ca="1">IFERROR(Calculations!B20,"—")</f>
        <v>QA</v>
      </c>
      <c r="C73" s="138"/>
      <c r="D73" s="138"/>
      <c r="E73" s="138"/>
    </row>
    <row r="74" spans="1:6" ht="18" customHeight="1" x14ac:dyDescent="0.3">
      <c r="A74" s="63" t="s">
        <v>190</v>
      </c>
      <c r="B74" s="135" t="str">
        <f ca="1">IFERROR(TEXT(Calculations!B17,"0.0")&amp;" days","—")</f>
        <v>8.8 days</v>
      </c>
      <c r="C74" s="135"/>
      <c r="D74" s="135"/>
      <c r="E74" s="135"/>
    </row>
    <row r="76" spans="1:6" ht="15.6" x14ac:dyDescent="0.3">
      <c r="A76" s="70" t="s">
        <v>267</v>
      </c>
      <c r="B76" s="70"/>
      <c r="C76" s="70"/>
      <c r="D76" s="70"/>
      <c r="E76" s="70"/>
      <c r="F76" s="70"/>
    </row>
    <row r="77" spans="1:6" x14ac:dyDescent="0.3">
      <c r="A77" s="71" t="s">
        <v>268</v>
      </c>
      <c r="B77" s="71" t="s">
        <v>269</v>
      </c>
      <c r="C77" s="71" t="s">
        <v>270</v>
      </c>
      <c r="D77" s="71" t="s">
        <v>271</v>
      </c>
      <c r="E77" s="71" t="s">
        <v>272</v>
      </c>
      <c r="F77" s="71" t="s">
        <v>273</v>
      </c>
    </row>
    <row r="78" spans="1:6" x14ac:dyDescent="0.3">
      <c r="A78" s="72" t="s">
        <v>274</v>
      </c>
      <c r="B78" s="73">
        <f>IFERROR(Calculations!B45,"—")</f>
        <v>24</v>
      </c>
      <c r="C78" s="73">
        <f>IFERROR(Calculations!C45,"—")</f>
        <v>15.1</v>
      </c>
      <c r="D78" s="73">
        <f>IFERROR(Calculations!D45,"—")</f>
        <v>8.9</v>
      </c>
      <c r="E78" s="74">
        <f>IFERROR(Calculations!E45,"—")</f>
        <v>0.62916666666666665</v>
      </c>
      <c r="F78" s="75">
        <f ca="1">IFERROR(Calculations!F45,"—")</f>
        <v>1.5999999999999999</v>
      </c>
    </row>
    <row r="79" spans="1:6" x14ac:dyDescent="0.3">
      <c r="A79" s="72" t="s">
        <v>275</v>
      </c>
      <c r="B79" s="73">
        <f>IFERROR(Calculations!B46,"—")</f>
        <v>11</v>
      </c>
      <c r="C79" s="73">
        <f>IFERROR(Calculations!C46,"—")</f>
        <v>7.3</v>
      </c>
      <c r="D79" s="73">
        <f>IFERROR(Calculations!D46,"—")</f>
        <v>3.7</v>
      </c>
      <c r="E79" s="74">
        <f>IFERROR(Calculations!E46,"—")</f>
        <v>0.66860334110334119</v>
      </c>
      <c r="F79" s="75">
        <f ca="1">IFERROR(Calculations!F46,"—")</f>
        <v>1.8818181818181818</v>
      </c>
    </row>
    <row r="80" spans="1:6" x14ac:dyDescent="0.3">
      <c r="A80" s="72" t="s">
        <v>276</v>
      </c>
      <c r="B80" s="73">
        <f>IFERROR(Calculations!B47,"—")</f>
        <v>10.9</v>
      </c>
      <c r="C80" s="73">
        <f>IFERROR(Calculations!C47,"—")</f>
        <v>7</v>
      </c>
      <c r="D80" s="73">
        <f>IFERROR(Calculations!D47,"—")</f>
        <v>3.9</v>
      </c>
      <c r="E80" s="74">
        <f>IFERROR(Calculations!E47,"—")</f>
        <v>0.65400183150183144</v>
      </c>
      <c r="F80" s="75">
        <f ca="1">IFERROR(Calculations!F47,"—")</f>
        <v>1.8348623853211008</v>
      </c>
    </row>
    <row r="81" spans="1:6" x14ac:dyDescent="0.3">
      <c r="A81" s="76" t="s">
        <v>277</v>
      </c>
      <c r="B81" s="77">
        <f>IFERROR(Calculations!B48,"—")</f>
        <v>45.9</v>
      </c>
      <c r="C81" s="77">
        <f>IFERROR(Calculations!C48,"—")</f>
        <v>29.4</v>
      </c>
      <c r="D81" s="77">
        <f>IFERROR(Calculations!D48,"—")</f>
        <v>16.5</v>
      </c>
      <c r="E81" s="78">
        <f>IFERROR(Calculations!E48,"—")</f>
        <v>0.64489899064630873</v>
      </c>
      <c r="F81" s="79">
        <f ca="1">IFERROR(Calculations!F48,"—")</f>
        <v>1.7233115468409586</v>
      </c>
    </row>
    <row r="83" spans="1:6" x14ac:dyDescent="0.3">
      <c r="A83" s="80" t="str">
        <f ca="1">IFERROR("  ◈  "&amp;Calculations!B50,"  —")</f>
        <v xml:space="preserve">  ◈  Most efficient: DILR (1.88 marks/attempt)  ·  Least efficient: VARC (1.60)  ·  Most negatives: VARC (8.9 wrong/mock)</v>
      </c>
      <c r="B83" s="80"/>
      <c r="C83" s="80"/>
      <c r="D83" s="80"/>
      <c r="E83" s="80"/>
      <c r="F83" s="80"/>
    </row>
    <row r="85" spans="1:6" ht="12.75" customHeight="1" x14ac:dyDescent="0.3">
      <c r="A85" s="129" t="s">
        <v>142</v>
      </c>
      <c r="B85" s="129"/>
      <c r="C85" s="129"/>
      <c r="D85" s="129"/>
      <c r="E85" s="129"/>
    </row>
  </sheetData>
  <sheetProtection sheet="1" scenarios="1" sort="0" autoFilter="0"/>
  <mergeCells count="12">
    <mergeCell ref="B74:E74"/>
    <mergeCell ref="A85:E85"/>
    <mergeCell ref="A52:E52"/>
    <mergeCell ref="A70:E70"/>
    <mergeCell ref="B71:E71"/>
    <mergeCell ref="B72:E72"/>
    <mergeCell ref="B73:E73"/>
    <mergeCell ref="A1:E1"/>
    <mergeCell ref="A2:E2"/>
    <mergeCell ref="A4:E4"/>
    <mergeCell ref="A20:E20"/>
    <mergeCell ref="A36:E36"/>
  </mergeCells>
  <conditionalFormatting sqref="D6:D19">
    <cfRule type="expression" dxfId="7" priority="2">
      <formula>LEFT(D6,1)="▲"</formula>
    </cfRule>
    <cfRule type="expression" dxfId="6" priority="3">
      <formula>LEFT(D6,1)="▼"</formula>
    </cfRule>
  </conditionalFormatting>
  <conditionalFormatting sqref="D22:D35">
    <cfRule type="expression" dxfId="5" priority="4">
      <formula>LEFT(D22,1)="▲"</formula>
    </cfRule>
    <cfRule type="expression" dxfId="4" priority="5">
      <formula>LEFT(D22,1)="▼"</formula>
    </cfRule>
  </conditionalFormatting>
  <conditionalFormatting sqref="D38:D51">
    <cfRule type="expression" dxfId="3" priority="6">
      <formula>LEFT(D38,1)="▲"</formula>
    </cfRule>
    <cfRule type="expression" dxfId="2" priority="7">
      <formula>LEFT(D38,1)="▼"</formula>
    </cfRule>
  </conditionalFormatting>
  <conditionalFormatting sqref="D54:D67">
    <cfRule type="expression" dxfId="1" priority="8">
      <formula>LEFT(D54,1)="▲"</formula>
    </cfRule>
    <cfRule type="expression" dxfId="0" priority="9">
      <formula>LEFT(D54,1)="▼"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5100"/>
  </sheetPr>
  <dimension ref="A1:J30"/>
  <sheetViews>
    <sheetView showGridLines="0" topLeftCell="A3" zoomScaleNormal="100" workbookViewId="0">
      <selection activeCell="L14" sqref="L14"/>
    </sheetView>
  </sheetViews>
  <sheetFormatPr defaultColWidth="8.6640625" defaultRowHeight="14.4" x14ac:dyDescent="0.3"/>
  <cols>
    <col min="1" max="1" width="18" customWidth="1"/>
    <col min="2" max="2" width="6" customWidth="1"/>
    <col min="3" max="10" width="13" customWidth="1"/>
  </cols>
  <sheetData>
    <row r="1" spans="1:10" ht="19.5" customHeight="1" x14ac:dyDescent="0.3">
      <c r="A1" s="130" t="s">
        <v>191</v>
      </c>
      <c r="B1" s="130"/>
      <c r="C1" s="130"/>
      <c r="D1" s="130"/>
      <c r="E1" s="130"/>
      <c r="F1" s="130"/>
      <c r="G1" s="130"/>
      <c r="H1" s="130"/>
      <c r="I1" s="130"/>
      <c r="J1" s="130"/>
    </row>
    <row r="2" spans="1:10" ht="15" customHeight="1" x14ac:dyDescent="0.3">
      <c r="A2" s="131" t="s">
        <v>192</v>
      </c>
      <c r="B2" s="131"/>
      <c r="C2" s="131"/>
      <c r="D2" s="131"/>
      <c r="E2" s="131"/>
      <c r="F2" s="131"/>
      <c r="G2" s="131"/>
      <c r="H2" s="131"/>
      <c r="I2" s="131"/>
      <c r="J2" s="131"/>
    </row>
    <row r="4" spans="1:10" ht="21.75" customHeight="1" x14ac:dyDescent="0.3">
      <c r="A4" s="123" t="s">
        <v>193</v>
      </c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.75" customHeight="1" x14ac:dyDescent="0.3">
      <c r="A5" s="62" t="s">
        <v>194</v>
      </c>
      <c r="B5" s="62" t="s">
        <v>195</v>
      </c>
      <c r="C5" s="62" t="s">
        <v>196</v>
      </c>
      <c r="D5" s="62" t="s">
        <v>197</v>
      </c>
      <c r="E5" s="62" t="s">
        <v>198</v>
      </c>
      <c r="F5" s="62" t="s">
        <v>199</v>
      </c>
      <c r="G5" s="62" t="s">
        <v>200</v>
      </c>
      <c r="H5" s="62" t="s">
        <v>201</v>
      </c>
      <c r="I5" s="62" t="s">
        <v>202</v>
      </c>
      <c r="J5" s="62" t="s">
        <v>203</v>
      </c>
    </row>
    <row r="6" spans="1:10" ht="16.5" customHeight="1" x14ac:dyDescent="0.3">
      <c r="A6" s="63" t="str">
        <f>Lists!A2</f>
        <v>IMS</v>
      </c>
      <c r="B6" s="8">
        <f>COUNTIFS('Mock Database'!$E$3:$E$152,$A6,'Mock Database'!$J$3:$J$152,"Completed")</f>
        <v>10</v>
      </c>
      <c r="C6" s="81">
        <f>IFERROR(AVERAGEIFS('Mock Database'!$AE$3:$AE$152,'Mock Database'!$E$3:$E$152,$A6,'Mock Database'!$J$3:$J$152,"Completed"),"")</f>
        <v>79.099999999999994</v>
      </c>
      <c r="D6" s="81">
        <f>IFERROR(AVERAGEIFS('Mock Database'!$AF$3:$AF$152,'Mock Database'!$E$3:$E$152,$A6,'Mock Database'!$J$3:$J$152,"Completed"),"")</f>
        <v>92.015555555555565</v>
      </c>
      <c r="E6" s="81">
        <f>IFERROR(AVERAGEIFS('Mock Database'!$M$3:$M$152,'Mock Database'!$E$3:$E$152,$A6,'Mock Database'!$J$3:$J$152,"Completed"),"")</f>
        <v>38.4</v>
      </c>
      <c r="F6" s="81">
        <f>IFERROR(AVERAGEIFS('Mock Database'!$N$3:$N$152,'Mock Database'!$E$3:$E$152,$A6,'Mock Database'!$J$3:$J$152,"Completed"),"")</f>
        <v>92.475555555555559</v>
      </c>
      <c r="G6" s="81">
        <f>IFERROR(AVERAGEIFS('Mock Database'!$S$3:$S$152,'Mock Database'!$E$3:$E$152,$A6,'Mock Database'!$J$3:$J$152,"Completed"),"")</f>
        <v>20.7</v>
      </c>
      <c r="H6" s="81">
        <f>IFERROR(AVERAGEIFS('Mock Database'!$T$3:$T$152,'Mock Database'!$E$3:$E$152,$A6,'Mock Database'!$J$3:$J$152,"Completed"),"")</f>
        <v>77.814444444444447</v>
      </c>
      <c r="I6" s="81">
        <f>IFERROR(AVERAGEIFS('Mock Database'!$Y$3:$Y$152,'Mock Database'!$E$3:$E$152,$A6,'Mock Database'!$J$3:$J$152,"Completed"),"")</f>
        <v>20</v>
      </c>
      <c r="J6" s="81">
        <f>IFERROR(AVERAGEIFS('Mock Database'!$Z$3:$Z$152,'Mock Database'!$E$3:$E$152,$A6,'Mock Database'!$J$3:$J$152,"Completed"),"")</f>
        <v>71.315555555555548</v>
      </c>
    </row>
    <row r="7" spans="1:10" ht="16.5" customHeight="1" x14ac:dyDescent="0.3">
      <c r="A7" s="68" t="str">
        <f>Lists!A3</f>
        <v>Cracku</v>
      </c>
      <c r="B7" s="6">
        <f>COUNTIFS('Mock Database'!$E$3:$E$152,$A7,'Mock Database'!$J$3:$J$152,"Completed")</f>
        <v>0</v>
      </c>
      <c r="C7" s="82" t="str">
        <f>IFERROR(AVERAGEIFS('Mock Database'!$AE$3:$AE$152,'Mock Database'!$E$3:$E$152,$A7,'Mock Database'!$J$3:$J$152,"Completed"),"")</f>
        <v/>
      </c>
      <c r="D7" s="82" t="str">
        <f>IFERROR(AVERAGEIFS('Mock Database'!$AF$3:$AF$152,'Mock Database'!$E$3:$E$152,$A7,'Mock Database'!$J$3:$J$152,"Completed"),"")</f>
        <v/>
      </c>
      <c r="E7" s="82" t="str">
        <f>IFERROR(AVERAGEIFS('Mock Database'!$M$3:$M$152,'Mock Database'!$E$3:$E$152,$A7,'Mock Database'!$J$3:$J$152,"Completed"),"")</f>
        <v/>
      </c>
      <c r="F7" s="82" t="str">
        <f>IFERROR(AVERAGEIFS('Mock Database'!$N$3:$N$152,'Mock Database'!$E$3:$E$152,$A7,'Mock Database'!$J$3:$J$152,"Completed"),"")</f>
        <v/>
      </c>
      <c r="G7" s="82" t="str">
        <f>IFERROR(AVERAGEIFS('Mock Database'!$S$3:$S$152,'Mock Database'!$E$3:$E$152,$A7,'Mock Database'!$J$3:$J$152,"Completed"),"")</f>
        <v/>
      </c>
      <c r="H7" s="82" t="str">
        <f>IFERROR(AVERAGEIFS('Mock Database'!$T$3:$T$152,'Mock Database'!$E$3:$E$152,$A7,'Mock Database'!$J$3:$J$152,"Completed"),"")</f>
        <v/>
      </c>
      <c r="I7" s="82" t="str">
        <f>IFERROR(AVERAGEIFS('Mock Database'!$Y$3:$Y$152,'Mock Database'!$E$3:$E$152,$A7,'Mock Database'!$J$3:$J$152,"Completed"),"")</f>
        <v/>
      </c>
      <c r="J7" s="82" t="str">
        <f>IFERROR(AVERAGEIFS('Mock Database'!$Z$3:$Z$152,'Mock Database'!$E$3:$E$152,$A7,'Mock Database'!$J$3:$J$152,"Completed"),"")</f>
        <v/>
      </c>
    </row>
    <row r="8" spans="1:10" ht="16.5" customHeight="1" x14ac:dyDescent="0.3">
      <c r="A8" s="63" t="str">
        <f>Lists!A4</f>
        <v>Arun Sharma</v>
      </c>
      <c r="B8" s="8">
        <f>COUNTIFS('Mock Database'!$E$3:$E$152,$A8,'Mock Database'!$J$3:$J$152,"Completed")</f>
        <v>0</v>
      </c>
      <c r="C8" s="81" t="str">
        <f>IFERROR(AVERAGEIFS('Mock Database'!$AE$3:$AE$152,'Mock Database'!$E$3:$E$152,$A8,'Mock Database'!$J$3:$J$152,"Completed"),"")</f>
        <v/>
      </c>
      <c r="D8" s="81" t="str">
        <f>IFERROR(AVERAGEIFS('Mock Database'!$AF$3:$AF$152,'Mock Database'!$E$3:$E$152,$A8,'Mock Database'!$J$3:$J$152,"Completed"),"")</f>
        <v/>
      </c>
      <c r="E8" s="81" t="str">
        <f>IFERROR(AVERAGEIFS('Mock Database'!$M$3:$M$152,'Mock Database'!$E$3:$E$152,$A8,'Mock Database'!$J$3:$J$152,"Completed"),"")</f>
        <v/>
      </c>
      <c r="F8" s="81" t="str">
        <f>IFERROR(AVERAGEIFS('Mock Database'!$N$3:$N$152,'Mock Database'!$E$3:$E$152,$A8,'Mock Database'!$J$3:$J$152,"Completed"),"")</f>
        <v/>
      </c>
      <c r="G8" s="81" t="str">
        <f>IFERROR(AVERAGEIFS('Mock Database'!$S$3:$S$152,'Mock Database'!$E$3:$E$152,$A8,'Mock Database'!$J$3:$J$152,"Completed"),"")</f>
        <v/>
      </c>
      <c r="H8" s="81" t="str">
        <f>IFERROR(AVERAGEIFS('Mock Database'!$T$3:$T$152,'Mock Database'!$E$3:$E$152,$A8,'Mock Database'!$J$3:$J$152,"Completed"),"")</f>
        <v/>
      </c>
      <c r="I8" s="81" t="str">
        <f>IFERROR(AVERAGEIFS('Mock Database'!$Y$3:$Y$152,'Mock Database'!$E$3:$E$152,$A8,'Mock Database'!$J$3:$J$152,"Completed"),"")</f>
        <v/>
      </c>
      <c r="J8" s="81" t="str">
        <f>IFERROR(AVERAGEIFS('Mock Database'!$Z$3:$Z$152,'Mock Database'!$E$3:$E$152,$A8,'Mock Database'!$J$3:$J$152,"Completed"),"")</f>
        <v/>
      </c>
    </row>
    <row r="9" spans="1:10" ht="16.5" customHeight="1" x14ac:dyDescent="0.3">
      <c r="A9" s="68" t="str">
        <f>Lists!A5</f>
        <v>TIME</v>
      </c>
      <c r="B9" s="6">
        <f>COUNTIFS('Mock Database'!$E$3:$E$152,$A9,'Mock Database'!$J$3:$J$152,"Completed")</f>
        <v>0</v>
      </c>
      <c r="C9" s="82" t="str">
        <f>IFERROR(AVERAGEIFS('Mock Database'!$AE$3:$AE$152,'Mock Database'!$E$3:$E$152,$A9,'Mock Database'!$J$3:$J$152,"Completed"),"")</f>
        <v/>
      </c>
      <c r="D9" s="82" t="str">
        <f>IFERROR(AVERAGEIFS('Mock Database'!$AF$3:$AF$152,'Mock Database'!$E$3:$E$152,$A9,'Mock Database'!$J$3:$J$152,"Completed"),"")</f>
        <v/>
      </c>
      <c r="E9" s="82" t="str">
        <f>IFERROR(AVERAGEIFS('Mock Database'!$M$3:$M$152,'Mock Database'!$E$3:$E$152,$A9,'Mock Database'!$J$3:$J$152,"Completed"),"")</f>
        <v/>
      </c>
      <c r="F9" s="82" t="str">
        <f>IFERROR(AVERAGEIFS('Mock Database'!$N$3:$N$152,'Mock Database'!$E$3:$E$152,$A9,'Mock Database'!$J$3:$J$152,"Completed"),"")</f>
        <v/>
      </c>
      <c r="G9" s="82" t="str">
        <f>IFERROR(AVERAGEIFS('Mock Database'!$S$3:$S$152,'Mock Database'!$E$3:$E$152,$A9,'Mock Database'!$J$3:$J$152,"Completed"),"")</f>
        <v/>
      </c>
      <c r="H9" s="82" t="str">
        <f>IFERROR(AVERAGEIFS('Mock Database'!$T$3:$T$152,'Mock Database'!$E$3:$E$152,$A9,'Mock Database'!$J$3:$J$152,"Completed"),"")</f>
        <v/>
      </c>
      <c r="I9" s="82" t="str">
        <f>IFERROR(AVERAGEIFS('Mock Database'!$Y$3:$Y$152,'Mock Database'!$E$3:$E$152,$A9,'Mock Database'!$J$3:$J$152,"Completed"),"")</f>
        <v/>
      </c>
      <c r="J9" s="82" t="str">
        <f>IFERROR(AVERAGEIFS('Mock Database'!$Z$3:$Z$152,'Mock Database'!$E$3:$E$152,$A9,'Mock Database'!$J$3:$J$152,"Completed"),"")</f>
        <v/>
      </c>
    </row>
    <row r="10" spans="1:10" ht="16.5" customHeight="1" x14ac:dyDescent="0.3">
      <c r="A10" s="63" t="str">
        <f>Lists!A6</f>
        <v>Career Launcher</v>
      </c>
      <c r="B10" s="8">
        <f>COUNTIFS('Mock Database'!$E$3:$E$152,$A10,'Mock Database'!$J$3:$J$152,"Completed")</f>
        <v>0</v>
      </c>
      <c r="C10" s="81" t="str">
        <f>IFERROR(AVERAGEIFS('Mock Database'!$AE$3:$AE$152,'Mock Database'!$E$3:$E$152,$A10,'Mock Database'!$J$3:$J$152,"Completed"),"")</f>
        <v/>
      </c>
      <c r="D10" s="81" t="str">
        <f>IFERROR(AVERAGEIFS('Mock Database'!$AF$3:$AF$152,'Mock Database'!$E$3:$E$152,$A10,'Mock Database'!$J$3:$J$152,"Completed"),"")</f>
        <v/>
      </c>
      <c r="E10" s="81" t="str">
        <f>IFERROR(AVERAGEIFS('Mock Database'!$M$3:$M$152,'Mock Database'!$E$3:$E$152,$A10,'Mock Database'!$J$3:$J$152,"Completed"),"")</f>
        <v/>
      </c>
      <c r="F10" s="81" t="str">
        <f>IFERROR(AVERAGEIFS('Mock Database'!$N$3:$N$152,'Mock Database'!$E$3:$E$152,$A10,'Mock Database'!$J$3:$J$152,"Completed"),"")</f>
        <v/>
      </c>
      <c r="G10" s="81" t="str">
        <f>IFERROR(AVERAGEIFS('Mock Database'!$S$3:$S$152,'Mock Database'!$E$3:$E$152,$A10,'Mock Database'!$J$3:$J$152,"Completed"),"")</f>
        <v/>
      </c>
      <c r="H10" s="81" t="str">
        <f>IFERROR(AVERAGEIFS('Mock Database'!$T$3:$T$152,'Mock Database'!$E$3:$E$152,$A10,'Mock Database'!$J$3:$J$152,"Completed"),"")</f>
        <v/>
      </c>
      <c r="I10" s="81" t="str">
        <f>IFERROR(AVERAGEIFS('Mock Database'!$Y$3:$Y$152,'Mock Database'!$E$3:$E$152,$A10,'Mock Database'!$J$3:$J$152,"Completed"),"")</f>
        <v/>
      </c>
      <c r="J10" s="81" t="str">
        <f>IFERROR(AVERAGEIFS('Mock Database'!$Z$3:$Z$152,'Mock Database'!$E$3:$E$152,$A10,'Mock Database'!$J$3:$J$152,"Completed"),"")</f>
        <v/>
      </c>
    </row>
    <row r="11" spans="1:10" ht="16.5" customHeight="1" x14ac:dyDescent="0.3">
      <c r="A11" s="68" t="str">
        <f>Lists!A7</f>
        <v>Rodha</v>
      </c>
      <c r="B11" s="6">
        <f>COUNTIFS('Mock Database'!$E$3:$E$152,$A11,'Mock Database'!$J$3:$J$152,"Completed")</f>
        <v>0</v>
      </c>
      <c r="C11" s="82" t="str">
        <f>IFERROR(AVERAGEIFS('Mock Database'!$AE$3:$AE$152,'Mock Database'!$E$3:$E$152,$A11,'Mock Database'!$J$3:$J$152,"Completed"),"")</f>
        <v/>
      </c>
      <c r="D11" s="82" t="str">
        <f>IFERROR(AVERAGEIFS('Mock Database'!$AF$3:$AF$152,'Mock Database'!$E$3:$E$152,$A11,'Mock Database'!$J$3:$J$152,"Completed"),"")</f>
        <v/>
      </c>
      <c r="E11" s="82" t="str">
        <f>IFERROR(AVERAGEIFS('Mock Database'!$M$3:$M$152,'Mock Database'!$E$3:$E$152,$A11,'Mock Database'!$J$3:$J$152,"Completed"),"")</f>
        <v/>
      </c>
      <c r="F11" s="82" t="str">
        <f>IFERROR(AVERAGEIFS('Mock Database'!$N$3:$N$152,'Mock Database'!$E$3:$E$152,$A11,'Mock Database'!$J$3:$J$152,"Completed"),"")</f>
        <v/>
      </c>
      <c r="G11" s="82" t="str">
        <f>IFERROR(AVERAGEIFS('Mock Database'!$S$3:$S$152,'Mock Database'!$E$3:$E$152,$A11,'Mock Database'!$J$3:$J$152,"Completed"),"")</f>
        <v/>
      </c>
      <c r="H11" s="82" t="str">
        <f>IFERROR(AVERAGEIFS('Mock Database'!$T$3:$T$152,'Mock Database'!$E$3:$E$152,$A11,'Mock Database'!$J$3:$J$152,"Completed"),"")</f>
        <v/>
      </c>
      <c r="I11" s="82" t="str">
        <f>IFERROR(AVERAGEIFS('Mock Database'!$Y$3:$Y$152,'Mock Database'!$E$3:$E$152,$A11,'Mock Database'!$J$3:$J$152,"Completed"),"")</f>
        <v/>
      </c>
      <c r="J11" s="82" t="str">
        <f>IFERROR(AVERAGEIFS('Mock Database'!$Z$3:$Z$152,'Mock Database'!$E$3:$E$152,$A11,'Mock Database'!$J$3:$J$152,"Completed"),"")</f>
        <v/>
      </c>
    </row>
    <row r="12" spans="1:10" ht="16.5" customHeight="1" x14ac:dyDescent="0.3">
      <c r="A12" s="63" t="str">
        <f>Lists!A8</f>
        <v>Others</v>
      </c>
      <c r="B12" s="8">
        <f>COUNTIFS('Mock Database'!$E$3:$E$152,$A12,'Mock Database'!$J$3:$J$152,"Completed")</f>
        <v>0</v>
      </c>
      <c r="C12" s="81" t="str">
        <f>IFERROR(AVERAGEIFS('Mock Database'!$AE$3:$AE$152,'Mock Database'!$E$3:$E$152,$A12,'Mock Database'!$J$3:$J$152,"Completed"),"")</f>
        <v/>
      </c>
      <c r="D12" s="81" t="str">
        <f>IFERROR(AVERAGEIFS('Mock Database'!$AF$3:$AF$152,'Mock Database'!$E$3:$E$152,$A12,'Mock Database'!$J$3:$J$152,"Completed"),"")</f>
        <v/>
      </c>
      <c r="E12" s="81" t="str">
        <f>IFERROR(AVERAGEIFS('Mock Database'!$M$3:$M$152,'Mock Database'!$E$3:$E$152,$A12,'Mock Database'!$J$3:$J$152,"Completed"),"")</f>
        <v/>
      </c>
      <c r="F12" s="81" t="str">
        <f>IFERROR(AVERAGEIFS('Mock Database'!$N$3:$N$152,'Mock Database'!$E$3:$E$152,$A12,'Mock Database'!$J$3:$J$152,"Completed"),"")</f>
        <v/>
      </c>
      <c r="G12" s="81" t="str">
        <f>IFERROR(AVERAGEIFS('Mock Database'!$S$3:$S$152,'Mock Database'!$E$3:$E$152,$A12,'Mock Database'!$J$3:$J$152,"Completed"),"")</f>
        <v/>
      </c>
      <c r="H12" s="81" t="str">
        <f>IFERROR(AVERAGEIFS('Mock Database'!$T$3:$T$152,'Mock Database'!$E$3:$E$152,$A12,'Mock Database'!$J$3:$J$152,"Completed"),"")</f>
        <v/>
      </c>
      <c r="I12" s="81" t="str">
        <f>IFERROR(AVERAGEIFS('Mock Database'!$Y$3:$Y$152,'Mock Database'!$E$3:$E$152,$A12,'Mock Database'!$J$3:$J$152,"Completed"),"")</f>
        <v/>
      </c>
      <c r="J12" s="81" t="str">
        <f>IFERROR(AVERAGEIFS('Mock Database'!$Z$3:$Z$152,'Mock Database'!$E$3:$E$152,$A12,'Mock Database'!$J$3:$J$152,"Completed"),"")</f>
        <v/>
      </c>
    </row>
    <row r="14" spans="1:10" ht="21.75" customHeight="1" x14ac:dyDescent="0.3">
      <c r="A14" s="139" t="s">
        <v>204</v>
      </c>
      <c r="B14" s="139"/>
      <c r="C14" s="139"/>
      <c r="D14" s="139"/>
      <c r="E14" s="139"/>
      <c r="F14" s="139"/>
      <c r="G14" s="139"/>
      <c r="H14" s="139"/>
      <c r="I14" s="139"/>
      <c r="J14" s="139"/>
    </row>
    <row r="15" spans="1:10" ht="15.75" customHeight="1" x14ac:dyDescent="0.3">
      <c r="A15" s="62" t="s">
        <v>194</v>
      </c>
      <c r="B15" s="62" t="s">
        <v>195</v>
      </c>
      <c r="C15" s="62" t="s">
        <v>196</v>
      </c>
      <c r="D15" s="62" t="s">
        <v>197</v>
      </c>
      <c r="E15" s="62" t="s">
        <v>198</v>
      </c>
      <c r="F15" s="62" t="s">
        <v>199</v>
      </c>
      <c r="G15" s="62" t="s">
        <v>200</v>
      </c>
      <c r="H15" s="62" t="s">
        <v>201</v>
      </c>
      <c r="I15" s="62" t="s">
        <v>202</v>
      </c>
      <c r="J15" s="62" t="s">
        <v>203</v>
      </c>
    </row>
    <row r="16" spans="1:10" ht="16.5" customHeight="1" x14ac:dyDescent="0.3">
      <c r="A16" s="63" t="str">
        <f>Lists!B2</f>
        <v>SimCAT</v>
      </c>
      <c r="B16" s="8">
        <f>COUNTIFS('Mock Database'!$F$3:$F$152,$A16,'Mock Database'!$J$3:$J$152,"Completed")</f>
        <v>5</v>
      </c>
      <c r="C16" s="81">
        <f>IFERROR(AVERAGEIFS('Mock Database'!$AE$3:$AE$152,'Mock Database'!$F$3:$F$152,$A16,'Mock Database'!$J$3:$J$152,"Completed"),"")</f>
        <v>86.6</v>
      </c>
      <c r="D16" s="81">
        <f>IFERROR(AVERAGEIFS('Mock Database'!$AF$3:$AF$152,'Mock Database'!$F$3:$F$152,$A16,'Mock Database'!$J$3:$J$152,"Completed"),"")</f>
        <v>94.335999999999984</v>
      </c>
      <c r="E16" s="81">
        <f>IFERROR(AVERAGEIFS('Mock Database'!$M$3:$M$152,'Mock Database'!$F$3:$F$152,$A16,'Mock Database'!$J$3:$J$152,"Completed"),"")</f>
        <v>40.799999999999997</v>
      </c>
      <c r="F16" s="81">
        <f>IFERROR(AVERAGEIFS('Mock Database'!$N$3:$N$152,'Mock Database'!$F$3:$F$152,$A16,'Mock Database'!$J$3:$J$152,"Completed"),"")</f>
        <v>95.348000000000013</v>
      </c>
      <c r="G16" s="81">
        <f>IFERROR(AVERAGEIFS('Mock Database'!$S$3:$S$152,'Mock Database'!$F$3:$F$152,$A16,'Mock Database'!$J$3:$J$152,"Completed"),"")</f>
        <v>25</v>
      </c>
      <c r="H16" s="81">
        <f>IFERROR(AVERAGEIFS('Mock Database'!$T$3:$T$152,'Mock Database'!$F$3:$F$152,$A16,'Mock Database'!$J$3:$J$152,"Completed"),"")</f>
        <v>88.828000000000003</v>
      </c>
      <c r="I16" s="81">
        <f>IFERROR(AVERAGEIFS('Mock Database'!$Y$3:$Y$152,'Mock Database'!$F$3:$F$152,$A16,'Mock Database'!$J$3:$J$152,"Completed"),"")</f>
        <v>20.8</v>
      </c>
      <c r="J16" s="81">
        <f>IFERROR(AVERAGEIFS('Mock Database'!$Z$3:$Z$152,'Mock Database'!$F$3:$F$152,$A16,'Mock Database'!$J$3:$J$152,"Completed"),"")</f>
        <v>73.823999999999998</v>
      </c>
    </row>
    <row r="17" spans="1:10" ht="16.5" customHeight="1" x14ac:dyDescent="0.3">
      <c r="A17" s="68" t="str">
        <f>Lists!B3</f>
        <v>Take Home</v>
      </c>
      <c r="B17" s="6">
        <f>COUNTIFS('Mock Database'!$F$3:$F$152,$A17,'Mock Database'!$J$3:$J$152,"Completed")</f>
        <v>4</v>
      </c>
      <c r="C17" s="82">
        <f>IFERROR(AVERAGEIFS('Mock Database'!$AE$3:$AE$152,'Mock Database'!$F$3:$F$152,$A17,'Mock Database'!$J$3:$J$152,"Completed"),"")</f>
        <v>69</v>
      </c>
      <c r="D17" s="82">
        <f>IFERROR(AVERAGEIFS('Mock Database'!$AF$3:$AF$152,'Mock Database'!$F$3:$F$152,$A17,'Mock Database'!$J$3:$J$152,"Completed"),"")</f>
        <v>89.115000000000009</v>
      </c>
      <c r="E17" s="82">
        <f>IFERROR(AVERAGEIFS('Mock Database'!$M$3:$M$152,'Mock Database'!$F$3:$F$152,$A17,'Mock Database'!$J$3:$J$152,"Completed"),"")</f>
        <v>37.25</v>
      </c>
      <c r="F17" s="82">
        <f>IFERROR(AVERAGEIFS('Mock Database'!$N$3:$N$152,'Mock Database'!$F$3:$F$152,$A17,'Mock Database'!$J$3:$J$152,"Completed"),"")</f>
        <v>88.884999999999991</v>
      </c>
      <c r="G17" s="82">
        <f>IFERROR(AVERAGEIFS('Mock Database'!$S$3:$S$152,'Mock Database'!$F$3:$F$152,$A17,'Mock Database'!$J$3:$J$152,"Completed"),"")</f>
        <v>13.75</v>
      </c>
      <c r="H17" s="82">
        <f>IFERROR(AVERAGEIFS('Mock Database'!$T$3:$T$152,'Mock Database'!$F$3:$F$152,$A17,'Mock Database'!$J$3:$J$152,"Completed"),"")</f>
        <v>64.047499999999999</v>
      </c>
      <c r="I17" s="82">
        <f>IFERROR(AVERAGEIFS('Mock Database'!$Y$3:$Y$152,'Mock Database'!$F$3:$F$152,$A17,'Mock Database'!$J$3:$J$152,"Completed"),"")</f>
        <v>18</v>
      </c>
      <c r="J17" s="82">
        <f>IFERROR(AVERAGEIFS('Mock Database'!$Z$3:$Z$152,'Mock Database'!$F$3:$F$152,$A17,'Mock Database'!$J$3:$J$152,"Completed"),"")</f>
        <v>68.180000000000007</v>
      </c>
    </row>
    <row r="18" spans="1:10" ht="16.5" customHeight="1" x14ac:dyDescent="0.3">
      <c r="A18" s="63" t="str">
        <f>Lists!B4</f>
        <v>Previous CAT</v>
      </c>
      <c r="B18" s="8">
        <f>COUNTIFS('Mock Database'!$F$3:$F$152,$A18,'Mock Database'!$J$3:$J$152,"Completed")</f>
        <v>1</v>
      </c>
      <c r="C18" s="81">
        <f>IFERROR(AVERAGEIFS('Mock Database'!$AE$3:$AE$152,'Mock Database'!$F$3:$F$152,$A18,'Mock Database'!$J$3:$J$152,"Completed"),"")</f>
        <v>82</v>
      </c>
      <c r="D18" s="81" t="str">
        <f>IFERROR(AVERAGEIFS('Mock Database'!$AF$3:$AF$152,'Mock Database'!$F$3:$F$152,$A18,'Mock Database'!$J$3:$J$152,"Completed"),"")</f>
        <v/>
      </c>
      <c r="E18" s="81">
        <f>IFERROR(AVERAGEIFS('Mock Database'!$M$3:$M$152,'Mock Database'!$F$3:$F$152,$A18,'Mock Database'!$J$3:$J$152,"Completed"),"")</f>
        <v>31</v>
      </c>
      <c r="F18" s="81" t="str">
        <f>IFERROR(AVERAGEIFS('Mock Database'!$N$3:$N$152,'Mock Database'!$F$3:$F$152,$A18,'Mock Database'!$J$3:$J$152,"Completed"),"")</f>
        <v/>
      </c>
      <c r="G18" s="81">
        <f>IFERROR(AVERAGEIFS('Mock Database'!$S$3:$S$152,'Mock Database'!$F$3:$F$152,$A18,'Mock Database'!$J$3:$J$152,"Completed"),"")</f>
        <v>27</v>
      </c>
      <c r="H18" s="81" t="str">
        <f>IFERROR(AVERAGEIFS('Mock Database'!$T$3:$T$152,'Mock Database'!$F$3:$F$152,$A18,'Mock Database'!$J$3:$J$152,"Completed"),"")</f>
        <v/>
      </c>
      <c r="I18" s="81">
        <f>IFERROR(AVERAGEIFS('Mock Database'!$Y$3:$Y$152,'Mock Database'!$F$3:$F$152,$A18,'Mock Database'!$J$3:$J$152,"Completed"),"")</f>
        <v>24</v>
      </c>
      <c r="J18" s="81" t="str">
        <f>IFERROR(AVERAGEIFS('Mock Database'!$Z$3:$Z$152,'Mock Database'!$F$3:$F$152,$A18,'Mock Database'!$J$3:$J$152,"Completed"),"")</f>
        <v/>
      </c>
    </row>
    <row r="19" spans="1:10" ht="16.5" customHeight="1" x14ac:dyDescent="0.3">
      <c r="A19" s="68" t="str">
        <f>Lists!B5</f>
        <v>DashCAT</v>
      </c>
      <c r="B19" s="6">
        <f>COUNTIFS('Mock Database'!$F$3:$F$152,$A19,'Mock Database'!$J$3:$J$152,"Completed")</f>
        <v>0</v>
      </c>
      <c r="C19" s="82" t="str">
        <f>IFERROR(AVERAGEIFS('Mock Database'!$AE$3:$AE$152,'Mock Database'!$F$3:$F$152,$A19,'Mock Database'!$J$3:$J$152,"Completed"),"")</f>
        <v/>
      </c>
      <c r="D19" s="82" t="str">
        <f>IFERROR(AVERAGEIFS('Mock Database'!$AF$3:$AF$152,'Mock Database'!$F$3:$F$152,$A19,'Mock Database'!$J$3:$J$152,"Completed"),"")</f>
        <v/>
      </c>
      <c r="E19" s="82" t="str">
        <f>IFERROR(AVERAGEIFS('Mock Database'!$M$3:$M$152,'Mock Database'!$F$3:$F$152,$A19,'Mock Database'!$J$3:$J$152,"Completed"),"")</f>
        <v/>
      </c>
      <c r="F19" s="82" t="str">
        <f>IFERROR(AVERAGEIFS('Mock Database'!$N$3:$N$152,'Mock Database'!$F$3:$F$152,$A19,'Mock Database'!$J$3:$J$152,"Completed"),"")</f>
        <v/>
      </c>
      <c r="G19" s="82" t="str">
        <f>IFERROR(AVERAGEIFS('Mock Database'!$S$3:$S$152,'Mock Database'!$F$3:$F$152,$A19,'Mock Database'!$J$3:$J$152,"Completed"),"")</f>
        <v/>
      </c>
      <c r="H19" s="82" t="str">
        <f>IFERROR(AVERAGEIFS('Mock Database'!$T$3:$T$152,'Mock Database'!$F$3:$F$152,$A19,'Mock Database'!$J$3:$J$152,"Completed"),"")</f>
        <v/>
      </c>
      <c r="I19" s="82" t="str">
        <f>IFERROR(AVERAGEIFS('Mock Database'!$Y$3:$Y$152,'Mock Database'!$F$3:$F$152,$A19,'Mock Database'!$J$3:$J$152,"Completed"),"")</f>
        <v/>
      </c>
      <c r="J19" s="82" t="str">
        <f>IFERROR(AVERAGEIFS('Mock Database'!$Z$3:$Z$152,'Mock Database'!$F$3:$F$152,$A19,'Mock Database'!$J$3:$J$152,"Completed"),"")</f>
        <v/>
      </c>
    </row>
    <row r="20" spans="1:10" ht="16.5" customHeight="1" x14ac:dyDescent="0.3">
      <c r="A20" s="63" t="str">
        <f>Lists!B6</f>
        <v>Headstart CAT</v>
      </c>
      <c r="B20" s="8">
        <f>COUNTIFS('Mock Database'!$F$3:$F$152,$A20,'Mock Database'!$J$3:$J$152,"Completed")</f>
        <v>0</v>
      </c>
      <c r="C20" s="81" t="str">
        <f>IFERROR(AVERAGEIFS('Mock Database'!$AE$3:$AE$152,'Mock Database'!$F$3:$F$152,$A20,'Mock Database'!$J$3:$J$152,"Completed"),"")</f>
        <v/>
      </c>
      <c r="D20" s="81" t="str">
        <f>IFERROR(AVERAGEIFS('Mock Database'!$AF$3:$AF$152,'Mock Database'!$F$3:$F$152,$A20,'Mock Database'!$J$3:$J$152,"Completed"),"")</f>
        <v/>
      </c>
      <c r="E20" s="81" t="str">
        <f>IFERROR(AVERAGEIFS('Mock Database'!$M$3:$M$152,'Mock Database'!$F$3:$F$152,$A20,'Mock Database'!$J$3:$J$152,"Completed"),"")</f>
        <v/>
      </c>
      <c r="F20" s="81" t="str">
        <f>IFERROR(AVERAGEIFS('Mock Database'!$N$3:$N$152,'Mock Database'!$F$3:$F$152,$A20,'Mock Database'!$J$3:$J$152,"Completed"),"")</f>
        <v/>
      </c>
      <c r="G20" s="81" t="str">
        <f>IFERROR(AVERAGEIFS('Mock Database'!$S$3:$S$152,'Mock Database'!$F$3:$F$152,$A20,'Mock Database'!$J$3:$J$152,"Completed"),"")</f>
        <v/>
      </c>
      <c r="H20" s="81" t="str">
        <f>IFERROR(AVERAGEIFS('Mock Database'!$T$3:$T$152,'Mock Database'!$F$3:$F$152,$A20,'Mock Database'!$J$3:$J$152,"Completed"),"")</f>
        <v/>
      </c>
      <c r="I20" s="81" t="str">
        <f>IFERROR(AVERAGEIFS('Mock Database'!$Y$3:$Y$152,'Mock Database'!$F$3:$F$152,$A20,'Mock Database'!$J$3:$J$152,"Completed"),"")</f>
        <v/>
      </c>
      <c r="J20" s="81" t="str">
        <f>IFERROR(AVERAGEIFS('Mock Database'!$Z$3:$Z$152,'Mock Database'!$F$3:$F$152,$A20,'Mock Database'!$J$3:$J$152,"Completed"),"")</f>
        <v/>
      </c>
    </row>
    <row r="21" spans="1:10" ht="16.5" customHeight="1" x14ac:dyDescent="0.3">
      <c r="A21" s="68" t="str">
        <f>Lists!B7</f>
        <v>Others</v>
      </c>
      <c r="B21" s="6">
        <f>COUNTIFS('Mock Database'!$J$3:$J$152,"Completed",'Mock Database'!$F$3:$F$152,"&lt;&gt;",'Mock Database'!$F$3:$F$152,"&lt;&gt;"&amp;$A$16,'Mock Database'!$F$3:$F$152,"&lt;&gt;"&amp;$A$17,'Mock Database'!$F$3:$F$152,"&lt;&gt;"&amp;$A$18,'Mock Database'!$F$3:$F$152,"&lt;&gt;"&amp;$A$19,'Mock Database'!$F$3:$F$152,"&lt;&gt;"&amp;$A$20)</f>
        <v>0</v>
      </c>
      <c r="C21" s="82" t="str">
        <f>IFERROR(AVERAGEIFS('Mock Database'!$AE$3:$AE$152,'Mock Database'!$J$3:$J$152,"Completed",'Mock Database'!$F$3:$F$152,"&lt;&gt;",'Mock Database'!$F$3:$F$152,"&lt;&gt;"&amp;$A$16,'Mock Database'!$F$3:$F$152,"&lt;&gt;"&amp;$A$17,'Mock Database'!$F$3:$F$152,"&lt;&gt;"&amp;$A$18,'Mock Database'!$F$3:$F$152,"&lt;&gt;"&amp;$A$19,'Mock Database'!$F$3:$F$152,"&lt;&gt;"&amp;$A$20),"")</f>
        <v/>
      </c>
      <c r="D21" s="82" t="str">
        <f>IFERROR(AVERAGEIFS('Mock Database'!$AF$3:$AF$152,'Mock Database'!$J$3:$J$152,"Completed",'Mock Database'!$F$3:$F$152,"&lt;&gt;",'Mock Database'!$F$3:$F$152,"&lt;&gt;"&amp;$A$16,'Mock Database'!$F$3:$F$152,"&lt;&gt;"&amp;$A$17,'Mock Database'!$F$3:$F$152,"&lt;&gt;"&amp;$A$18,'Mock Database'!$F$3:$F$152,"&lt;&gt;"&amp;$A$19,'Mock Database'!$F$3:$F$152,"&lt;&gt;"&amp;$A$20),"")</f>
        <v/>
      </c>
      <c r="E21" s="82" t="str">
        <f>IFERROR(AVERAGEIFS('Mock Database'!$M$3:$M$152,'Mock Database'!$J$3:$J$152,"Completed",'Mock Database'!$F$3:$F$152,"&lt;&gt;",'Mock Database'!$F$3:$F$152,"&lt;&gt;"&amp;$A$16,'Mock Database'!$F$3:$F$152,"&lt;&gt;"&amp;$A$17,'Mock Database'!$F$3:$F$152,"&lt;&gt;"&amp;$A$18,'Mock Database'!$F$3:$F$152,"&lt;&gt;"&amp;$A$19,'Mock Database'!$F$3:$F$152,"&lt;&gt;"&amp;$A$20),"")</f>
        <v/>
      </c>
      <c r="F21" s="82" t="str">
        <f>IFERROR(AVERAGEIFS('Mock Database'!$N$3:$N$152,'Mock Database'!$J$3:$J$152,"Completed",'Mock Database'!$F$3:$F$152,"&lt;&gt;",'Mock Database'!$F$3:$F$152,"&lt;&gt;"&amp;$A$16,'Mock Database'!$F$3:$F$152,"&lt;&gt;"&amp;$A$17,'Mock Database'!$F$3:$F$152,"&lt;&gt;"&amp;$A$18,'Mock Database'!$F$3:$F$152,"&lt;&gt;"&amp;$A$19,'Mock Database'!$F$3:$F$152,"&lt;&gt;"&amp;$A$20),"")</f>
        <v/>
      </c>
      <c r="G21" s="82" t="str">
        <f>IFERROR(AVERAGEIFS('Mock Database'!$S$3:$S$152,'Mock Database'!$J$3:$J$152,"Completed",'Mock Database'!$F$3:$F$152,"&lt;&gt;",'Mock Database'!$F$3:$F$152,"&lt;&gt;"&amp;$A$16,'Mock Database'!$F$3:$F$152,"&lt;&gt;"&amp;$A$17,'Mock Database'!$F$3:$F$152,"&lt;&gt;"&amp;$A$18,'Mock Database'!$F$3:$F$152,"&lt;&gt;"&amp;$A$19,'Mock Database'!$F$3:$F$152,"&lt;&gt;"&amp;$A$20),"")</f>
        <v/>
      </c>
      <c r="H21" s="82" t="str">
        <f>IFERROR(AVERAGEIFS('Mock Database'!$T$3:$T$152,'Mock Database'!$J$3:$J$152,"Completed",'Mock Database'!$F$3:$F$152,"&lt;&gt;",'Mock Database'!$F$3:$F$152,"&lt;&gt;"&amp;$A$16,'Mock Database'!$F$3:$F$152,"&lt;&gt;"&amp;$A$17,'Mock Database'!$F$3:$F$152,"&lt;&gt;"&amp;$A$18,'Mock Database'!$F$3:$F$152,"&lt;&gt;"&amp;$A$19,'Mock Database'!$F$3:$F$152,"&lt;&gt;"&amp;$A$20),"")</f>
        <v/>
      </c>
      <c r="I21" s="82" t="str">
        <f>IFERROR(AVERAGEIFS('Mock Database'!$Y$3:$Y$152,'Mock Database'!$J$3:$J$152,"Completed",'Mock Database'!$F$3:$F$152,"&lt;&gt;",'Mock Database'!$F$3:$F$152,"&lt;&gt;"&amp;$A$16,'Mock Database'!$F$3:$F$152,"&lt;&gt;"&amp;$A$17,'Mock Database'!$F$3:$F$152,"&lt;&gt;"&amp;$A$18,'Mock Database'!$F$3:$F$152,"&lt;&gt;"&amp;$A$19,'Mock Database'!$F$3:$F$152,"&lt;&gt;"&amp;$A$20),"")</f>
        <v/>
      </c>
      <c r="J21" s="82" t="str">
        <f>IFERROR(AVERAGEIFS('Mock Database'!$Z$3:$Z$152,'Mock Database'!$J$3:$J$152,"Completed",'Mock Database'!$F$3:$F$152,"&lt;&gt;",'Mock Database'!$F$3:$F$152,"&lt;&gt;"&amp;$A$16,'Mock Database'!$F$3:$F$152,"&lt;&gt;"&amp;$A$17,'Mock Database'!$F$3:$F$152,"&lt;&gt;"&amp;$A$18,'Mock Database'!$F$3:$F$152,"&lt;&gt;"&amp;$A$19,'Mock Database'!$F$3:$F$152,"&lt;&gt;"&amp;$A$20),"")</f>
        <v/>
      </c>
    </row>
    <row r="23" spans="1:10" ht="21.75" customHeight="1" x14ac:dyDescent="0.3">
      <c r="A23" s="140" t="s">
        <v>205</v>
      </c>
      <c r="B23" s="140"/>
      <c r="C23" s="140"/>
      <c r="D23" s="140"/>
      <c r="E23" s="140"/>
      <c r="F23" s="140"/>
      <c r="G23" s="140"/>
      <c r="H23" s="140"/>
      <c r="I23" s="140"/>
      <c r="J23" s="140"/>
    </row>
    <row r="24" spans="1:10" ht="15.75" customHeight="1" x14ac:dyDescent="0.3">
      <c r="A24" s="62" t="s">
        <v>194</v>
      </c>
      <c r="B24" s="62" t="s">
        <v>195</v>
      </c>
      <c r="C24" s="62" t="s">
        <v>196</v>
      </c>
      <c r="D24" s="62" t="s">
        <v>197</v>
      </c>
      <c r="E24" s="62" t="s">
        <v>198</v>
      </c>
      <c r="F24" s="62" t="s">
        <v>199</v>
      </c>
      <c r="G24" s="62" t="s">
        <v>200</v>
      </c>
      <c r="H24" s="62" t="s">
        <v>201</v>
      </c>
      <c r="I24" s="62" t="s">
        <v>202</v>
      </c>
      <c r="J24" s="62" t="s">
        <v>203</v>
      </c>
    </row>
    <row r="25" spans="1:10" ht="16.5" customHeight="1" x14ac:dyDescent="0.3">
      <c r="A25" s="63" t="str">
        <f>Lists!C2</f>
        <v>Proctored</v>
      </c>
      <c r="B25" s="8">
        <f>COUNTIFS('Mock Database'!$G$3:$G$152,$A25,'Mock Database'!$J$3:$J$152,"Completed")</f>
        <v>5</v>
      </c>
      <c r="C25" s="81">
        <f>IFERROR(AVERAGEIFS('Mock Database'!$AE$3:$AE$152,'Mock Database'!$G$3:$G$152,$A25,'Mock Database'!$J$3:$J$152,"Completed"),"")</f>
        <v>86.6</v>
      </c>
      <c r="D25" s="81">
        <f>IFERROR(AVERAGEIFS('Mock Database'!$AF$3:$AF$152,'Mock Database'!$G$3:$G$152,$A25,'Mock Database'!$J$3:$J$152,"Completed"),"")</f>
        <v>94.335999999999984</v>
      </c>
      <c r="E25" s="81">
        <f>IFERROR(AVERAGEIFS('Mock Database'!$M$3:$M$152,'Mock Database'!$G$3:$G$152,$A25,'Mock Database'!$J$3:$J$152,"Completed"),"")</f>
        <v>40.799999999999997</v>
      </c>
      <c r="F25" s="81">
        <f>IFERROR(AVERAGEIFS('Mock Database'!$N$3:$N$152,'Mock Database'!$G$3:$G$152,$A25,'Mock Database'!$J$3:$J$152,"Completed"),"")</f>
        <v>95.348000000000013</v>
      </c>
      <c r="G25" s="81">
        <f>IFERROR(AVERAGEIFS('Mock Database'!$S$3:$S$152,'Mock Database'!$G$3:$G$152,$A25,'Mock Database'!$J$3:$J$152,"Completed"),"")</f>
        <v>25</v>
      </c>
      <c r="H25" s="81">
        <f>IFERROR(AVERAGEIFS('Mock Database'!$T$3:$T$152,'Mock Database'!$G$3:$G$152,$A25,'Mock Database'!$J$3:$J$152,"Completed"),"")</f>
        <v>88.828000000000003</v>
      </c>
      <c r="I25" s="81">
        <f>IFERROR(AVERAGEIFS('Mock Database'!$Y$3:$Y$152,'Mock Database'!$G$3:$G$152,$A25,'Mock Database'!$J$3:$J$152,"Completed"),"")</f>
        <v>20.8</v>
      </c>
      <c r="J25" s="81">
        <f>IFERROR(AVERAGEIFS('Mock Database'!$Z$3:$Z$152,'Mock Database'!$G$3:$G$152,$A25,'Mock Database'!$J$3:$J$152,"Completed"),"")</f>
        <v>73.823999999999998</v>
      </c>
    </row>
    <row r="26" spans="1:10" ht="16.5" customHeight="1" x14ac:dyDescent="0.3">
      <c r="A26" s="68" t="str">
        <f>Lists!C3</f>
        <v>Take Home</v>
      </c>
      <c r="B26" s="6">
        <f>COUNTIFS('Mock Database'!$G$3:$G$152,$A26,'Mock Database'!$J$3:$J$152,"Completed")</f>
        <v>4</v>
      </c>
      <c r="C26" s="82">
        <f>IFERROR(AVERAGEIFS('Mock Database'!$AE$3:$AE$152,'Mock Database'!$G$3:$G$152,$A26,'Mock Database'!$J$3:$J$152,"Completed"),"")</f>
        <v>69</v>
      </c>
      <c r="D26" s="82">
        <f>IFERROR(AVERAGEIFS('Mock Database'!$AF$3:$AF$152,'Mock Database'!$G$3:$G$152,$A26,'Mock Database'!$J$3:$J$152,"Completed"),"")</f>
        <v>89.115000000000009</v>
      </c>
      <c r="E26" s="82">
        <f>IFERROR(AVERAGEIFS('Mock Database'!$M$3:$M$152,'Mock Database'!$G$3:$G$152,$A26,'Mock Database'!$J$3:$J$152,"Completed"),"")</f>
        <v>37.25</v>
      </c>
      <c r="F26" s="82">
        <f>IFERROR(AVERAGEIFS('Mock Database'!$N$3:$N$152,'Mock Database'!$G$3:$G$152,$A26,'Mock Database'!$J$3:$J$152,"Completed"),"")</f>
        <v>88.884999999999991</v>
      </c>
      <c r="G26" s="82">
        <f>IFERROR(AVERAGEIFS('Mock Database'!$S$3:$S$152,'Mock Database'!$G$3:$G$152,$A26,'Mock Database'!$J$3:$J$152,"Completed"),"")</f>
        <v>13.75</v>
      </c>
      <c r="H26" s="82">
        <f>IFERROR(AVERAGEIFS('Mock Database'!$T$3:$T$152,'Mock Database'!$G$3:$G$152,$A26,'Mock Database'!$J$3:$J$152,"Completed"),"")</f>
        <v>64.047499999999999</v>
      </c>
      <c r="I26" s="82">
        <f>IFERROR(AVERAGEIFS('Mock Database'!$Y$3:$Y$152,'Mock Database'!$G$3:$G$152,$A26,'Mock Database'!$J$3:$J$152,"Completed"),"")</f>
        <v>18</v>
      </c>
      <c r="J26" s="82">
        <f>IFERROR(AVERAGEIFS('Mock Database'!$Z$3:$Z$152,'Mock Database'!$G$3:$G$152,$A26,'Mock Database'!$J$3:$J$152,"Completed"),"")</f>
        <v>68.180000000000007</v>
      </c>
    </row>
    <row r="27" spans="1:10" ht="16.5" customHeight="1" x14ac:dyDescent="0.3">
      <c r="A27" s="63" t="str">
        <f>Lists!C4</f>
        <v>Past CAT Paper</v>
      </c>
      <c r="B27" s="8">
        <f>COUNTIFS('Mock Database'!$G$3:$G$152,$A27,'Mock Database'!$J$3:$J$152,"Completed")</f>
        <v>1</v>
      </c>
      <c r="C27" s="81">
        <f>IFERROR(AVERAGEIFS('Mock Database'!$AE$3:$AE$152,'Mock Database'!$G$3:$G$152,$A27,'Mock Database'!$J$3:$J$152,"Completed"),"")</f>
        <v>82</v>
      </c>
      <c r="D27" s="81" t="str">
        <f>IFERROR(AVERAGEIFS('Mock Database'!$AF$3:$AF$152,'Mock Database'!$G$3:$G$152,$A27,'Mock Database'!$J$3:$J$152,"Completed"),"")</f>
        <v/>
      </c>
      <c r="E27" s="81">
        <f>IFERROR(AVERAGEIFS('Mock Database'!$M$3:$M$152,'Mock Database'!$G$3:$G$152,$A27,'Mock Database'!$J$3:$J$152,"Completed"),"")</f>
        <v>31</v>
      </c>
      <c r="F27" s="81" t="str">
        <f>IFERROR(AVERAGEIFS('Mock Database'!$N$3:$N$152,'Mock Database'!$G$3:$G$152,$A27,'Mock Database'!$J$3:$J$152,"Completed"),"")</f>
        <v/>
      </c>
      <c r="G27" s="81">
        <f>IFERROR(AVERAGEIFS('Mock Database'!$S$3:$S$152,'Mock Database'!$G$3:$G$152,$A27,'Mock Database'!$J$3:$J$152,"Completed"),"")</f>
        <v>27</v>
      </c>
      <c r="H27" s="81" t="str">
        <f>IFERROR(AVERAGEIFS('Mock Database'!$T$3:$T$152,'Mock Database'!$G$3:$G$152,$A27,'Mock Database'!$J$3:$J$152,"Completed"),"")</f>
        <v/>
      </c>
      <c r="I27" s="81">
        <f>IFERROR(AVERAGEIFS('Mock Database'!$Y$3:$Y$152,'Mock Database'!$G$3:$G$152,$A27,'Mock Database'!$J$3:$J$152,"Completed"),"")</f>
        <v>24</v>
      </c>
      <c r="J27" s="81" t="str">
        <f>IFERROR(AVERAGEIFS('Mock Database'!$Z$3:$Z$152,'Mock Database'!$G$3:$G$152,$A27,'Mock Database'!$J$3:$J$152,"Completed"),"")</f>
        <v/>
      </c>
    </row>
    <row r="30" spans="1:10" ht="12.75" customHeight="1" x14ac:dyDescent="0.3">
      <c r="A30" s="129" t="s">
        <v>142</v>
      </c>
      <c r="B30" s="129"/>
      <c r="C30" s="129"/>
      <c r="D30" s="129"/>
      <c r="E30" s="129"/>
      <c r="F30" s="129"/>
      <c r="G30" s="129"/>
      <c r="H30" s="129"/>
      <c r="I30" s="129"/>
      <c r="J30" s="129"/>
    </row>
  </sheetData>
  <sheetProtection sheet="1" scenarios="1" sort="0" autoFilter="0"/>
  <mergeCells count="6">
    <mergeCell ref="A30:J30"/>
    <mergeCell ref="A1:J1"/>
    <mergeCell ref="A2:J2"/>
    <mergeCell ref="A4:J4"/>
    <mergeCell ref="A14:J14"/>
    <mergeCell ref="A23:J2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401"/>
  <sheetViews>
    <sheetView zoomScaleNormal="100" workbookViewId="0"/>
  </sheetViews>
  <sheetFormatPr defaultColWidth="8.6640625" defaultRowHeight="14.4" x14ac:dyDescent="0.3"/>
  <cols>
    <col min="1" max="1" width="6.33203125" customWidth="1"/>
    <col min="2" max="2" width="20.33203125" customWidth="1"/>
  </cols>
  <sheetData>
    <row r="1" spans="1:40" ht="15" customHeight="1" x14ac:dyDescent="0.3">
      <c r="A1" s="83" t="s">
        <v>214</v>
      </c>
      <c r="B1" s="84" t="s">
        <v>215</v>
      </c>
      <c r="C1" s="84" t="s">
        <v>216</v>
      </c>
      <c r="D1" s="84" t="s">
        <v>206</v>
      </c>
      <c r="E1" s="84" t="s">
        <v>207</v>
      </c>
      <c r="F1" s="84" t="s">
        <v>208</v>
      </c>
      <c r="G1" s="84" t="s">
        <v>209</v>
      </c>
      <c r="H1" s="84" t="s">
        <v>210</v>
      </c>
      <c r="I1" s="84" t="s">
        <v>211</v>
      </c>
      <c r="J1" s="84" t="s">
        <v>212</v>
      </c>
      <c r="K1" s="84" t="s">
        <v>213</v>
      </c>
      <c r="N1" s="85" t="s">
        <v>217</v>
      </c>
      <c r="O1" s="85" t="s">
        <v>218</v>
      </c>
      <c r="P1" s="85" t="s">
        <v>219</v>
      </c>
      <c r="Q1" s="85" t="s">
        <v>220</v>
      </c>
      <c r="R1" s="85" t="s">
        <v>221</v>
      </c>
      <c r="S1" s="85" t="s">
        <v>222</v>
      </c>
      <c r="T1" s="85" t="s">
        <v>223</v>
      </c>
      <c r="U1" s="85" t="s">
        <v>224</v>
      </c>
      <c r="V1" s="85" t="s">
        <v>225</v>
      </c>
      <c r="X1" s="86" t="s">
        <v>227</v>
      </c>
      <c r="Z1" t="s">
        <v>233</v>
      </c>
      <c r="AA1" t="s">
        <v>234</v>
      </c>
      <c r="AB1" t="s">
        <v>235</v>
      </c>
      <c r="AC1" t="s">
        <v>236</v>
      </c>
      <c r="AD1" t="s">
        <v>237</v>
      </c>
      <c r="AE1" t="s">
        <v>238</v>
      </c>
      <c r="AF1" t="s">
        <v>239</v>
      </c>
      <c r="AG1" t="s">
        <v>240</v>
      </c>
      <c r="AH1" t="s">
        <v>241</v>
      </c>
      <c r="AJ1" s="85" t="s">
        <v>246</v>
      </c>
      <c r="AK1" s="85" t="s">
        <v>247</v>
      </c>
      <c r="AL1" s="85" t="s">
        <v>248</v>
      </c>
      <c r="AM1" s="85" t="s">
        <v>278</v>
      </c>
      <c r="AN1" s="85" t="s">
        <v>279</v>
      </c>
    </row>
    <row r="2" spans="1:40" ht="15" customHeight="1" x14ac:dyDescent="0.3">
      <c r="A2" s="87">
        <v>1</v>
      </c>
      <c r="B2" t="str">
        <f>IFERROR(INDEX('Mock Database'!$D$3:$D$152,MATCH($A2,'Mock Database'!$C$3:$C$152,0)),"")</f>
        <v>SimCAT 1</v>
      </c>
      <c r="C2" s="88">
        <f>IFERROR(INDEX('Mock Database'!$I$3:$I$152,MATCH($A2,'Mock Database'!$C$3:$C$152,0)),"")</f>
        <v>46137</v>
      </c>
      <c r="D2" s="89">
        <f ca="1">IF(ISNA(MATCH($A2,'Mock Database'!$C$3:$C$152,0)),"",IF(ISBLANK(OFFSET('Mock Database'!$M$2,MATCH($A2,'Mock Database'!$C$3:$C$152,0),0)),"",INDEX('Mock Database'!$M$3:$M$152,MATCH($A2,'Mock Database'!$C$3:$C$152,0))))</f>
        <v>31</v>
      </c>
      <c r="E2" s="22">
        <f ca="1">IF(ISNA(MATCH($A2,'Mock Database'!$C$3:$C$152,0)),"",IF(ISBLANK(OFFSET('Mock Database'!$N$2,MATCH($A2,'Mock Database'!$C$3:$C$152,0),0)),"",INDEX('Mock Database'!$N$3:$N$152,MATCH($A2,'Mock Database'!$C$3:$C$152,0))))</f>
        <v>88.02</v>
      </c>
      <c r="F2" s="89">
        <f ca="1">IF(ISNA(MATCH($A2,'Mock Database'!$C$3:$C$152,0)),"",IF(ISBLANK(OFFSET('Mock Database'!$S$2,MATCH($A2,'Mock Database'!$C$3:$C$152,0),0)),"",INDEX('Mock Database'!$S$3:$S$152,MATCH($A2,'Mock Database'!$C$3:$C$152,0))))</f>
        <v>24</v>
      </c>
      <c r="G2" s="22">
        <f ca="1">IF(ISNA(MATCH($A2,'Mock Database'!$C$3:$C$152,0)),"",IF(ISBLANK(OFFSET('Mock Database'!$T$2,MATCH($A2,'Mock Database'!$C$3:$C$152,0),0)),"",INDEX('Mock Database'!$T$3:$T$152,MATCH($A2,'Mock Database'!$C$3:$C$152,0))))</f>
        <v>90.04</v>
      </c>
      <c r="H2" s="89">
        <f ca="1">IF(ISNA(MATCH($A2,'Mock Database'!$C$3:$C$152,0)),"",IF(ISBLANK(OFFSET('Mock Database'!$Y$2,MATCH($A2,'Mock Database'!$C$3:$C$152,0),0)),"",INDEX('Mock Database'!$Y$3:$Y$152,MATCH($A2,'Mock Database'!$C$3:$C$152,0))))</f>
        <v>21</v>
      </c>
      <c r="I2" s="22">
        <f ca="1">IF(ISNA(MATCH($A2,'Mock Database'!$C$3:$C$152,0)),"",IF(ISBLANK(OFFSET('Mock Database'!$Z$2,MATCH($A2,'Mock Database'!$C$3:$C$152,0),0)),"",INDEX('Mock Database'!$Z$3:$Z$152,MATCH($A2,'Mock Database'!$C$3:$C$152,0))))</f>
        <v>69.81</v>
      </c>
      <c r="J2" s="89">
        <f ca="1">IF(ISNA(MATCH($A2,'Mock Database'!$C$3:$C$152,0)),"",IF(ISBLANK(OFFSET('Mock Database'!$AE$2,MATCH($A2,'Mock Database'!$C$3:$C$152,0),0)),"",INDEX('Mock Database'!$AE$3:$AE$152,MATCH($A2,'Mock Database'!$C$3:$C$152,0))))</f>
        <v>76</v>
      </c>
      <c r="K2" s="22">
        <f ca="1">IF(ISNA(MATCH($A2,'Mock Database'!$C$3:$C$152,0)),"",IF(ISBLANK(OFFSET('Mock Database'!$AF$2,MATCH($A2,'Mock Database'!$C$3:$C$152,0),0)),"",INDEX('Mock Database'!$AF$3:$AF$152,MATCH($A2,'Mock Database'!$C$3:$C$152,0))))</f>
        <v>88.92</v>
      </c>
      <c r="N2" t="str">
        <f>IF($B2="",NA(),$B2)</f>
        <v>SimCAT 1</v>
      </c>
      <c r="O2" s="89">
        <f ca="1">IF($D2="",NA(),$D2)</f>
        <v>31</v>
      </c>
      <c r="P2" s="22">
        <f ca="1">IF($E2="",NA(),$E2)</f>
        <v>88.02</v>
      </c>
      <c r="Q2" s="89">
        <f ca="1">IF($F2="",NA(),$F2)</f>
        <v>24</v>
      </c>
      <c r="R2" s="22">
        <f ca="1">IF($G2="",NA(),$G2)</f>
        <v>90.04</v>
      </c>
      <c r="S2" s="89">
        <f ca="1">IF($H2="",NA(),$H2)</f>
        <v>21</v>
      </c>
      <c r="T2" s="22">
        <f ca="1">IF($I2="",NA(),$I2)</f>
        <v>69.81</v>
      </c>
      <c r="U2" s="89">
        <f ca="1">IF($J2="",NA(),$J2)</f>
        <v>76</v>
      </c>
      <c r="V2" s="22">
        <f ca="1">IF($K2="",NA(),$K2)</f>
        <v>88.92</v>
      </c>
      <c r="X2">
        <f ca="1">IFERROR(MAX(0,FLOOR(MIN(K2:K401)-1,5)),0)</f>
        <v>75</v>
      </c>
      <c r="Z2" t="str" cm="1">
        <f t="array" ref="Z2:Z11">_xlfn._xlws.FILTER(B2:B401,$B$2:$B$401&lt;&gt;"","")</f>
        <v>SimCAT 1</v>
      </c>
      <c r="AA2" cm="1">
        <f t="array" aca="1" ref="AA2:AA11" ca="1">_xlfn._xlws.FILTER(O2:O401,$B$2:$B$401&lt;&gt;"","")</f>
        <v>31</v>
      </c>
      <c r="AB2" cm="1">
        <f t="array" aca="1" ref="AB2:AB11" ca="1">_xlfn._xlws.FILTER(P2:P401,$B$2:$B$401&lt;&gt;"","")</f>
        <v>88.02</v>
      </c>
      <c r="AC2" cm="1">
        <f t="array" aca="1" ref="AC2:AC11" ca="1">_xlfn._xlws.FILTER(Q2:Q401,$B$2:$B$401&lt;&gt;"","")</f>
        <v>24</v>
      </c>
      <c r="AD2" cm="1">
        <f t="array" aca="1" ref="AD2:AD11" ca="1">_xlfn._xlws.FILTER(R2:R401,$B$2:$B$401&lt;&gt;"","")</f>
        <v>90.04</v>
      </c>
      <c r="AE2" cm="1">
        <f t="array" aca="1" ref="AE2:AE11" ca="1">_xlfn._xlws.FILTER(S2:S401,$B$2:$B$401&lt;&gt;"","")</f>
        <v>21</v>
      </c>
      <c r="AF2" cm="1">
        <f t="array" aca="1" ref="AF2:AF11" ca="1">_xlfn._xlws.FILTER(T2:T401,$B$2:$B$401&lt;&gt;"","")</f>
        <v>69.81</v>
      </c>
      <c r="AG2" cm="1">
        <f t="array" aca="1" ref="AG2:AG11" ca="1">_xlfn._xlws.FILTER(U2:U401,$B$2:$B$401&lt;&gt;"","")</f>
        <v>76</v>
      </c>
      <c r="AH2" cm="1">
        <f t="array" aca="1" ref="AH2:AH11" ca="1">_xlfn._xlws.FILTER(V2:V401,$B$2:$B$401&lt;&gt;"","")</f>
        <v>88.92</v>
      </c>
      <c r="AJ2" t="s">
        <v>249</v>
      </c>
      <c r="AK2">
        <f ca="1">IFERROR(Calculations!E3,"")</f>
        <v>92.475555555555559</v>
      </c>
      <c r="AL2">
        <f ca="1">IFERROR(Calculations!E5,"")</f>
        <v>99.91</v>
      </c>
      <c r="AM2">
        <f>IF($B2="",NA(),$A2)</f>
        <v>1</v>
      </c>
      <c r="AN2">
        <f ca="1">$U2</f>
        <v>76</v>
      </c>
    </row>
    <row r="3" spans="1:40" ht="15" customHeight="1" x14ac:dyDescent="0.3">
      <c r="A3" s="87">
        <v>2</v>
      </c>
      <c r="B3" t="str">
        <f>IFERROR(INDEX('Mock Database'!$D$3:$D$152,MATCH($A3,'Mock Database'!$C$3:$C$152,0)),"")</f>
        <v>SimCAT 2</v>
      </c>
      <c r="C3" s="88">
        <f>IFERROR(INDEX('Mock Database'!$I$3:$I$152,MATCH($A3,'Mock Database'!$C$3:$C$152,0)),"")</f>
        <v>46172</v>
      </c>
      <c r="D3" s="89">
        <f ca="1">IF(ISNA(MATCH($A3,'Mock Database'!$C$3:$C$152,0)),"",IF(ISBLANK(OFFSET('Mock Database'!$M$2,MATCH($A3,'Mock Database'!$C$3:$C$152,0),0)),"",INDEX('Mock Database'!$M$3:$M$152,MATCH($A3,'Mock Database'!$C$3:$C$152,0))))</f>
        <v>35</v>
      </c>
      <c r="E3" s="22">
        <f ca="1">IF(ISNA(MATCH($A3,'Mock Database'!$C$3:$C$152,0)),"",IF(ISBLANK(OFFSET('Mock Database'!$N$2,MATCH($A3,'Mock Database'!$C$3:$C$152,0),0)),"",INDEX('Mock Database'!$N$3:$N$152,MATCH($A3,'Mock Database'!$C$3:$C$152,0))))</f>
        <v>92.72</v>
      </c>
      <c r="F3" s="89">
        <f ca="1">IF(ISNA(MATCH($A3,'Mock Database'!$C$3:$C$152,0)),"",IF(ISBLANK(OFFSET('Mock Database'!$S$2,MATCH($A3,'Mock Database'!$C$3:$C$152,0),0)),"",INDEX('Mock Database'!$S$3:$S$152,MATCH($A3,'Mock Database'!$C$3:$C$152,0))))</f>
        <v>36</v>
      </c>
      <c r="G3" s="22">
        <f ca="1">IF(ISNA(MATCH($A3,'Mock Database'!$C$3:$C$152,0)),"",IF(ISBLANK(OFFSET('Mock Database'!$T$2,MATCH($A3,'Mock Database'!$C$3:$C$152,0),0)),"",INDEX('Mock Database'!$T$3:$T$152,MATCH($A3,'Mock Database'!$C$3:$C$152,0))))</f>
        <v>94.69</v>
      </c>
      <c r="H3" s="89">
        <f ca="1">IF(ISNA(MATCH($A3,'Mock Database'!$C$3:$C$152,0)),"",IF(ISBLANK(OFFSET('Mock Database'!$Y$2,MATCH($A3,'Mock Database'!$C$3:$C$152,0),0)),"",INDEX('Mock Database'!$Y$3:$Y$152,MATCH($A3,'Mock Database'!$C$3:$C$152,0))))</f>
        <v>24</v>
      </c>
      <c r="I3" s="22">
        <f ca="1">IF(ISNA(MATCH($A3,'Mock Database'!$C$3:$C$152,0)),"",IF(ISBLANK(OFFSET('Mock Database'!$Z$2,MATCH($A3,'Mock Database'!$C$3:$C$152,0),0)),"",INDEX('Mock Database'!$Z$3:$Z$152,MATCH($A3,'Mock Database'!$C$3:$C$152,0))))</f>
        <v>85.41</v>
      </c>
      <c r="J3" s="89">
        <f ca="1">IF(ISNA(MATCH($A3,'Mock Database'!$C$3:$C$152,0)),"",IF(ISBLANK(OFFSET('Mock Database'!$AE$2,MATCH($A3,'Mock Database'!$C$3:$C$152,0),0)),"",INDEX('Mock Database'!$AE$3:$AE$152,MATCH($A3,'Mock Database'!$C$3:$C$152,0))))</f>
        <v>95</v>
      </c>
      <c r="K3" s="22">
        <f ca="1">IF(ISNA(MATCH($A3,'Mock Database'!$C$3:$C$152,0)),"",IF(ISBLANK(OFFSET('Mock Database'!$AF$2,MATCH($A3,'Mock Database'!$C$3:$C$152,0),0)),"",INDEX('Mock Database'!$AF$3:$AF$152,MATCH($A3,'Mock Database'!$C$3:$C$152,0))))</f>
        <v>94.98</v>
      </c>
      <c r="N3" t="str">
        <f t="shared" ref="N3:N66" si="0">IF($B3="",NA(),$B3)</f>
        <v>SimCAT 2</v>
      </c>
      <c r="O3" s="89">
        <f t="shared" ref="O3:O66" ca="1" si="1">IF($D3="",NA(),$D3)</f>
        <v>35</v>
      </c>
      <c r="P3" s="22">
        <f t="shared" ref="P3:P66" ca="1" si="2">IF($E3="",NA(),$E3)</f>
        <v>92.72</v>
      </c>
      <c r="Q3" s="89">
        <f t="shared" ref="Q3:Q66" ca="1" si="3">IF($F3="",NA(),$F3)</f>
        <v>36</v>
      </c>
      <c r="R3" s="22">
        <f t="shared" ref="R3:R66" ca="1" si="4">IF($G3="",NA(),$G3)</f>
        <v>94.69</v>
      </c>
      <c r="S3" s="89">
        <f t="shared" ref="S3:S66" ca="1" si="5">IF($H3="",NA(),$H3)</f>
        <v>24</v>
      </c>
      <c r="T3" s="22">
        <f t="shared" ref="T3:T66" ca="1" si="6">IF($I3="",NA(),$I3)</f>
        <v>85.41</v>
      </c>
      <c r="U3" s="89">
        <f t="shared" ref="U3:U66" ca="1" si="7">IF($J3="",NA(),$J3)</f>
        <v>95</v>
      </c>
      <c r="V3" s="22">
        <f t="shared" ref="V3:V66" ca="1" si="8">IF($K3="",NA(),$K3)</f>
        <v>94.98</v>
      </c>
      <c r="Z3" t="str">
        <v>SimCAT 2</v>
      </c>
      <c r="AA3">
        <f ca="1"/>
        <v>35</v>
      </c>
      <c r="AB3">
        <f ca="1"/>
        <v>92.72</v>
      </c>
      <c r="AC3">
        <f ca="1"/>
        <v>36</v>
      </c>
      <c r="AD3">
        <f ca="1"/>
        <v>94.69</v>
      </c>
      <c r="AE3">
        <f ca="1"/>
        <v>24</v>
      </c>
      <c r="AF3">
        <f ca="1"/>
        <v>85.41</v>
      </c>
      <c r="AG3">
        <f ca="1"/>
        <v>95</v>
      </c>
      <c r="AH3">
        <f ca="1"/>
        <v>94.98</v>
      </c>
      <c r="AJ3" t="s">
        <v>250</v>
      </c>
      <c r="AK3">
        <f ca="1">IFERROR(Calculations!G3,"")</f>
        <v>77.814444444444447</v>
      </c>
      <c r="AL3">
        <f ca="1">IFERROR(Calculations!G5,"")</f>
        <v>94.69</v>
      </c>
      <c r="AM3">
        <f t="shared" ref="AM3:AM66" si="9">IF($B3="",NA(),$A3)</f>
        <v>2</v>
      </c>
      <c r="AN3">
        <f t="shared" ref="AN3:AN66" ca="1" si="10">$U3</f>
        <v>95</v>
      </c>
    </row>
    <row r="4" spans="1:40" ht="15" customHeight="1" x14ac:dyDescent="0.3">
      <c r="A4" s="87">
        <v>3</v>
      </c>
      <c r="B4" t="str">
        <f>IFERROR(INDEX('Mock Database'!$D$3:$D$152,MATCH($A4,'Mock Database'!$C$3:$C$152,0)),"")</f>
        <v>SimCAT 3</v>
      </c>
      <c r="C4" s="88">
        <f>IFERROR(INDEX('Mock Database'!$I$3:$I$152,MATCH($A4,'Mock Database'!$C$3:$C$152,0)),"")</f>
        <v>46173</v>
      </c>
      <c r="D4" s="89">
        <f ca="1">IF(ISNA(MATCH($A4,'Mock Database'!$C$3:$C$152,0)),"",IF(ISBLANK(OFFSET('Mock Database'!$M$2,MATCH($A4,'Mock Database'!$C$3:$C$152,0),0)),"",INDEX('Mock Database'!$M$3:$M$152,MATCH($A4,'Mock Database'!$C$3:$C$152,0))))</f>
        <v>49</v>
      </c>
      <c r="E4" s="22">
        <f ca="1">IF(ISNA(MATCH($A4,'Mock Database'!$C$3:$C$152,0)),"",IF(ISBLANK(OFFSET('Mock Database'!$N$2,MATCH($A4,'Mock Database'!$C$3:$C$152,0),0)),"",INDEX('Mock Database'!$N$3:$N$152,MATCH($A4,'Mock Database'!$C$3:$C$152,0))))</f>
        <v>99.09</v>
      </c>
      <c r="F4" s="89">
        <f ca="1">IF(ISNA(MATCH($A4,'Mock Database'!$C$3:$C$152,0)),"",IF(ISBLANK(OFFSET('Mock Database'!$S$2,MATCH($A4,'Mock Database'!$C$3:$C$152,0),0)),"",INDEX('Mock Database'!$S$3:$S$152,MATCH($A4,'Mock Database'!$C$3:$C$152,0))))</f>
        <v>21</v>
      </c>
      <c r="G4" s="22">
        <f ca="1">IF(ISNA(MATCH($A4,'Mock Database'!$C$3:$C$152,0)),"",IF(ISBLANK(OFFSET('Mock Database'!$T$2,MATCH($A4,'Mock Database'!$C$3:$C$152,0),0)),"",INDEX('Mock Database'!$T$3:$T$152,MATCH($A4,'Mock Database'!$C$3:$C$152,0))))</f>
        <v>91.49</v>
      </c>
      <c r="H4" s="89">
        <f ca="1">IF(ISNA(MATCH($A4,'Mock Database'!$C$3:$C$152,0)),"",IF(ISBLANK(OFFSET('Mock Database'!$Y$2,MATCH($A4,'Mock Database'!$C$3:$C$152,0),0)),"",INDEX('Mock Database'!$Y$3:$Y$152,MATCH($A4,'Mock Database'!$C$3:$C$152,0))))</f>
        <v>13</v>
      </c>
      <c r="I4" s="22">
        <f ca="1">IF(ISNA(MATCH($A4,'Mock Database'!$C$3:$C$152,0)),"",IF(ISBLANK(OFFSET('Mock Database'!$Z$2,MATCH($A4,'Mock Database'!$C$3:$C$152,0),0)),"",INDEX('Mock Database'!$Z$3:$Z$152,MATCH($A4,'Mock Database'!$C$3:$C$152,0))))</f>
        <v>62.2</v>
      </c>
      <c r="J4" s="89">
        <f ca="1">IF(ISNA(MATCH($A4,'Mock Database'!$C$3:$C$152,0)),"",IF(ISBLANK(OFFSET('Mock Database'!$AE$2,MATCH($A4,'Mock Database'!$C$3:$C$152,0),0)),"",INDEX('Mock Database'!$AE$3:$AE$152,MATCH($A4,'Mock Database'!$C$3:$C$152,0))))</f>
        <v>83</v>
      </c>
      <c r="K4" s="22">
        <f ca="1">IF(ISNA(MATCH($A4,'Mock Database'!$C$3:$C$152,0)),"",IF(ISBLANK(OFFSET('Mock Database'!$AF$2,MATCH($A4,'Mock Database'!$C$3:$C$152,0),0)),"",INDEX('Mock Database'!$AF$3:$AF$152,MATCH($A4,'Mock Database'!$C$3:$C$152,0))))</f>
        <v>95.61</v>
      </c>
      <c r="N4" t="str">
        <f t="shared" si="0"/>
        <v>SimCAT 3</v>
      </c>
      <c r="O4" s="89">
        <f t="shared" ca="1" si="1"/>
        <v>49</v>
      </c>
      <c r="P4" s="22">
        <f t="shared" ca="1" si="2"/>
        <v>99.09</v>
      </c>
      <c r="Q4" s="89">
        <f t="shared" ca="1" si="3"/>
        <v>21</v>
      </c>
      <c r="R4" s="22">
        <f t="shared" ca="1" si="4"/>
        <v>91.49</v>
      </c>
      <c r="S4" s="89">
        <f t="shared" ca="1" si="5"/>
        <v>13</v>
      </c>
      <c r="T4" s="22">
        <f t="shared" ca="1" si="6"/>
        <v>62.2</v>
      </c>
      <c r="U4" s="89">
        <f t="shared" ca="1" si="7"/>
        <v>83</v>
      </c>
      <c r="V4" s="22">
        <f t="shared" ca="1" si="8"/>
        <v>95.61</v>
      </c>
      <c r="Z4" t="str">
        <v>SimCAT 3</v>
      </c>
      <c r="AA4">
        <f ca="1"/>
        <v>49</v>
      </c>
      <c r="AB4">
        <f ca="1"/>
        <v>99.09</v>
      </c>
      <c r="AC4">
        <f ca="1"/>
        <v>21</v>
      </c>
      <c r="AD4">
        <f ca="1"/>
        <v>91.49</v>
      </c>
      <c r="AE4">
        <f ca="1"/>
        <v>13</v>
      </c>
      <c r="AF4">
        <f ca="1"/>
        <v>62.2</v>
      </c>
      <c r="AG4">
        <f ca="1"/>
        <v>83</v>
      </c>
      <c r="AH4">
        <f ca="1"/>
        <v>95.61</v>
      </c>
      <c r="AJ4" t="s">
        <v>251</v>
      </c>
      <c r="AK4">
        <f ca="1">IFERROR(Calculations!I3,"")</f>
        <v>71.315555555555548</v>
      </c>
      <c r="AL4">
        <f ca="1">IFERROR(Calculations!I5,"")</f>
        <v>96.81</v>
      </c>
      <c r="AM4">
        <f t="shared" si="9"/>
        <v>3</v>
      </c>
      <c r="AN4">
        <f t="shared" ca="1" si="10"/>
        <v>83</v>
      </c>
    </row>
    <row r="5" spans="1:40" ht="15" customHeight="1" x14ac:dyDescent="0.3">
      <c r="A5" s="87">
        <v>4</v>
      </c>
      <c r="B5" t="str">
        <f>IFERROR(INDEX('Mock Database'!$D$3:$D$152,MATCH($A5,'Mock Database'!$C$3:$C$152,0)),"")</f>
        <v>Take Home 1</v>
      </c>
      <c r="C5" s="88">
        <f>IFERROR(INDEX('Mock Database'!$I$3:$I$152,MATCH($A5,'Mock Database'!$C$3:$C$152,0)),"")</f>
        <v>46179</v>
      </c>
      <c r="D5" s="89">
        <f ca="1">IF(ISNA(MATCH($A5,'Mock Database'!$C$3:$C$152,0)),"",IF(ISBLANK(OFFSET('Mock Database'!$M$2,MATCH($A5,'Mock Database'!$C$3:$C$152,0),0)),"",INDEX('Mock Database'!$M$3:$M$152,MATCH($A5,'Mock Database'!$C$3:$C$152,0))))</f>
        <v>34</v>
      </c>
      <c r="E5" s="22">
        <f ca="1">IF(ISNA(MATCH($A5,'Mock Database'!$C$3:$C$152,0)),"",IF(ISBLANK(OFFSET('Mock Database'!$N$2,MATCH($A5,'Mock Database'!$C$3:$C$152,0),0)),"",INDEX('Mock Database'!$N$3:$N$152,MATCH($A5,'Mock Database'!$C$3:$C$152,0))))</f>
        <v>90.5</v>
      </c>
      <c r="F5" s="89">
        <f ca="1">IF(ISNA(MATCH($A5,'Mock Database'!$C$3:$C$152,0)),"",IF(ISBLANK(OFFSET('Mock Database'!$S$2,MATCH($A5,'Mock Database'!$C$3:$C$152,0),0)),"",INDEX('Mock Database'!$S$3:$S$152,MATCH($A5,'Mock Database'!$C$3:$C$152,0))))</f>
        <v>13</v>
      </c>
      <c r="G5" s="22">
        <f ca="1">IF(ISNA(MATCH($A5,'Mock Database'!$C$3:$C$152,0)),"",IF(ISBLANK(OFFSET('Mock Database'!$T$2,MATCH($A5,'Mock Database'!$C$3:$C$152,0),0)),"",INDEX('Mock Database'!$T$3:$T$152,MATCH($A5,'Mock Database'!$C$3:$C$152,0))))</f>
        <v>62.87</v>
      </c>
      <c r="H5" s="89">
        <f ca="1">IF(ISNA(MATCH($A5,'Mock Database'!$C$3:$C$152,0)),"",IF(ISBLANK(OFFSET('Mock Database'!$Y$2,MATCH($A5,'Mock Database'!$C$3:$C$152,0),0)),"",INDEX('Mock Database'!$Y$3:$Y$152,MATCH($A5,'Mock Database'!$C$3:$C$152,0))))</f>
        <v>23</v>
      </c>
      <c r="I5" s="22">
        <f ca="1">IF(ISNA(MATCH($A5,'Mock Database'!$C$3:$C$152,0)),"",IF(ISBLANK(OFFSET('Mock Database'!$Z$2,MATCH($A5,'Mock Database'!$C$3:$C$152,0),0)),"",INDEX('Mock Database'!$Z$3:$Z$152,MATCH($A5,'Mock Database'!$C$3:$C$152,0))))</f>
        <v>74.39</v>
      </c>
      <c r="J5" s="89">
        <f ca="1">IF(ISNA(MATCH($A5,'Mock Database'!$C$3:$C$152,0)),"",IF(ISBLANK(OFFSET('Mock Database'!$AE$2,MATCH($A5,'Mock Database'!$C$3:$C$152,0),0)),"",INDEX('Mock Database'!$AE$3:$AE$152,MATCH($A5,'Mock Database'!$C$3:$C$152,0))))</f>
        <v>70</v>
      </c>
      <c r="K5" s="22">
        <f ca="1">IF(ISNA(MATCH($A5,'Mock Database'!$C$3:$C$152,0)),"",IF(ISBLANK(OFFSET('Mock Database'!$AF$2,MATCH($A5,'Mock Database'!$C$3:$C$152,0),0)),"",INDEX('Mock Database'!$AF$3:$AF$152,MATCH($A5,'Mock Database'!$C$3:$C$152,0))))</f>
        <v>84.3</v>
      </c>
      <c r="N5" t="str">
        <f t="shared" si="0"/>
        <v>Take Home 1</v>
      </c>
      <c r="O5" s="89">
        <f t="shared" ca="1" si="1"/>
        <v>34</v>
      </c>
      <c r="P5" s="22">
        <f t="shared" ca="1" si="2"/>
        <v>90.5</v>
      </c>
      <c r="Q5" s="89">
        <f t="shared" ca="1" si="3"/>
        <v>13</v>
      </c>
      <c r="R5" s="22">
        <f t="shared" ca="1" si="4"/>
        <v>62.87</v>
      </c>
      <c r="S5" s="89">
        <f t="shared" ca="1" si="5"/>
        <v>23</v>
      </c>
      <c r="T5" s="22">
        <f t="shared" ca="1" si="6"/>
        <v>74.39</v>
      </c>
      <c r="U5" s="89">
        <f t="shared" ca="1" si="7"/>
        <v>70</v>
      </c>
      <c r="V5" s="22">
        <f t="shared" ca="1" si="8"/>
        <v>84.3</v>
      </c>
      <c r="Z5" t="str">
        <v>Take Home 1</v>
      </c>
      <c r="AA5">
        <f ca="1"/>
        <v>34</v>
      </c>
      <c r="AB5">
        <f ca="1"/>
        <v>90.5</v>
      </c>
      <c r="AC5">
        <f ca="1"/>
        <v>13</v>
      </c>
      <c r="AD5">
        <f ca="1"/>
        <v>62.87</v>
      </c>
      <c r="AE5">
        <f ca="1"/>
        <v>23</v>
      </c>
      <c r="AF5">
        <f ca="1"/>
        <v>74.39</v>
      </c>
      <c r="AG5">
        <f ca="1"/>
        <v>70</v>
      </c>
      <c r="AH5">
        <f ca="1"/>
        <v>84.3</v>
      </c>
      <c r="AM5">
        <f t="shared" si="9"/>
        <v>4</v>
      </c>
      <c r="AN5">
        <f t="shared" ca="1" si="10"/>
        <v>70</v>
      </c>
    </row>
    <row r="6" spans="1:40" ht="15" customHeight="1" x14ac:dyDescent="0.3">
      <c r="A6" s="87">
        <v>5</v>
      </c>
      <c r="B6" t="str">
        <f>IFERROR(INDEX('Mock Database'!$D$3:$D$152,MATCH($A6,'Mock Database'!$C$3:$C$152,0)),"")</f>
        <v>SimCAT 4</v>
      </c>
      <c r="C6" s="88">
        <f>IFERROR(INDEX('Mock Database'!$I$3:$I$152,MATCH($A6,'Mock Database'!$C$3:$C$152,0)),"")</f>
        <v>46186</v>
      </c>
      <c r="D6" s="89">
        <f ca="1">IF(ISNA(MATCH($A6,'Mock Database'!$C$3:$C$152,0)),"",IF(ISBLANK(OFFSET('Mock Database'!$M$2,MATCH($A6,'Mock Database'!$C$3:$C$152,0),0)),"",INDEX('Mock Database'!$M$3:$M$152,MATCH($A6,'Mock Database'!$C$3:$C$152,0))))</f>
        <v>49</v>
      </c>
      <c r="E6" s="22">
        <f ca="1">IF(ISNA(MATCH($A6,'Mock Database'!$C$3:$C$152,0)),"",IF(ISBLANK(OFFSET('Mock Database'!$N$2,MATCH($A6,'Mock Database'!$C$3:$C$152,0),0)),"",INDEX('Mock Database'!$N$3:$N$152,MATCH($A6,'Mock Database'!$C$3:$C$152,0))))</f>
        <v>98.79</v>
      </c>
      <c r="F6" s="89">
        <f ca="1">IF(ISNA(MATCH($A6,'Mock Database'!$C$3:$C$152,0)),"",IF(ISBLANK(OFFSET('Mock Database'!$S$2,MATCH($A6,'Mock Database'!$C$3:$C$152,0),0)),"",INDEX('Mock Database'!$S$3:$S$152,MATCH($A6,'Mock Database'!$C$3:$C$152,0))))</f>
        <v>29</v>
      </c>
      <c r="G6" s="22">
        <f ca="1">IF(ISNA(MATCH($A6,'Mock Database'!$C$3:$C$152,0)),"",IF(ISBLANK(OFFSET('Mock Database'!$T$2,MATCH($A6,'Mock Database'!$C$3:$C$152,0),0)),"",INDEX('Mock Database'!$T$3:$T$152,MATCH($A6,'Mock Database'!$C$3:$C$152,0))))</f>
        <v>91.89</v>
      </c>
      <c r="H6" s="89">
        <f ca="1">IF(ISNA(MATCH($A6,'Mock Database'!$C$3:$C$152,0)),"",IF(ISBLANK(OFFSET('Mock Database'!$Y$2,MATCH($A6,'Mock Database'!$C$3:$C$152,0),0)),"",INDEX('Mock Database'!$Y$3:$Y$152,MATCH($A6,'Mock Database'!$C$3:$C$152,0))))</f>
        <v>10</v>
      </c>
      <c r="I6" s="22">
        <f ca="1">IF(ISNA(MATCH($A6,'Mock Database'!$C$3:$C$152,0)),"",IF(ISBLANK(OFFSET('Mock Database'!$Z$2,MATCH($A6,'Mock Database'!$C$3:$C$152,0),0)),"",INDEX('Mock Database'!$Z$3:$Z$152,MATCH($A6,'Mock Database'!$C$3:$C$152,0))))</f>
        <v>54.89</v>
      </c>
      <c r="J6" s="89">
        <f ca="1">IF(ISNA(MATCH($A6,'Mock Database'!$C$3:$C$152,0)),"",IF(ISBLANK(OFFSET('Mock Database'!$AE$2,MATCH($A6,'Mock Database'!$C$3:$C$152,0),0)),"",INDEX('Mock Database'!$AE$3:$AE$152,MATCH($A6,'Mock Database'!$C$3:$C$152,0))))</f>
        <v>88</v>
      </c>
      <c r="K6" s="22">
        <f ca="1">IF(ISNA(MATCH($A6,'Mock Database'!$C$3:$C$152,0)),"",IF(ISBLANK(OFFSET('Mock Database'!$AF$2,MATCH($A6,'Mock Database'!$C$3:$C$152,0),0)),"",INDEX('Mock Database'!$AF$3:$AF$152,MATCH($A6,'Mock Database'!$C$3:$C$152,0))))</f>
        <v>94.82</v>
      </c>
      <c r="N6" t="str">
        <f t="shared" si="0"/>
        <v>SimCAT 4</v>
      </c>
      <c r="O6" s="89">
        <f t="shared" ca="1" si="1"/>
        <v>49</v>
      </c>
      <c r="P6" s="22">
        <f t="shared" ca="1" si="2"/>
        <v>98.79</v>
      </c>
      <c r="Q6" s="89">
        <f t="shared" ca="1" si="3"/>
        <v>29</v>
      </c>
      <c r="R6" s="22">
        <f t="shared" ca="1" si="4"/>
        <v>91.89</v>
      </c>
      <c r="S6" s="89">
        <f t="shared" ca="1" si="5"/>
        <v>10</v>
      </c>
      <c r="T6" s="22">
        <f t="shared" ca="1" si="6"/>
        <v>54.89</v>
      </c>
      <c r="U6" s="89">
        <f t="shared" ca="1" si="7"/>
        <v>88</v>
      </c>
      <c r="V6" s="22">
        <f t="shared" ca="1" si="8"/>
        <v>94.82</v>
      </c>
      <c r="Z6" t="str">
        <v>SimCAT 4</v>
      </c>
      <c r="AA6">
        <f ca="1"/>
        <v>49</v>
      </c>
      <c r="AB6">
        <f ca="1"/>
        <v>98.79</v>
      </c>
      <c r="AC6">
        <f ca="1"/>
        <v>29</v>
      </c>
      <c r="AD6">
        <f ca="1"/>
        <v>91.89</v>
      </c>
      <c r="AE6">
        <f ca="1"/>
        <v>10</v>
      </c>
      <c r="AF6">
        <f ca="1"/>
        <v>54.89</v>
      </c>
      <c r="AG6">
        <f ca="1"/>
        <v>88</v>
      </c>
      <c r="AH6">
        <f ca="1"/>
        <v>94.82</v>
      </c>
      <c r="AM6">
        <f t="shared" si="9"/>
        <v>5</v>
      </c>
      <c r="AN6">
        <f t="shared" ca="1" si="10"/>
        <v>88</v>
      </c>
    </row>
    <row r="7" spans="1:40" ht="15" customHeight="1" x14ac:dyDescent="0.3">
      <c r="A7" s="87">
        <v>6</v>
      </c>
      <c r="B7" t="str">
        <f>IFERROR(INDEX('Mock Database'!$D$3:$D$152,MATCH($A7,'Mock Database'!$C$3:$C$152,0)),"")</f>
        <v>Take Home 2</v>
      </c>
      <c r="C7" s="88">
        <f>IFERROR(INDEX('Mock Database'!$I$3:$I$152,MATCH($A7,'Mock Database'!$C$3:$C$152,0)),"")</f>
        <v>46191</v>
      </c>
      <c r="D7" s="89">
        <f ca="1">IF(ISNA(MATCH($A7,'Mock Database'!$C$3:$C$152,0)),"",IF(ISBLANK(OFFSET('Mock Database'!$M$2,MATCH($A7,'Mock Database'!$C$3:$C$152,0),0)),"",INDEX('Mock Database'!$M$3:$M$152,MATCH($A7,'Mock Database'!$C$3:$C$152,0))))</f>
        <v>50</v>
      </c>
      <c r="E7" s="22">
        <f ca="1">IF(ISNA(MATCH($A7,'Mock Database'!$C$3:$C$152,0)),"",IF(ISBLANK(OFFSET('Mock Database'!$N$2,MATCH($A7,'Mock Database'!$C$3:$C$152,0),0)),"",INDEX('Mock Database'!$N$3:$N$152,MATCH($A7,'Mock Database'!$C$3:$C$152,0))))</f>
        <v>99.62</v>
      </c>
      <c r="F7" s="89">
        <f ca="1">IF(ISNA(MATCH($A7,'Mock Database'!$C$3:$C$152,0)),"",IF(ISBLANK(OFFSET('Mock Database'!$S$2,MATCH($A7,'Mock Database'!$C$3:$C$152,0),0)),"",INDEX('Mock Database'!$S$3:$S$152,MATCH($A7,'Mock Database'!$C$3:$C$152,0))))</f>
        <v>23</v>
      </c>
      <c r="G7" s="22">
        <f ca="1">IF(ISNA(MATCH($A7,'Mock Database'!$C$3:$C$152,0)),"",IF(ISBLANK(OFFSET('Mock Database'!$T$2,MATCH($A7,'Mock Database'!$C$3:$C$152,0),0)),"",INDEX('Mock Database'!$T$3:$T$152,MATCH($A7,'Mock Database'!$C$3:$C$152,0))))</f>
        <v>75.739999999999995</v>
      </c>
      <c r="H7" s="89">
        <f ca="1">IF(ISNA(MATCH($A7,'Mock Database'!$C$3:$C$152,0)),"",IF(ISBLANK(OFFSET('Mock Database'!$Y$2,MATCH($A7,'Mock Database'!$C$3:$C$152,0),0)),"",INDEX('Mock Database'!$Y$3:$Y$152,MATCH($A7,'Mock Database'!$C$3:$C$152,0))))</f>
        <v>10</v>
      </c>
      <c r="I7" s="22">
        <f ca="1">IF(ISNA(MATCH($A7,'Mock Database'!$C$3:$C$152,0)),"",IF(ISBLANK(OFFSET('Mock Database'!$Z$2,MATCH($A7,'Mock Database'!$C$3:$C$152,0),0)),"",INDEX('Mock Database'!$Z$3:$Z$152,MATCH($A7,'Mock Database'!$C$3:$C$152,0))))</f>
        <v>45.38</v>
      </c>
      <c r="J7" s="89">
        <f ca="1">IF(ISNA(MATCH($A7,'Mock Database'!$C$3:$C$152,0)),"",IF(ISBLANK(OFFSET('Mock Database'!$AE$2,MATCH($A7,'Mock Database'!$C$3:$C$152,0),0)),"",INDEX('Mock Database'!$AE$3:$AE$152,MATCH($A7,'Mock Database'!$C$3:$C$152,0))))</f>
        <v>83</v>
      </c>
      <c r="K7" s="22">
        <f ca="1">IF(ISNA(MATCH($A7,'Mock Database'!$C$3:$C$152,0)),"",IF(ISBLANK(OFFSET('Mock Database'!$AF$2,MATCH($A7,'Mock Database'!$C$3:$C$152,0),0)),"",INDEX('Mock Database'!$AF$3:$AF$152,MATCH($A7,'Mock Database'!$C$3:$C$152,0))))</f>
        <v>94.57</v>
      </c>
      <c r="N7" t="str">
        <f t="shared" si="0"/>
        <v>Take Home 2</v>
      </c>
      <c r="O7" s="89">
        <f t="shared" ca="1" si="1"/>
        <v>50</v>
      </c>
      <c r="P7" s="22">
        <f t="shared" ca="1" si="2"/>
        <v>99.62</v>
      </c>
      <c r="Q7" s="89">
        <f t="shared" ca="1" si="3"/>
        <v>23</v>
      </c>
      <c r="R7" s="22">
        <f t="shared" ca="1" si="4"/>
        <v>75.739999999999995</v>
      </c>
      <c r="S7" s="89">
        <f t="shared" ca="1" si="5"/>
        <v>10</v>
      </c>
      <c r="T7" s="22">
        <f t="shared" ca="1" si="6"/>
        <v>45.38</v>
      </c>
      <c r="U7" s="89">
        <f t="shared" ca="1" si="7"/>
        <v>83</v>
      </c>
      <c r="V7" s="22">
        <f t="shared" ca="1" si="8"/>
        <v>94.57</v>
      </c>
      <c r="Z7" t="str">
        <v>Take Home 2</v>
      </c>
      <c r="AA7">
        <f ca="1"/>
        <v>50</v>
      </c>
      <c r="AB7">
        <f ca="1"/>
        <v>99.62</v>
      </c>
      <c r="AC7">
        <f ca="1"/>
        <v>23</v>
      </c>
      <c r="AD7">
        <f ca="1"/>
        <v>75.739999999999995</v>
      </c>
      <c r="AE7">
        <f ca="1"/>
        <v>10</v>
      </c>
      <c r="AF7">
        <f ca="1"/>
        <v>45.38</v>
      </c>
      <c r="AG7">
        <f ca="1"/>
        <v>83</v>
      </c>
      <c r="AH7">
        <f ca="1"/>
        <v>94.57</v>
      </c>
      <c r="AM7">
        <f t="shared" si="9"/>
        <v>6</v>
      </c>
      <c r="AN7">
        <f t="shared" ca="1" si="10"/>
        <v>83</v>
      </c>
    </row>
    <row r="8" spans="1:40" ht="15" customHeight="1" x14ac:dyDescent="0.3">
      <c r="A8" s="87">
        <v>7</v>
      </c>
      <c r="B8" t="str">
        <f>IFERROR(INDEX('Mock Database'!$D$3:$D$152,MATCH($A8,'Mock Database'!$C$3:$C$152,0)),"")</f>
        <v>Take Home 3</v>
      </c>
      <c r="C8" s="88">
        <f>IFERROR(INDEX('Mock Database'!$I$3:$I$152,MATCH($A8,'Mock Database'!$C$3:$C$152,0)),"")</f>
        <v>46198</v>
      </c>
      <c r="D8" s="89">
        <f ca="1">IF(ISNA(MATCH($A8,'Mock Database'!$C$3:$C$152,0)),"",IF(ISBLANK(OFFSET('Mock Database'!$M$2,MATCH($A8,'Mock Database'!$C$3:$C$152,0),0)),"",INDEX('Mock Database'!$M$3:$M$152,MATCH($A8,'Mock Database'!$C$3:$C$152,0))))</f>
        <v>45</v>
      </c>
      <c r="E8" s="22">
        <f ca="1">IF(ISNA(MATCH($A8,'Mock Database'!$C$3:$C$152,0)),"",IF(ISBLANK(OFFSET('Mock Database'!$N$2,MATCH($A8,'Mock Database'!$C$3:$C$152,0),0)),"",INDEX('Mock Database'!$N$3:$N$152,MATCH($A8,'Mock Database'!$C$3:$C$152,0))))</f>
        <v>99.91</v>
      </c>
      <c r="F8" s="89">
        <f ca="1">IF(ISNA(MATCH($A8,'Mock Database'!$C$3:$C$152,0)),"",IF(ISBLANK(OFFSET('Mock Database'!$S$2,MATCH($A8,'Mock Database'!$C$3:$C$152,0),0)),"",INDEX('Mock Database'!$S$3:$S$152,MATCH($A8,'Mock Database'!$C$3:$C$152,0))))</f>
        <v>3</v>
      </c>
      <c r="G8" s="22">
        <f ca="1">IF(ISNA(MATCH($A8,'Mock Database'!$C$3:$C$152,0)),"",IF(ISBLANK(OFFSET('Mock Database'!$T$2,MATCH($A8,'Mock Database'!$C$3:$C$152,0),0)),"",INDEX('Mock Database'!$T$3:$T$152,MATCH($A8,'Mock Database'!$C$3:$C$152,0))))</f>
        <v>33.840000000000003</v>
      </c>
      <c r="H8" s="89">
        <f ca="1">IF(ISNA(MATCH($A8,'Mock Database'!$C$3:$C$152,0)),"",IF(ISBLANK(OFFSET('Mock Database'!$Y$2,MATCH($A8,'Mock Database'!$C$3:$C$152,0),0)),"",INDEX('Mock Database'!$Y$3:$Y$152,MATCH($A8,'Mock Database'!$C$3:$C$152,0))))</f>
        <v>20</v>
      </c>
      <c r="I8" s="22">
        <f ca="1">IF(ISNA(MATCH($A8,'Mock Database'!$C$3:$C$152,0)),"",IF(ISBLANK(OFFSET('Mock Database'!$Z$2,MATCH($A8,'Mock Database'!$C$3:$C$152,0),0)),"",INDEX('Mock Database'!$Z$3:$Z$152,MATCH($A8,'Mock Database'!$C$3:$C$152,0))))</f>
        <v>83.13</v>
      </c>
      <c r="J8" s="89">
        <f ca="1">IF(ISNA(MATCH($A8,'Mock Database'!$C$3:$C$152,0)),"",IF(ISBLANK(OFFSET('Mock Database'!$AE$2,MATCH($A8,'Mock Database'!$C$3:$C$152,0),0)),"",INDEX('Mock Database'!$AE$3:$AE$152,MATCH($A8,'Mock Database'!$C$3:$C$152,0))))</f>
        <v>68</v>
      </c>
      <c r="K8" s="22">
        <f ca="1">IF(ISNA(MATCH($A8,'Mock Database'!$C$3:$C$152,0)),"",IF(ISBLANK(OFFSET('Mock Database'!$AF$2,MATCH($A8,'Mock Database'!$C$3:$C$152,0),0)),"",INDEX('Mock Database'!$AF$3:$AF$152,MATCH($A8,'Mock Database'!$C$3:$C$152,0))))</f>
        <v>98.37</v>
      </c>
      <c r="N8" t="str">
        <f t="shared" si="0"/>
        <v>Take Home 3</v>
      </c>
      <c r="O8" s="89">
        <f t="shared" ca="1" si="1"/>
        <v>45</v>
      </c>
      <c r="P8" s="22">
        <f t="shared" ca="1" si="2"/>
        <v>99.91</v>
      </c>
      <c r="Q8" s="89">
        <f t="shared" ca="1" si="3"/>
        <v>3</v>
      </c>
      <c r="R8" s="22">
        <f t="shared" ca="1" si="4"/>
        <v>33.840000000000003</v>
      </c>
      <c r="S8" s="89">
        <f t="shared" ca="1" si="5"/>
        <v>20</v>
      </c>
      <c r="T8" s="22">
        <f t="shared" ca="1" si="6"/>
        <v>83.13</v>
      </c>
      <c r="U8" s="89">
        <f t="shared" ca="1" si="7"/>
        <v>68</v>
      </c>
      <c r="V8" s="22">
        <f t="shared" ca="1" si="8"/>
        <v>98.37</v>
      </c>
      <c r="Z8" t="str">
        <v>Take Home 3</v>
      </c>
      <c r="AA8">
        <f ca="1"/>
        <v>45</v>
      </c>
      <c r="AB8">
        <f ca="1"/>
        <v>99.91</v>
      </c>
      <c r="AC8">
        <f ca="1"/>
        <v>3</v>
      </c>
      <c r="AD8">
        <f ca="1"/>
        <v>33.840000000000003</v>
      </c>
      <c r="AE8">
        <f ca="1"/>
        <v>20</v>
      </c>
      <c r="AF8">
        <f ca="1"/>
        <v>83.13</v>
      </c>
      <c r="AG8">
        <f ca="1"/>
        <v>68</v>
      </c>
      <c r="AH8">
        <f ca="1"/>
        <v>98.37</v>
      </c>
      <c r="AM8">
        <f t="shared" si="9"/>
        <v>7</v>
      </c>
      <c r="AN8">
        <f t="shared" ca="1" si="10"/>
        <v>68</v>
      </c>
    </row>
    <row r="9" spans="1:40" ht="15" customHeight="1" x14ac:dyDescent="0.3">
      <c r="A9" s="87">
        <v>8</v>
      </c>
      <c r="B9" t="str">
        <f>IFERROR(INDEX('Mock Database'!$D$3:$D$152,MATCH($A9,'Mock Database'!$C$3:$C$152,0)),"")</f>
        <v>SimCAT 5</v>
      </c>
      <c r="C9" s="88">
        <f>IFERROR(INDEX('Mock Database'!$I$3:$I$152,MATCH($A9,'Mock Database'!$C$3:$C$152,0)),"")</f>
        <v>46201</v>
      </c>
      <c r="D9" s="89">
        <f ca="1">IF(ISNA(MATCH($A9,'Mock Database'!$C$3:$C$152,0)),"",IF(ISBLANK(OFFSET('Mock Database'!$M$2,MATCH($A9,'Mock Database'!$C$3:$C$152,0),0)),"",INDEX('Mock Database'!$M$3:$M$152,MATCH($A9,'Mock Database'!$C$3:$C$152,0))))</f>
        <v>40</v>
      </c>
      <c r="E9" s="22">
        <f ca="1">IF(ISNA(MATCH($A9,'Mock Database'!$C$3:$C$152,0)),"",IF(ISBLANK(OFFSET('Mock Database'!$N$2,MATCH($A9,'Mock Database'!$C$3:$C$152,0),0)),"",INDEX('Mock Database'!$N$3:$N$152,MATCH($A9,'Mock Database'!$C$3:$C$152,0))))</f>
        <v>98.12</v>
      </c>
      <c r="F9" s="89">
        <f ca="1">IF(ISNA(MATCH($A9,'Mock Database'!$C$3:$C$152,0)),"",IF(ISBLANK(OFFSET('Mock Database'!$S$2,MATCH($A9,'Mock Database'!$C$3:$C$152,0),0)),"",INDEX('Mock Database'!$S$3:$S$152,MATCH($A9,'Mock Database'!$C$3:$C$152,0))))</f>
        <v>15</v>
      </c>
      <c r="G9" s="22">
        <f ca="1">IF(ISNA(MATCH($A9,'Mock Database'!$C$3:$C$152,0)),"",IF(ISBLANK(OFFSET('Mock Database'!$T$2,MATCH($A9,'Mock Database'!$C$3:$C$152,0),0)),"",INDEX('Mock Database'!$T$3:$T$152,MATCH($A9,'Mock Database'!$C$3:$C$152,0))))</f>
        <v>76.03</v>
      </c>
      <c r="H9" s="89">
        <f ca="1">IF(ISNA(MATCH($A9,'Mock Database'!$C$3:$C$152,0)),"",IF(ISBLANK(OFFSET('Mock Database'!$Y$2,MATCH($A9,'Mock Database'!$C$3:$C$152,0),0)),"",INDEX('Mock Database'!$Y$3:$Y$152,MATCH($A9,'Mock Database'!$C$3:$C$152,0))))</f>
        <v>36</v>
      </c>
      <c r="I9" s="22">
        <f ca="1">IF(ISNA(MATCH($A9,'Mock Database'!$C$3:$C$152,0)),"",IF(ISBLANK(OFFSET('Mock Database'!$Z$2,MATCH($A9,'Mock Database'!$C$3:$C$152,0),0)),"",INDEX('Mock Database'!$Z$3:$Z$152,MATCH($A9,'Mock Database'!$C$3:$C$152,0))))</f>
        <v>96.81</v>
      </c>
      <c r="J9" s="89">
        <f ca="1">IF(ISNA(MATCH($A9,'Mock Database'!$C$3:$C$152,0)),"",IF(ISBLANK(OFFSET('Mock Database'!$AE$2,MATCH($A9,'Mock Database'!$C$3:$C$152,0),0)),"",INDEX('Mock Database'!$AE$3:$AE$152,MATCH($A9,'Mock Database'!$C$3:$C$152,0))))</f>
        <v>91</v>
      </c>
      <c r="K9" s="22">
        <f ca="1">IF(ISNA(MATCH($A9,'Mock Database'!$C$3:$C$152,0)),"",IF(ISBLANK(OFFSET('Mock Database'!$AF$2,MATCH($A9,'Mock Database'!$C$3:$C$152,0),0)),"",INDEX('Mock Database'!$AF$3:$AF$152,MATCH($A9,'Mock Database'!$C$3:$C$152,0))))</f>
        <v>97.35</v>
      </c>
      <c r="N9" t="str">
        <f t="shared" si="0"/>
        <v>SimCAT 5</v>
      </c>
      <c r="O9" s="89">
        <f t="shared" ca="1" si="1"/>
        <v>40</v>
      </c>
      <c r="P9" s="22">
        <f t="shared" ca="1" si="2"/>
        <v>98.12</v>
      </c>
      <c r="Q9" s="89">
        <f t="shared" ca="1" si="3"/>
        <v>15</v>
      </c>
      <c r="R9" s="22">
        <f t="shared" ca="1" si="4"/>
        <v>76.03</v>
      </c>
      <c r="S9" s="89">
        <f t="shared" ca="1" si="5"/>
        <v>36</v>
      </c>
      <c r="T9" s="22">
        <f t="shared" ca="1" si="6"/>
        <v>96.81</v>
      </c>
      <c r="U9" s="89">
        <f t="shared" ca="1" si="7"/>
        <v>91</v>
      </c>
      <c r="V9" s="22">
        <f t="shared" ca="1" si="8"/>
        <v>97.35</v>
      </c>
      <c r="Z9" t="str">
        <v>SimCAT 5</v>
      </c>
      <c r="AA9">
        <f ca="1"/>
        <v>40</v>
      </c>
      <c r="AB9">
        <f ca="1"/>
        <v>98.12</v>
      </c>
      <c r="AC9">
        <f ca="1"/>
        <v>15</v>
      </c>
      <c r="AD9">
        <f ca="1"/>
        <v>76.03</v>
      </c>
      <c r="AE9">
        <f ca="1"/>
        <v>36</v>
      </c>
      <c r="AF9">
        <f ca="1"/>
        <v>96.81</v>
      </c>
      <c r="AG9">
        <f ca="1"/>
        <v>91</v>
      </c>
      <c r="AH9">
        <f ca="1"/>
        <v>97.35</v>
      </c>
      <c r="AM9">
        <f t="shared" si="9"/>
        <v>8</v>
      </c>
      <c r="AN9">
        <f t="shared" ca="1" si="10"/>
        <v>91</v>
      </c>
    </row>
    <row r="10" spans="1:40" ht="15" customHeight="1" x14ac:dyDescent="0.3">
      <c r="A10" s="87">
        <v>9</v>
      </c>
      <c r="B10" t="str">
        <f>IFERROR(INDEX('Mock Database'!$D$3:$D$152,MATCH($A10,'Mock Database'!$C$3:$C$152,0)),"")</f>
        <v>CAT 2021 Slot 1</v>
      </c>
      <c r="C10" s="88">
        <f>IFERROR(INDEX('Mock Database'!$I$3:$I$152,MATCH($A10,'Mock Database'!$C$3:$C$152,0)),"")</f>
        <v>46204</v>
      </c>
      <c r="D10" s="89">
        <f ca="1">IF(ISNA(MATCH($A10,'Mock Database'!$C$3:$C$152,0)),"",IF(ISBLANK(OFFSET('Mock Database'!$M$2,MATCH($A10,'Mock Database'!$C$3:$C$152,0),0)),"",INDEX('Mock Database'!$M$3:$M$152,MATCH($A10,'Mock Database'!$C$3:$C$152,0))))</f>
        <v>31</v>
      </c>
      <c r="E10" s="22" t="str">
        <f ca="1">IF(ISNA(MATCH($A10,'Mock Database'!$C$3:$C$152,0)),"",IF(ISBLANK(OFFSET('Mock Database'!$N$2,MATCH($A10,'Mock Database'!$C$3:$C$152,0),0)),"",INDEX('Mock Database'!$N$3:$N$152,MATCH($A10,'Mock Database'!$C$3:$C$152,0))))</f>
        <v/>
      </c>
      <c r="F10" s="89">
        <f ca="1">IF(ISNA(MATCH($A10,'Mock Database'!$C$3:$C$152,0)),"",IF(ISBLANK(OFFSET('Mock Database'!$S$2,MATCH($A10,'Mock Database'!$C$3:$C$152,0),0)),"",INDEX('Mock Database'!$S$3:$S$152,MATCH($A10,'Mock Database'!$C$3:$C$152,0))))</f>
        <v>27</v>
      </c>
      <c r="G10" s="22" t="str">
        <f ca="1">IF(ISNA(MATCH($A10,'Mock Database'!$C$3:$C$152,0)),"",IF(ISBLANK(OFFSET('Mock Database'!$T$2,MATCH($A10,'Mock Database'!$C$3:$C$152,0),0)),"",INDEX('Mock Database'!$T$3:$T$152,MATCH($A10,'Mock Database'!$C$3:$C$152,0))))</f>
        <v/>
      </c>
      <c r="H10" s="89">
        <f ca="1">IF(ISNA(MATCH($A10,'Mock Database'!$C$3:$C$152,0)),"",IF(ISBLANK(OFFSET('Mock Database'!$Y$2,MATCH($A10,'Mock Database'!$C$3:$C$152,0),0)),"",INDEX('Mock Database'!$Y$3:$Y$152,MATCH($A10,'Mock Database'!$C$3:$C$152,0))))</f>
        <v>24</v>
      </c>
      <c r="I10" s="22" t="str">
        <f ca="1">IF(ISNA(MATCH($A10,'Mock Database'!$C$3:$C$152,0)),"",IF(ISBLANK(OFFSET('Mock Database'!$Z$2,MATCH($A10,'Mock Database'!$C$3:$C$152,0),0)),"",INDEX('Mock Database'!$Z$3:$Z$152,MATCH($A10,'Mock Database'!$C$3:$C$152,0))))</f>
        <v/>
      </c>
      <c r="J10" s="89">
        <f ca="1">IF(ISNA(MATCH($A10,'Mock Database'!$C$3:$C$152,0)),"",IF(ISBLANK(OFFSET('Mock Database'!$AE$2,MATCH($A10,'Mock Database'!$C$3:$C$152,0),0)),"",INDEX('Mock Database'!$AE$3:$AE$152,MATCH($A10,'Mock Database'!$C$3:$C$152,0))))</f>
        <v>82</v>
      </c>
      <c r="K10" s="22" t="str">
        <f ca="1">IF(ISNA(MATCH($A10,'Mock Database'!$C$3:$C$152,0)),"",IF(ISBLANK(OFFSET('Mock Database'!$AF$2,MATCH($A10,'Mock Database'!$C$3:$C$152,0),0)),"",INDEX('Mock Database'!$AF$3:$AF$152,MATCH($A10,'Mock Database'!$C$3:$C$152,0))))</f>
        <v/>
      </c>
      <c r="N10" t="str">
        <f t="shared" si="0"/>
        <v>CAT 2021 Slot 1</v>
      </c>
      <c r="O10" s="89">
        <f t="shared" ca="1" si="1"/>
        <v>31</v>
      </c>
      <c r="P10" s="22" t="e">
        <f t="shared" ca="1" si="2"/>
        <v>#N/A</v>
      </c>
      <c r="Q10" s="89">
        <f t="shared" ca="1" si="3"/>
        <v>27</v>
      </c>
      <c r="R10" s="22" t="e">
        <f t="shared" ca="1" si="4"/>
        <v>#N/A</v>
      </c>
      <c r="S10" s="89">
        <f t="shared" ca="1" si="5"/>
        <v>24</v>
      </c>
      <c r="T10" s="22" t="e">
        <f t="shared" ca="1" si="6"/>
        <v>#N/A</v>
      </c>
      <c r="U10" s="89">
        <f t="shared" ca="1" si="7"/>
        <v>82</v>
      </c>
      <c r="V10" s="22" t="e">
        <f t="shared" ca="1" si="8"/>
        <v>#N/A</v>
      </c>
      <c r="Z10" t="str">
        <v>CAT 2021 Slot 1</v>
      </c>
      <c r="AA10">
        <f ca="1"/>
        <v>31</v>
      </c>
      <c r="AB10" t="e">
        <f ca="1"/>
        <v>#N/A</v>
      </c>
      <c r="AC10">
        <f ca="1"/>
        <v>27</v>
      </c>
      <c r="AD10" t="e">
        <f ca="1"/>
        <v>#N/A</v>
      </c>
      <c r="AE10">
        <f ca="1"/>
        <v>24</v>
      </c>
      <c r="AF10" t="e">
        <f ca="1"/>
        <v>#N/A</v>
      </c>
      <c r="AG10">
        <f ca="1"/>
        <v>82</v>
      </c>
      <c r="AH10" t="e">
        <f ca="1"/>
        <v>#N/A</v>
      </c>
      <c r="AM10">
        <f t="shared" si="9"/>
        <v>9</v>
      </c>
      <c r="AN10">
        <f t="shared" ca="1" si="10"/>
        <v>82</v>
      </c>
    </row>
    <row r="11" spans="1:40" ht="15" customHeight="1" x14ac:dyDescent="0.3">
      <c r="A11" s="87">
        <v>10</v>
      </c>
      <c r="B11" t="str">
        <f>IFERROR(INDEX('Mock Database'!$D$3:$D$152,MATCH($A11,'Mock Database'!$C$3:$C$152,0)),"")</f>
        <v>Take Home 4</v>
      </c>
      <c r="C11" s="88">
        <f>IFERROR(INDEX('Mock Database'!$I$3:$I$152,MATCH($A11,'Mock Database'!$C$3:$C$152,0)),"")</f>
        <v>46216</v>
      </c>
      <c r="D11" s="89">
        <f ca="1">IF(ISNA(MATCH($A11,'Mock Database'!$C$3:$C$152,0)),"",IF(ISBLANK(OFFSET('Mock Database'!$M$2,MATCH($A11,'Mock Database'!$C$3:$C$152,0),0)),"",INDEX('Mock Database'!$M$3:$M$152,MATCH($A11,'Mock Database'!$C$3:$C$152,0))))</f>
        <v>20</v>
      </c>
      <c r="E11" s="22">
        <f ca="1">IF(ISNA(MATCH($A11,'Mock Database'!$C$3:$C$152,0)),"",IF(ISBLANK(OFFSET('Mock Database'!$N$2,MATCH($A11,'Mock Database'!$C$3:$C$152,0),0)),"",INDEX('Mock Database'!$N$3:$N$152,MATCH($A11,'Mock Database'!$C$3:$C$152,0))))</f>
        <v>65.510000000000005</v>
      </c>
      <c r="F11" s="89">
        <f ca="1">IF(ISNA(MATCH($A11,'Mock Database'!$C$3:$C$152,0)),"",IF(ISBLANK(OFFSET('Mock Database'!$S$2,MATCH($A11,'Mock Database'!$C$3:$C$152,0),0)),"",INDEX('Mock Database'!$S$3:$S$152,MATCH($A11,'Mock Database'!$C$3:$C$152,0))))</f>
        <v>16</v>
      </c>
      <c r="G11" s="22">
        <f ca="1">IF(ISNA(MATCH($A11,'Mock Database'!$C$3:$C$152,0)),"",IF(ISBLANK(OFFSET('Mock Database'!$T$2,MATCH($A11,'Mock Database'!$C$3:$C$152,0),0)),"",INDEX('Mock Database'!$T$3:$T$152,MATCH($A11,'Mock Database'!$C$3:$C$152,0))))</f>
        <v>83.74</v>
      </c>
      <c r="H11" s="89">
        <f ca="1">IF(ISNA(MATCH($A11,'Mock Database'!$C$3:$C$152,0)),"",IF(ISBLANK(OFFSET('Mock Database'!$Y$2,MATCH($A11,'Mock Database'!$C$3:$C$152,0),0)),"",INDEX('Mock Database'!$Y$3:$Y$152,MATCH($A11,'Mock Database'!$C$3:$C$152,0))))</f>
        <v>19</v>
      </c>
      <c r="I11" s="22">
        <f ca="1">IF(ISNA(MATCH($A11,'Mock Database'!$C$3:$C$152,0)),"",IF(ISBLANK(OFFSET('Mock Database'!$Z$2,MATCH($A11,'Mock Database'!$C$3:$C$152,0),0)),"",INDEX('Mock Database'!$Z$3:$Z$152,MATCH($A11,'Mock Database'!$C$3:$C$152,0))))</f>
        <v>69.819999999999993</v>
      </c>
      <c r="J11" s="89">
        <f ca="1">IF(ISNA(MATCH($A11,'Mock Database'!$C$3:$C$152,0)),"",IF(ISBLANK(OFFSET('Mock Database'!$AE$2,MATCH($A11,'Mock Database'!$C$3:$C$152,0),0)),"",INDEX('Mock Database'!$AE$3:$AE$152,MATCH($A11,'Mock Database'!$C$3:$C$152,0))))</f>
        <v>55</v>
      </c>
      <c r="K11" s="22">
        <f ca="1">IF(ISNA(MATCH($A11,'Mock Database'!$C$3:$C$152,0)),"",IF(ISBLANK(OFFSET('Mock Database'!$AF$2,MATCH($A11,'Mock Database'!$C$3:$C$152,0),0)),"",INDEX('Mock Database'!$AF$3:$AF$152,MATCH($A11,'Mock Database'!$C$3:$C$152,0))))</f>
        <v>79.22</v>
      </c>
      <c r="N11" t="str">
        <f t="shared" si="0"/>
        <v>Take Home 4</v>
      </c>
      <c r="O11" s="89">
        <f t="shared" ca="1" si="1"/>
        <v>20</v>
      </c>
      <c r="P11" s="22">
        <f t="shared" ca="1" si="2"/>
        <v>65.510000000000005</v>
      </c>
      <c r="Q11" s="89">
        <f t="shared" ca="1" si="3"/>
        <v>16</v>
      </c>
      <c r="R11" s="22">
        <f t="shared" ca="1" si="4"/>
        <v>83.74</v>
      </c>
      <c r="S11" s="89">
        <f t="shared" ca="1" si="5"/>
        <v>19</v>
      </c>
      <c r="T11" s="22">
        <f t="shared" ca="1" si="6"/>
        <v>69.819999999999993</v>
      </c>
      <c r="U11" s="89">
        <f t="shared" ca="1" si="7"/>
        <v>55</v>
      </c>
      <c r="V11" s="22">
        <f t="shared" ca="1" si="8"/>
        <v>79.22</v>
      </c>
      <c r="Z11" t="str">
        <v>Take Home 4</v>
      </c>
      <c r="AA11">
        <f ca="1"/>
        <v>20</v>
      </c>
      <c r="AB11">
        <f ca="1"/>
        <v>65.510000000000005</v>
      </c>
      <c r="AC11">
        <f ca="1"/>
        <v>16</v>
      </c>
      <c r="AD11">
        <f ca="1"/>
        <v>83.74</v>
      </c>
      <c r="AE11">
        <f ca="1"/>
        <v>19</v>
      </c>
      <c r="AF11">
        <f ca="1"/>
        <v>69.819999999999993</v>
      </c>
      <c r="AG11">
        <f ca="1"/>
        <v>55</v>
      </c>
      <c r="AH11">
        <f ca="1"/>
        <v>79.22</v>
      </c>
      <c r="AM11">
        <f t="shared" si="9"/>
        <v>10</v>
      </c>
      <c r="AN11">
        <f t="shared" ca="1" si="10"/>
        <v>55</v>
      </c>
    </row>
    <row r="12" spans="1:40" ht="15" customHeight="1" x14ac:dyDescent="0.3">
      <c r="A12" s="87">
        <v>11</v>
      </c>
      <c r="B12" t="str">
        <f>IFERROR(INDEX('Mock Database'!$D$3:$D$152,MATCH($A12,'Mock Database'!$C$3:$C$152,0)),"")</f>
        <v/>
      </c>
      <c r="C12" s="88" t="str">
        <f>IFERROR(INDEX('Mock Database'!$I$3:$I$152,MATCH($A12,'Mock Database'!$C$3:$C$152,0)),"")</f>
        <v/>
      </c>
      <c r="D12" s="89" t="str">
        <f ca="1">IF(ISNA(MATCH($A12,'Mock Database'!$C$3:$C$152,0)),"",IF(ISBLANK(OFFSET('Mock Database'!$M$2,MATCH($A12,'Mock Database'!$C$3:$C$152,0),0)),"",INDEX('Mock Database'!$M$3:$M$152,MATCH($A12,'Mock Database'!$C$3:$C$152,0))))</f>
        <v/>
      </c>
      <c r="E12" s="22" t="str">
        <f ca="1">IF(ISNA(MATCH($A12,'Mock Database'!$C$3:$C$152,0)),"",IF(ISBLANK(OFFSET('Mock Database'!$N$2,MATCH($A12,'Mock Database'!$C$3:$C$152,0),0)),"",INDEX('Mock Database'!$N$3:$N$152,MATCH($A12,'Mock Database'!$C$3:$C$152,0))))</f>
        <v/>
      </c>
      <c r="F12" s="89" t="str">
        <f ca="1">IF(ISNA(MATCH($A12,'Mock Database'!$C$3:$C$152,0)),"",IF(ISBLANK(OFFSET('Mock Database'!$S$2,MATCH($A12,'Mock Database'!$C$3:$C$152,0),0)),"",INDEX('Mock Database'!$S$3:$S$152,MATCH($A12,'Mock Database'!$C$3:$C$152,0))))</f>
        <v/>
      </c>
      <c r="G12" s="22" t="str">
        <f ca="1">IF(ISNA(MATCH($A12,'Mock Database'!$C$3:$C$152,0)),"",IF(ISBLANK(OFFSET('Mock Database'!$T$2,MATCH($A12,'Mock Database'!$C$3:$C$152,0),0)),"",INDEX('Mock Database'!$T$3:$T$152,MATCH($A12,'Mock Database'!$C$3:$C$152,0))))</f>
        <v/>
      </c>
      <c r="H12" s="89" t="str">
        <f ca="1">IF(ISNA(MATCH($A12,'Mock Database'!$C$3:$C$152,0)),"",IF(ISBLANK(OFFSET('Mock Database'!$Y$2,MATCH($A12,'Mock Database'!$C$3:$C$152,0),0)),"",INDEX('Mock Database'!$Y$3:$Y$152,MATCH($A12,'Mock Database'!$C$3:$C$152,0))))</f>
        <v/>
      </c>
      <c r="I12" s="22" t="str">
        <f ca="1">IF(ISNA(MATCH($A12,'Mock Database'!$C$3:$C$152,0)),"",IF(ISBLANK(OFFSET('Mock Database'!$Z$2,MATCH($A12,'Mock Database'!$C$3:$C$152,0),0)),"",INDEX('Mock Database'!$Z$3:$Z$152,MATCH($A12,'Mock Database'!$C$3:$C$152,0))))</f>
        <v/>
      </c>
      <c r="J12" s="89" t="str">
        <f ca="1">IF(ISNA(MATCH($A12,'Mock Database'!$C$3:$C$152,0)),"",IF(ISBLANK(OFFSET('Mock Database'!$AE$2,MATCH($A12,'Mock Database'!$C$3:$C$152,0),0)),"",INDEX('Mock Database'!$AE$3:$AE$152,MATCH($A12,'Mock Database'!$C$3:$C$152,0))))</f>
        <v/>
      </c>
      <c r="K12" s="22" t="str">
        <f ca="1">IF(ISNA(MATCH($A12,'Mock Database'!$C$3:$C$152,0)),"",IF(ISBLANK(OFFSET('Mock Database'!$AF$2,MATCH($A12,'Mock Database'!$C$3:$C$152,0),0)),"",INDEX('Mock Database'!$AF$3:$AF$152,MATCH($A12,'Mock Database'!$C$3:$C$152,0))))</f>
        <v/>
      </c>
      <c r="N12" t="e">
        <f t="shared" si="0"/>
        <v>#N/A</v>
      </c>
      <c r="O12" s="89" t="e">
        <f t="shared" ca="1" si="1"/>
        <v>#N/A</v>
      </c>
      <c r="P12" s="22" t="e">
        <f t="shared" ca="1" si="2"/>
        <v>#N/A</v>
      </c>
      <c r="Q12" s="89" t="e">
        <f t="shared" ca="1" si="3"/>
        <v>#N/A</v>
      </c>
      <c r="R12" s="22" t="e">
        <f t="shared" ca="1" si="4"/>
        <v>#N/A</v>
      </c>
      <c r="S12" s="89" t="e">
        <f t="shared" ca="1" si="5"/>
        <v>#N/A</v>
      </c>
      <c r="T12" s="22" t="e">
        <f t="shared" ca="1" si="6"/>
        <v>#N/A</v>
      </c>
      <c r="U12" s="89" t="e">
        <f t="shared" ca="1" si="7"/>
        <v>#N/A</v>
      </c>
      <c r="V12" s="22" t="e">
        <f t="shared" ca="1" si="8"/>
        <v>#N/A</v>
      </c>
      <c r="AM12" t="e">
        <f t="shared" si="9"/>
        <v>#N/A</v>
      </c>
      <c r="AN12" t="e">
        <f t="shared" ca="1" si="10"/>
        <v>#N/A</v>
      </c>
    </row>
    <row r="13" spans="1:40" ht="15" customHeight="1" x14ac:dyDescent="0.3">
      <c r="A13" s="87">
        <v>12</v>
      </c>
      <c r="B13" t="str">
        <f>IFERROR(INDEX('Mock Database'!$D$3:$D$152,MATCH($A13,'Mock Database'!$C$3:$C$152,0)),"")</f>
        <v/>
      </c>
      <c r="C13" s="88" t="str">
        <f>IFERROR(INDEX('Mock Database'!$I$3:$I$152,MATCH($A13,'Mock Database'!$C$3:$C$152,0)),"")</f>
        <v/>
      </c>
      <c r="D13" s="89" t="str">
        <f ca="1">IF(ISNA(MATCH($A13,'Mock Database'!$C$3:$C$152,0)),"",IF(ISBLANK(OFFSET('Mock Database'!$M$2,MATCH($A13,'Mock Database'!$C$3:$C$152,0),0)),"",INDEX('Mock Database'!$M$3:$M$152,MATCH($A13,'Mock Database'!$C$3:$C$152,0))))</f>
        <v/>
      </c>
      <c r="E13" s="22" t="str">
        <f ca="1">IF(ISNA(MATCH($A13,'Mock Database'!$C$3:$C$152,0)),"",IF(ISBLANK(OFFSET('Mock Database'!$N$2,MATCH($A13,'Mock Database'!$C$3:$C$152,0),0)),"",INDEX('Mock Database'!$N$3:$N$152,MATCH($A13,'Mock Database'!$C$3:$C$152,0))))</f>
        <v/>
      </c>
      <c r="F13" s="89" t="str">
        <f ca="1">IF(ISNA(MATCH($A13,'Mock Database'!$C$3:$C$152,0)),"",IF(ISBLANK(OFFSET('Mock Database'!$S$2,MATCH($A13,'Mock Database'!$C$3:$C$152,0),0)),"",INDEX('Mock Database'!$S$3:$S$152,MATCH($A13,'Mock Database'!$C$3:$C$152,0))))</f>
        <v/>
      </c>
      <c r="G13" s="22" t="str">
        <f ca="1">IF(ISNA(MATCH($A13,'Mock Database'!$C$3:$C$152,0)),"",IF(ISBLANK(OFFSET('Mock Database'!$T$2,MATCH($A13,'Mock Database'!$C$3:$C$152,0),0)),"",INDEX('Mock Database'!$T$3:$T$152,MATCH($A13,'Mock Database'!$C$3:$C$152,0))))</f>
        <v/>
      </c>
      <c r="H13" s="89" t="str">
        <f ca="1">IF(ISNA(MATCH($A13,'Mock Database'!$C$3:$C$152,0)),"",IF(ISBLANK(OFFSET('Mock Database'!$Y$2,MATCH($A13,'Mock Database'!$C$3:$C$152,0),0)),"",INDEX('Mock Database'!$Y$3:$Y$152,MATCH($A13,'Mock Database'!$C$3:$C$152,0))))</f>
        <v/>
      </c>
      <c r="I13" s="22" t="str">
        <f ca="1">IF(ISNA(MATCH($A13,'Mock Database'!$C$3:$C$152,0)),"",IF(ISBLANK(OFFSET('Mock Database'!$Z$2,MATCH($A13,'Mock Database'!$C$3:$C$152,0),0)),"",INDEX('Mock Database'!$Z$3:$Z$152,MATCH($A13,'Mock Database'!$C$3:$C$152,0))))</f>
        <v/>
      </c>
      <c r="J13" s="89" t="str">
        <f ca="1">IF(ISNA(MATCH($A13,'Mock Database'!$C$3:$C$152,0)),"",IF(ISBLANK(OFFSET('Mock Database'!$AE$2,MATCH($A13,'Mock Database'!$C$3:$C$152,0),0)),"",INDEX('Mock Database'!$AE$3:$AE$152,MATCH($A13,'Mock Database'!$C$3:$C$152,0))))</f>
        <v/>
      </c>
      <c r="K13" s="22" t="str">
        <f ca="1">IF(ISNA(MATCH($A13,'Mock Database'!$C$3:$C$152,0)),"",IF(ISBLANK(OFFSET('Mock Database'!$AF$2,MATCH($A13,'Mock Database'!$C$3:$C$152,0),0)),"",INDEX('Mock Database'!$AF$3:$AF$152,MATCH($A13,'Mock Database'!$C$3:$C$152,0))))</f>
        <v/>
      </c>
      <c r="N13" t="e">
        <f t="shared" si="0"/>
        <v>#N/A</v>
      </c>
      <c r="O13" s="89" t="e">
        <f t="shared" ca="1" si="1"/>
        <v>#N/A</v>
      </c>
      <c r="P13" s="22" t="e">
        <f t="shared" ca="1" si="2"/>
        <v>#N/A</v>
      </c>
      <c r="Q13" s="89" t="e">
        <f t="shared" ca="1" si="3"/>
        <v>#N/A</v>
      </c>
      <c r="R13" s="22" t="e">
        <f t="shared" ca="1" si="4"/>
        <v>#N/A</v>
      </c>
      <c r="S13" s="89" t="e">
        <f t="shared" ca="1" si="5"/>
        <v>#N/A</v>
      </c>
      <c r="T13" s="22" t="e">
        <f t="shared" ca="1" si="6"/>
        <v>#N/A</v>
      </c>
      <c r="U13" s="89" t="e">
        <f t="shared" ca="1" si="7"/>
        <v>#N/A</v>
      </c>
      <c r="V13" s="22" t="e">
        <f t="shared" ca="1" si="8"/>
        <v>#N/A</v>
      </c>
      <c r="AM13" t="e">
        <f t="shared" si="9"/>
        <v>#N/A</v>
      </c>
      <c r="AN13" t="e">
        <f t="shared" ca="1" si="10"/>
        <v>#N/A</v>
      </c>
    </row>
    <row r="14" spans="1:40" ht="15" customHeight="1" x14ac:dyDescent="0.3">
      <c r="A14" s="87">
        <v>13</v>
      </c>
      <c r="B14" t="str">
        <f>IFERROR(INDEX('Mock Database'!$D$3:$D$152,MATCH($A14,'Mock Database'!$C$3:$C$152,0)),"")</f>
        <v/>
      </c>
      <c r="C14" s="88" t="str">
        <f>IFERROR(INDEX('Mock Database'!$I$3:$I$152,MATCH($A14,'Mock Database'!$C$3:$C$152,0)),"")</f>
        <v/>
      </c>
      <c r="D14" s="89" t="str">
        <f ca="1">IF(ISNA(MATCH($A14,'Mock Database'!$C$3:$C$152,0)),"",IF(ISBLANK(OFFSET('Mock Database'!$M$2,MATCH($A14,'Mock Database'!$C$3:$C$152,0),0)),"",INDEX('Mock Database'!$M$3:$M$152,MATCH($A14,'Mock Database'!$C$3:$C$152,0))))</f>
        <v/>
      </c>
      <c r="E14" s="22" t="str">
        <f ca="1">IF(ISNA(MATCH($A14,'Mock Database'!$C$3:$C$152,0)),"",IF(ISBLANK(OFFSET('Mock Database'!$N$2,MATCH($A14,'Mock Database'!$C$3:$C$152,0),0)),"",INDEX('Mock Database'!$N$3:$N$152,MATCH($A14,'Mock Database'!$C$3:$C$152,0))))</f>
        <v/>
      </c>
      <c r="F14" s="89" t="str">
        <f ca="1">IF(ISNA(MATCH($A14,'Mock Database'!$C$3:$C$152,0)),"",IF(ISBLANK(OFFSET('Mock Database'!$S$2,MATCH($A14,'Mock Database'!$C$3:$C$152,0),0)),"",INDEX('Mock Database'!$S$3:$S$152,MATCH($A14,'Mock Database'!$C$3:$C$152,0))))</f>
        <v/>
      </c>
      <c r="G14" s="22" t="str">
        <f ca="1">IF(ISNA(MATCH($A14,'Mock Database'!$C$3:$C$152,0)),"",IF(ISBLANK(OFFSET('Mock Database'!$T$2,MATCH($A14,'Mock Database'!$C$3:$C$152,0),0)),"",INDEX('Mock Database'!$T$3:$T$152,MATCH($A14,'Mock Database'!$C$3:$C$152,0))))</f>
        <v/>
      </c>
      <c r="H14" s="89" t="str">
        <f ca="1">IF(ISNA(MATCH($A14,'Mock Database'!$C$3:$C$152,0)),"",IF(ISBLANK(OFFSET('Mock Database'!$Y$2,MATCH($A14,'Mock Database'!$C$3:$C$152,0),0)),"",INDEX('Mock Database'!$Y$3:$Y$152,MATCH($A14,'Mock Database'!$C$3:$C$152,0))))</f>
        <v/>
      </c>
      <c r="I14" s="22" t="str">
        <f ca="1">IF(ISNA(MATCH($A14,'Mock Database'!$C$3:$C$152,0)),"",IF(ISBLANK(OFFSET('Mock Database'!$Z$2,MATCH($A14,'Mock Database'!$C$3:$C$152,0),0)),"",INDEX('Mock Database'!$Z$3:$Z$152,MATCH($A14,'Mock Database'!$C$3:$C$152,0))))</f>
        <v/>
      </c>
      <c r="J14" s="89" t="str">
        <f ca="1">IF(ISNA(MATCH($A14,'Mock Database'!$C$3:$C$152,0)),"",IF(ISBLANK(OFFSET('Mock Database'!$AE$2,MATCH($A14,'Mock Database'!$C$3:$C$152,0),0)),"",INDEX('Mock Database'!$AE$3:$AE$152,MATCH($A14,'Mock Database'!$C$3:$C$152,0))))</f>
        <v/>
      </c>
      <c r="K14" s="22" t="str">
        <f ca="1">IF(ISNA(MATCH($A14,'Mock Database'!$C$3:$C$152,0)),"",IF(ISBLANK(OFFSET('Mock Database'!$AF$2,MATCH($A14,'Mock Database'!$C$3:$C$152,0),0)),"",INDEX('Mock Database'!$AF$3:$AF$152,MATCH($A14,'Mock Database'!$C$3:$C$152,0))))</f>
        <v/>
      </c>
      <c r="N14" t="e">
        <f t="shared" si="0"/>
        <v>#N/A</v>
      </c>
      <c r="O14" s="89" t="e">
        <f t="shared" ca="1" si="1"/>
        <v>#N/A</v>
      </c>
      <c r="P14" s="22" t="e">
        <f t="shared" ca="1" si="2"/>
        <v>#N/A</v>
      </c>
      <c r="Q14" s="89" t="e">
        <f t="shared" ca="1" si="3"/>
        <v>#N/A</v>
      </c>
      <c r="R14" s="22" t="e">
        <f t="shared" ca="1" si="4"/>
        <v>#N/A</v>
      </c>
      <c r="S14" s="89" t="e">
        <f t="shared" ca="1" si="5"/>
        <v>#N/A</v>
      </c>
      <c r="T14" s="22" t="e">
        <f t="shared" ca="1" si="6"/>
        <v>#N/A</v>
      </c>
      <c r="U14" s="89" t="e">
        <f t="shared" ca="1" si="7"/>
        <v>#N/A</v>
      </c>
      <c r="V14" s="22" t="e">
        <f t="shared" ca="1" si="8"/>
        <v>#N/A</v>
      </c>
      <c r="AM14" t="e">
        <f t="shared" si="9"/>
        <v>#N/A</v>
      </c>
      <c r="AN14" t="e">
        <f t="shared" ca="1" si="10"/>
        <v>#N/A</v>
      </c>
    </row>
    <row r="15" spans="1:40" ht="15" customHeight="1" x14ac:dyDescent="0.3">
      <c r="A15" s="87">
        <v>14</v>
      </c>
      <c r="B15" t="str">
        <f>IFERROR(INDEX('Mock Database'!$D$3:$D$152,MATCH($A15,'Mock Database'!$C$3:$C$152,0)),"")</f>
        <v/>
      </c>
      <c r="C15" s="88" t="str">
        <f>IFERROR(INDEX('Mock Database'!$I$3:$I$152,MATCH($A15,'Mock Database'!$C$3:$C$152,0)),"")</f>
        <v/>
      </c>
      <c r="D15" s="89" t="str">
        <f ca="1">IF(ISNA(MATCH($A15,'Mock Database'!$C$3:$C$152,0)),"",IF(ISBLANK(OFFSET('Mock Database'!$M$2,MATCH($A15,'Mock Database'!$C$3:$C$152,0),0)),"",INDEX('Mock Database'!$M$3:$M$152,MATCH($A15,'Mock Database'!$C$3:$C$152,0))))</f>
        <v/>
      </c>
      <c r="E15" s="22" t="str">
        <f ca="1">IF(ISNA(MATCH($A15,'Mock Database'!$C$3:$C$152,0)),"",IF(ISBLANK(OFFSET('Mock Database'!$N$2,MATCH($A15,'Mock Database'!$C$3:$C$152,0),0)),"",INDEX('Mock Database'!$N$3:$N$152,MATCH($A15,'Mock Database'!$C$3:$C$152,0))))</f>
        <v/>
      </c>
      <c r="F15" s="89" t="str">
        <f ca="1">IF(ISNA(MATCH($A15,'Mock Database'!$C$3:$C$152,0)),"",IF(ISBLANK(OFFSET('Mock Database'!$S$2,MATCH($A15,'Mock Database'!$C$3:$C$152,0),0)),"",INDEX('Mock Database'!$S$3:$S$152,MATCH($A15,'Mock Database'!$C$3:$C$152,0))))</f>
        <v/>
      </c>
      <c r="G15" s="22" t="str">
        <f ca="1">IF(ISNA(MATCH($A15,'Mock Database'!$C$3:$C$152,0)),"",IF(ISBLANK(OFFSET('Mock Database'!$T$2,MATCH($A15,'Mock Database'!$C$3:$C$152,0),0)),"",INDEX('Mock Database'!$T$3:$T$152,MATCH($A15,'Mock Database'!$C$3:$C$152,0))))</f>
        <v/>
      </c>
      <c r="H15" s="89" t="str">
        <f ca="1">IF(ISNA(MATCH($A15,'Mock Database'!$C$3:$C$152,0)),"",IF(ISBLANK(OFFSET('Mock Database'!$Y$2,MATCH($A15,'Mock Database'!$C$3:$C$152,0),0)),"",INDEX('Mock Database'!$Y$3:$Y$152,MATCH($A15,'Mock Database'!$C$3:$C$152,0))))</f>
        <v/>
      </c>
      <c r="I15" s="22" t="str">
        <f ca="1">IF(ISNA(MATCH($A15,'Mock Database'!$C$3:$C$152,0)),"",IF(ISBLANK(OFFSET('Mock Database'!$Z$2,MATCH($A15,'Mock Database'!$C$3:$C$152,0),0)),"",INDEX('Mock Database'!$Z$3:$Z$152,MATCH($A15,'Mock Database'!$C$3:$C$152,0))))</f>
        <v/>
      </c>
      <c r="J15" s="89" t="str">
        <f ca="1">IF(ISNA(MATCH($A15,'Mock Database'!$C$3:$C$152,0)),"",IF(ISBLANK(OFFSET('Mock Database'!$AE$2,MATCH($A15,'Mock Database'!$C$3:$C$152,0),0)),"",INDEX('Mock Database'!$AE$3:$AE$152,MATCH($A15,'Mock Database'!$C$3:$C$152,0))))</f>
        <v/>
      </c>
      <c r="K15" s="22" t="str">
        <f ca="1">IF(ISNA(MATCH($A15,'Mock Database'!$C$3:$C$152,0)),"",IF(ISBLANK(OFFSET('Mock Database'!$AF$2,MATCH($A15,'Mock Database'!$C$3:$C$152,0),0)),"",INDEX('Mock Database'!$AF$3:$AF$152,MATCH($A15,'Mock Database'!$C$3:$C$152,0))))</f>
        <v/>
      </c>
      <c r="N15" t="e">
        <f t="shared" si="0"/>
        <v>#N/A</v>
      </c>
      <c r="O15" s="89" t="e">
        <f t="shared" ca="1" si="1"/>
        <v>#N/A</v>
      </c>
      <c r="P15" s="22" t="e">
        <f t="shared" ca="1" si="2"/>
        <v>#N/A</v>
      </c>
      <c r="Q15" s="89" t="e">
        <f t="shared" ca="1" si="3"/>
        <v>#N/A</v>
      </c>
      <c r="R15" s="22" t="e">
        <f t="shared" ca="1" si="4"/>
        <v>#N/A</v>
      </c>
      <c r="S15" s="89" t="e">
        <f t="shared" ca="1" si="5"/>
        <v>#N/A</v>
      </c>
      <c r="T15" s="22" t="e">
        <f t="shared" ca="1" si="6"/>
        <v>#N/A</v>
      </c>
      <c r="U15" s="89" t="e">
        <f t="shared" ca="1" si="7"/>
        <v>#N/A</v>
      </c>
      <c r="V15" s="22" t="e">
        <f t="shared" ca="1" si="8"/>
        <v>#N/A</v>
      </c>
      <c r="AM15" t="e">
        <f t="shared" si="9"/>
        <v>#N/A</v>
      </c>
      <c r="AN15" t="e">
        <f t="shared" ca="1" si="10"/>
        <v>#N/A</v>
      </c>
    </row>
    <row r="16" spans="1:40" ht="15" customHeight="1" x14ac:dyDescent="0.3">
      <c r="A16" s="87">
        <v>15</v>
      </c>
      <c r="B16" t="str">
        <f>IFERROR(INDEX('Mock Database'!$D$3:$D$152,MATCH($A16,'Mock Database'!$C$3:$C$152,0)),"")</f>
        <v/>
      </c>
      <c r="C16" s="88" t="str">
        <f>IFERROR(INDEX('Mock Database'!$I$3:$I$152,MATCH($A16,'Mock Database'!$C$3:$C$152,0)),"")</f>
        <v/>
      </c>
      <c r="D16" s="89" t="str">
        <f ca="1">IF(ISNA(MATCH($A16,'Mock Database'!$C$3:$C$152,0)),"",IF(ISBLANK(OFFSET('Mock Database'!$M$2,MATCH($A16,'Mock Database'!$C$3:$C$152,0),0)),"",INDEX('Mock Database'!$M$3:$M$152,MATCH($A16,'Mock Database'!$C$3:$C$152,0))))</f>
        <v/>
      </c>
      <c r="E16" s="22" t="str">
        <f ca="1">IF(ISNA(MATCH($A16,'Mock Database'!$C$3:$C$152,0)),"",IF(ISBLANK(OFFSET('Mock Database'!$N$2,MATCH($A16,'Mock Database'!$C$3:$C$152,0),0)),"",INDEX('Mock Database'!$N$3:$N$152,MATCH($A16,'Mock Database'!$C$3:$C$152,0))))</f>
        <v/>
      </c>
      <c r="F16" s="89" t="str">
        <f ca="1">IF(ISNA(MATCH($A16,'Mock Database'!$C$3:$C$152,0)),"",IF(ISBLANK(OFFSET('Mock Database'!$S$2,MATCH($A16,'Mock Database'!$C$3:$C$152,0),0)),"",INDEX('Mock Database'!$S$3:$S$152,MATCH($A16,'Mock Database'!$C$3:$C$152,0))))</f>
        <v/>
      </c>
      <c r="G16" s="22" t="str">
        <f ca="1">IF(ISNA(MATCH($A16,'Mock Database'!$C$3:$C$152,0)),"",IF(ISBLANK(OFFSET('Mock Database'!$T$2,MATCH($A16,'Mock Database'!$C$3:$C$152,0),0)),"",INDEX('Mock Database'!$T$3:$T$152,MATCH($A16,'Mock Database'!$C$3:$C$152,0))))</f>
        <v/>
      </c>
      <c r="H16" s="89" t="str">
        <f ca="1">IF(ISNA(MATCH($A16,'Mock Database'!$C$3:$C$152,0)),"",IF(ISBLANK(OFFSET('Mock Database'!$Y$2,MATCH($A16,'Mock Database'!$C$3:$C$152,0),0)),"",INDEX('Mock Database'!$Y$3:$Y$152,MATCH($A16,'Mock Database'!$C$3:$C$152,0))))</f>
        <v/>
      </c>
      <c r="I16" s="22" t="str">
        <f ca="1">IF(ISNA(MATCH($A16,'Mock Database'!$C$3:$C$152,0)),"",IF(ISBLANK(OFFSET('Mock Database'!$Z$2,MATCH($A16,'Mock Database'!$C$3:$C$152,0),0)),"",INDEX('Mock Database'!$Z$3:$Z$152,MATCH($A16,'Mock Database'!$C$3:$C$152,0))))</f>
        <v/>
      </c>
      <c r="J16" s="89" t="str">
        <f ca="1">IF(ISNA(MATCH($A16,'Mock Database'!$C$3:$C$152,0)),"",IF(ISBLANK(OFFSET('Mock Database'!$AE$2,MATCH($A16,'Mock Database'!$C$3:$C$152,0),0)),"",INDEX('Mock Database'!$AE$3:$AE$152,MATCH($A16,'Mock Database'!$C$3:$C$152,0))))</f>
        <v/>
      </c>
      <c r="K16" s="22" t="str">
        <f ca="1">IF(ISNA(MATCH($A16,'Mock Database'!$C$3:$C$152,0)),"",IF(ISBLANK(OFFSET('Mock Database'!$AF$2,MATCH($A16,'Mock Database'!$C$3:$C$152,0),0)),"",INDEX('Mock Database'!$AF$3:$AF$152,MATCH($A16,'Mock Database'!$C$3:$C$152,0))))</f>
        <v/>
      </c>
      <c r="N16" t="e">
        <f t="shared" si="0"/>
        <v>#N/A</v>
      </c>
      <c r="O16" s="89" t="e">
        <f t="shared" ca="1" si="1"/>
        <v>#N/A</v>
      </c>
      <c r="P16" s="22" t="e">
        <f t="shared" ca="1" si="2"/>
        <v>#N/A</v>
      </c>
      <c r="Q16" s="89" t="e">
        <f t="shared" ca="1" si="3"/>
        <v>#N/A</v>
      </c>
      <c r="R16" s="22" t="e">
        <f t="shared" ca="1" si="4"/>
        <v>#N/A</v>
      </c>
      <c r="S16" s="89" t="e">
        <f t="shared" ca="1" si="5"/>
        <v>#N/A</v>
      </c>
      <c r="T16" s="22" t="e">
        <f t="shared" ca="1" si="6"/>
        <v>#N/A</v>
      </c>
      <c r="U16" s="89" t="e">
        <f t="shared" ca="1" si="7"/>
        <v>#N/A</v>
      </c>
      <c r="V16" s="22" t="e">
        <f t="shared" ca="1" si="8"/>
        <v>#N/A</v>
      </c>
      <c r="AM16" t="e">
        <f t="shared" si="9"/>
        <v>#N/A</v>
      </c>
      <c r="AN16" t="e">
        <f t="shared" ca="1" si="10"/>
        <v>#N/A</v>
      </c>
    </row>
    <row r="17" spans="1:40" ht="15" customHeight="1" x14ac:dyDescent="0.3">
      <c r="A17" s="87">
        <v>16</v>
      </c>
      <c r="B17" t="str">
        <f>IFERROR(INDEX('Mock Database'!$D$3:$D$152,MATCH($A17,'Mock Database'!$C$3:$C$152,0)),"")</f>
        <v/>
      </c>
      <c r="C17" s="88" t="str">
        <f>IFERROR(INDEX('Mock Database'!$I$3:$I$152,MATCH($A17,'Mock Database'!$C$3:$C$152,0)),"")</f>
        <v/>
      </c>
      <c r="D17" s="89" t="str">
        <f ca="1">IF(ISNA(MATCH($A17,'Mock Database'!$C$3:$C$152,0)),"",IF(ISBLANK(OFFSET('Mock Database'!$M$2,MATCH($A17,'Mock Database'!$C$3:$C$152,0),0)),"",INDEX('Mock Database'!$M$3:$M$152,MATCH($A17,'Mock Database'!$C$3:$C$152,0))))</f>
        <v/>
      </c>
      <c r="E17" s="22" t="str">
        <f ca="1">IF(ISNA(MATCH($A17,'Mock Database'!$C$3:$C$152,0)),"",IF(ISBLANK(OFFSET('Mock Database'!$N$2,MATCH($A17,'Mock Database'!$C$3:$C$152,0),0)),"",INDEX('Mock Database'!$N$3:$N$152,MATCH($A17,'Mock Database'!$C$3:$C$152,0))))</f>
        <v/>
      </c>
      <c r="F17" s="89" t="str">
        <f ca="1">IF(ISNA(MATCH($A17,'Mock Database'!$C$3:$C$152,0)),"",IF(ISBLANK(OFFSET('Mock Database'!$S$2,MATCH($A17,'Mock Database'!$C$3:$C$152,0),0)),"",INDEX('Mock Database'!$S$3:$S$152,MATCH($A17,'Mock Database'!$C$3:$C$152,0))))</f>
        <v/>
      </c>
      <c r="G17" s="22" t="str">
        <f ca="1">IF(ISNA(MATCH($A17,'Mock Database'!$C$3:$C$152,0)),"",IF(ISBLANK(OFFSET('Mock Database'!$T$2,MATCH($A17,'Mock Database'!$C$3:$C$152,0),0)),"",INDEX('Mock Database'!$T$3:$T$152,MATCH($A17,'Mock Database'!$C$3:$C$152,0))))</f>
        <v/>
      </c>
      <c r="H17" s="89" t="str">
        <f ca="1">IF(ISNA(MATCH($A17,'Mock Database'!$C$3:$C$152,0)),"",IF(ISBLANK(OFFSET('Mock Database'!$Y$2,MATCH($A17,'Mock Database'!$C$3:$C$152,0),0)),"",INDEX('Mock Database'!$Y$3:$Y$152,MATCH($A17,'Mock Database'!$C$3:$C$152,0))))</f>
        <v/>
      </c>
      <c r="I17" s="22" t="str">
        <f ca="1">IF(ISNA(MATCH($A17,'Mock Database'!$C$3:$C$152,0)),"",IF(ISBLANK(OFFSET('Mock Database'!$Z$2,MATCH($A17,'Mock Database'!$C$3:$C$152,0),0)),"",INDEX('Mock Database'!$Z$3:$Z$152,MATCH($A17,'Mock Database'!$C$3:$C$152,0))))</f>
        <v/>
      </c>
      <c r="J17" s="89" t="str">
        <f ca="1">IF(ISNA(MATCH($A17,'Mock Database'!$C$3:$C$152,0)),"",IF(ISBLANK(OFFSET('Mock Database'!$AE$2,MATCH($A17,'Mock Database'!$C$3:$C$152,0),0)),"",INDEX('Mock Database'!$AE$3:$AE$152,MATCH($A17,'Mock Database'!$C$3:$C$152,0))))</f>
        <v/>
      </c>
      <c r="K17" s="22" t="str">
        <f ca="1">IF(ISNA(MATCH($A17,'Mock Database'!$C$3:$C$152,0)),"",IF(ISBLANK(OFFSET('Mock Database'!$AF$2,MATCH($A17,'Mock Database'!$C$3:$C$152,0),0)),"",INDEX('Mock Database'!$AF$3:$AF$152,MATCH($A17,'Mock Database'!$C$3:$C$152,0))))</f>
        <v/>
      </c>
      <c r="N17" t="e">
        <f t="shared" si="0"/>
        <v>#N/A</v>
      </c>
      <c r="O17" s="89" t="e">
        <f t="shared" ca="1" si="1"/>
        <v>#N/A</v>
      </c>
      <c r="P17" s="22" t="e">
        <f t="shared" ca="1" si="2"/>
        <v>#N/A</v>
      </c>
      <c r="Q17" s="89" t="e">
        <f t="shared" ca="1" si="3"/>
        <v>#N/A</v>
      </c>
      <c r="R17" s="22" t="e">
        <f t="shared" ca="1" si="4"/>
        <v>#N/A</v>
      </c>
      <c r="S17" s="89" t="e">
        <f t="shared" ca="1" si="5"/>
        <v>#N/A</v>
      </c>
      <c r="T17" s="22" t="e">
        <f t="shared" ca="1" si="6"/>
        <v>#N/A</v>
      </c>
      <c r="U17" s="89" t="e">
        <f t="shared" ca="1" si="7"/>
        <v>#N/A</v>
      </c>
      <c r="V17" s="22" t="e">
        <f t="shared" ca="1" si="8"/>
        <v>#N/A</v>
      </c>
      <c r="AM17" t="e">
        <f t="shared" si="9"/>
        <v>#N/A</v>
      </c>
      <c r="AN17" t="e">
        <f t="shared" ca="1" si="10"/>
        <v>#N/A</v>
      </c>
    </row>
    <row r="18" spans="1:40" ht="15" customHeight="1" x14ac:dyDescent="0.3">
      <c r="A18" s="87">
        <v>17</v>
      </c>
      <c r="B18" t="str">
        <f>IFERROR(INDEX('Mock Database'!$D$3:$D$152,MATCH($A18,'Mock Database'!$C$3:$C$152,0)),"")</f>
        <v/>
      </c>
      <c r="C18" s="88" t="str">
        <f>IFERROR(INDEX('Mock Database'!$I$3:$I$152,MATCH($A18,'Mock Database'!$C$3:$C$152,0)),"")</f>
        <v/>
      </c>
      <c r="D18" s="89" t="str">
        <f ca="1">IF(ISNA(MATCH($A18,'Mock Database'!$C$3:$C$152,0)),"",IF(ISBLANK(OFFSET('Mock Database'!$M$2,MATCH($A18,'Mock Database'!$C$3:$C$152,0),0)),"",INDEX('Mock Database'!$M$3:$M$152,MATCH($A18,'Mock Database'!$C$3:$C$152,0))))</f>
        <v/>
      </c>
      <c r="E18" s="22" t="str">
        <f ca="1">IF(ISNA(MATCH($A18,'Mock Database'!$C$3:$C$152,0)),"",IF(ISBLANK(OFFSET('Mock Database'!$N$2,MATCH($A18,'Mock Database'!$C$3:$C$152,0),0)),"",INDEX('Mock Database'!$N$3:$N$152,MATCH($A18,'Mock Database'!$C$3:$C$152,0))))</f>
        <v/>
      </c>
      <c r="F18" s="89" t="str">
        <f ca="1">IF(ISNA(MATCH($A18,'Mock Database'!$C$3:$C$152,0)),"",IF(ISBLANK(OFFSET('Mock Database'!$S$2,MATCH($A18,'Mock Database'!$C$3:$C$152,0),0)),"",INDEX('Mock Database'!$S$3:$S$152,MATCH($A18,'Mock Database'!$C$3:$C$152,0))))</f>
        <v/>
      </c>
      <c r="G18" s="22" t="str">
        <f ca="1">IF(ISNA(MATCH($A18,'Mock Database'!$C$3:$C$152,0)),"",IF(ISBLANK(OFFSET('Mock Database'!$T$2,MATCH($A18,'Mock Database'!$C$3:$C$152,0),0)),"",INDEX('Mock Database'!$T$3:$T$152,MATCH($A18,'Mock Database'!$C$3:$C$152,0))))</f>
        <v/>
      </c>
      <c r="H18" s="89" t="str">
        <f ca="1">IF(ISNA(MATCH($A18,'Mock Database'!$C$3:$C$152,0)),"",IF(ISBLANK(OFFSET('Mock Database'!$Y$2,MATCH($A18,'Mock Database'!$C$3:$C$152,0),0)),"",INDEX('Mock Database'!$Y$3:$Y$152,MATCH($A18,'Mock Database'!$C$3:$C$152,0))))</f>
        <v/>
      </c>
      <c r="I18" s="22" t="str">
        <f ca="1">IF(ISNA(MATCH($A18,'Mock Database'!$C$3:$C$152,0)),"",IF(ISBLANK(OFFSET('Mock Database'!$Z$2,MATCH($A18,'Mock Database'!$C$3:$C$152,0),0)),"",INDEX('Mock Database'!$Z$3:$Z$152,MATCH($A18,'Mock Database'!$C$3:$C$152,0))))</f>
        <v/>
      </c>
      <c r="J18" s="89" t="str">
        <f ca="1">IF(ISNA(MATCH($A18,'Mock Database'!$C$3:$C$152,0)),"",IF(ISBLANK(OFFSET('Mock Database'!$AE$2,MATCH($A18,'Mock Database'!$C$3:$C$152,0),0)),"",INDEX('Mock Database'!$AE$3:$AE$152,MATCH($A18,'Mock Database'!$C$3:$C$152,0))))</f>
        <v/>
      </c>
      <c r="K18" s="22" t="str">
        <f ca="1">IF(ISNA(MATCH($A18,'Mock Database'!$C$3:$C$152,0)),"",IF(ISBLANK(OFFSET('Mock Database'!$AF$2,MATCH($A18,'Mock Database'!$C$3:$C$152,0),0)),"",INDEX('Mock Database'!$AF$3:$AF$152,MATCH($A18,'Mock Database'!$C$3:$C$152,0))))</f>
        <v/>
      </c>
      <c r="N18" t="e">
        <f t="shared" si="0"/>
        <v>#N/A</v>
      </c>
      <c r="O18" s="89" t="e">
        <f t="shared" ca="1" si="1"/>
        <v>#N/A</v>
      </c>
      <c r="P18" s="22" t="e">
        <f t="shared" ca="1" si="2"/>
        <v>#N/A</v>
      </c>
      <c r="Q18" s="89" t="e">
        <f t="shared" ca="1" si="3"/>
        <v>#N/A</v>
      </c>
      <c r="R18" s="22" t="e">
        <f t="shared" ca="1" si="4"/>
        <v>#N/A</v>
      </c>
      <c r="S18" s="89" t="e">
        <f t="shared" ca="1" si="5"/>
        <v>#N/A</v>
      </c>
      <c r="T18" s="22" t="e">
        <f t="shared" ca="1" si="6"/>
        <v>#N/A</v>
      </c>
      <c r="U18" s="89" t="e">
        <f t="shared" ca="1" si="7"/>
        <v>#N/A</v>
      </c>
      <c r="V18" s="22" t="e">
        <f t="shared" ca="1" si="8"/>
        <v>#N/A</v>
      </c>
      <c r="AM18" t="e">
        <f t="shared" si="9"/>
        <v>#N/A</v>
      </c>
      <c r="AN18" t="e">
        <f t="shared" ca="1" si="10"/>
        <v>#N/A</v>
      </c>
    </row>
    <row r="19" spans="1:40" ht="15" customHeight="1" x14ac:dyDescent="0.3">
      <c r="A19" s="87">
        <v>18</v>
      </c>
      <c r="B19" t="str">
        <f>IFERROR(INDEX('Mock Database'!$D$3:$D$152,MATCH($A19,'Mock Database'!$C$3:$C$152,0)),"")</f>
        <v/>
      </c>
      <c r="C19" s="88" t="str">
        <f>IFERROR(INDEX('Mock Database'!$I$3:$I$152,MATCH($A19,'Mock Database'!$C$3:$C$152,0)),"")</f>
        <v/>
      </c>
      <c r="D19" s="89" t="str">
        <f ca="1">IF(ISNA(MATCH($A19,'Mock Database'!$C$3:$C$152,0)),"",IF(ISBLANK(OFFSET('Mock Database'!$M$2,MATCH($A19,'Mock Database'!$C$3:$C$152,0),0)),"",INDEX('Mock Database'!$M$3:$M$152,MATCH($A19,'Mock Database'!$C$3:$C$152,0))))</f>
        <v/>
      </c>
      <c r="E19" s="22" t="str">
        <f ca="1">IF(ISNA(MATCH($A19,'Mock Database'!$C$3:$C$152,0)),"",IF(ISBLANK(OFFSET('Mock Database'!$N$2,MATCH($A19,'Mock Database'!$C$3:$C$152,0),0)),"",INDEX('Mock Database'!$N$3:$N$152,MATCH($A19,'Mock Database'!$C$3:$C$152,0))))</f>
        <v/>
      </c>
      <c r="F19" s="89" t="str">
        <f ca="1">IF(ISNA(MATCH($A19,'Mock Database'!$C$3:$C$152,0)),"",IF(ISBLANK(OFFSET('Mock Database'!$S$2,MATCH($A19,'Mock Database'!$C$3:$C$152,0),0)),"",INDEX('Mock Database'!$S$3:$S$152,MATCH($A19,'Mock Database'!$C$3:$C$152,0))))</f>
        <v/>
      </c>
      <c r="G19" s="22" t="str">
        <f ca="1">IF(ISNA(MATCH($A19,'Mock Database'!$C$3:$C$152,0)),"",IF(ISBLANK(OFFSET('Mock Database'!$T$2,MATCH($A19,'Mock Database'!$C$3:$C$152,0),0)),"",INDEX('Mock Database'!$T$3:$T$152,MATCH($A19,'Mock Database'!$C$3:$C$152,0))))</f>
        <v/>
      </c>
      <c r="H19" s="89" t="str">
        <f ca="1">IF(ISNA(MATCH($A19,'Mock Database'!$C$3:$C$152,0)),"",IF(ISBLANK(OFFSET('Mock Database'!$Y$2,MATCH($A19,'Mock Database'!$C$3:$C$152,0),0)),"",INDEX('Mock Database'!$Y$3:$Y$152,MATCH($A19,'Mock Database'!$C$3:$C$152,0))))</f>
        <v/>
      </c>
      <c r="I19" s="22" t="str">
        <f ca="1">IF(ISNA(MATCH($A19,'Mock Database'!$C$3:$C$152,0)),"",IF(ISBLANK(OFFSET('Mock Database'!$Z$2,MATCH($A19,'Mock Database'!$C$3:$C$152,0),0)),"",INDEX('Mock Database'!$Z$3:$Z$152,MATCH($A19,'Mock Database'!$C$3:$C$152,0))))</f>
        <v/>
      </c>
      <c r="J19" s="89" t="str">
        <f ca="1">IF(ISNA(MATCH($A19,'Mock Database'!$C$3:$C$152,0)),"",IF(ISBLANK(OFFSET('Mock Database'!$AE$2,MATCH($A19,'Mock Database'!$C$3:$C$152,0),0)),"",INDEX('Mock Database'!$AE$3:$AE$152,MATCH($A19,'Mock Database'!$C$3:$C$152,0))))</f>
        <v/>
      </c>
      <c r="K19" s="22" t="str">
        <f ca="1">IF(ISNA(MATCH($A19,'Mock Database'!$C$3:$C$152,0)),"",IF(ISBLANK(OFFSET('Mock Database'!$AF$2,MATCH($A19,'Mock Database'!$C$3:$C$152,0),0)),"",INDEX('Mock Database'!$AF$3:$AF$152,MATCH($A19,'Mock Database'!$C$3:$C$152,0))))</f>
        <v/>
      </c>
      <c r="N19" t="e">
        <f t="shared" si="0"/>
        <v>#N/A</v>
      </c>
      <c r="O19" s="89" t="e">
        <f t="shared" ca="1" si="1"/>
        <v>#N/A</v>
      </c>
      <c r="P19" s="22" t="e">
        <f t="shared" ca="1" si="2"/>
        <v>#N/A</v>
      </c>
      <c r="Q19" s="89" t="e">
        <f t="shared" ca="1" si="3"/>
        <v>#N/A</v>
      </c>
      <c r="R19" s="22" t="e">
        <f t="shared" ca="1" si="4"/>
        <v>#N/A</v>
      </c>
      <c r="S19" s="89" t="e">
        <f t="shared" ca="1" si="5"/>
        <v>#N/A</v>
      </c>
      <c r="T19" s="22" t="e">
        <f t="shared" ca="1" si="6"/>
        <v>#N/A</v>
      </c>
      <c r="U19" s="89" t="e">
        <f t="shared" ca="1" si="7"/>
        <v>#N/A</v>
      </c>
      <c r="V19" s="22" t="e">
        <f t="shared" ca="1" si="8"/>
        <v>#N/A</v>
      </c>
      <c r="AM19" t="e">
        <f t="shared" si="9"/>
        <v>#N/A</v>
      </c>
      <c r="AN19" t="e">
        <f t="shared" ca="1" si="10"/>
        <v>#N/A</v>
      </c>
    </row>
    <row r="20" spans="1:40" ht="15" customHeight="1" x14ac:dyDescent="0.3">
      <c r="A20" s="87">
        <v>19</v>
      </c>
      <c r="B20" t="str">
        <f>IFERROR(INDEX('Mock Database'!$D$3:$D$152,MATCH($A20,'Mock Database'!$C$3:$C$152,0)),"")</f>
        <v/>
      </c>
      <c r="C20" s="88" t="str">
        <f>IFERROR(INDEX('Mock Database'!$I$3:$I$152,MATCH($A20,'Mock Database'!$C$3:$C$152,0)),"")</f>
        <v/>
      </c>
      <c r="D20" s="89" t="str">
        <f ca="1">IF(ISNA(MATCH($A20,'Mock Database'!$C$3:$C$152,0)),"",IF(ISBLANK(OFFSET('Mock Database'!$M$2,MATCH($A20,'Mock Database'!$C$3:$C$152,0),0)),"",INDEX('Mock Database'!$M$3:$M$152,MATCH($A20,'Mock Database'!$C$3:$C$152,0))))</f>
        <v/>
      </c>
      <c r="E20" s="22" t="str">
        <f ca="1">IF(ISNA(MATCH($A20,'Mock Database'!$C$3:$C$152,0)),"",IF(ISBLANK(OFFSET('Mock Database'!$N$2,MATCH($A20,'Mock Database'!$C$3:$C$152,0),0)),"",INDEX('Mock Database'!$N$3:$N$152,MATCH($A20,'Mock Database'!$C$3:$C$152,0))))</f>
        <v/>
      </c>
      <c r="F20" s="89" t="str">
        <f ca="1">IF(ISNA(MATCH($A20,'Mock Database'!$C$3:$C$152,0)),"",IF(ISBLANK(OFFSET('Mock Database'!$S$2,MATCH($A20,'Mock Database'!$C$3:$C$152,0),0)),"",INDEX('Mock Database'!$S$3:$S$152,MATCH($A20,'Mock Database'!$C$3:$C$152,0))))</f>
        <v/>
      </c>
      <c r="G20" s="22" t="str">
        <f ca="1">IF(ISNA(MATCH($A20,'Mock Database'!$C$3:$C$152,0)),"",IF(ISBLANK(OFFSET('Mock Database'!$T$2,MATCH($A20,'Mock Database'!$C$3:$C$152,0),0)),"",INDEX('Mock Database'!$T$3:$T$152,MATCH($A20,'Mock Database'!$C$3:$C$152,0))))</f>
        <v/>
      </c>
      <c r="H20" s="89" t="str">
        <f ca="1">IF(ISNA(MATCH($A20,'Mock Database'!$C$3:$C$152,0)),"",IF(ISBLANK(OFFSET('Mock Database'!$Y$2,MATCH($A20,'Mock Database'!$C$3:$C$152,0),0)),"",INDEX('Mock Database'!$Y$3:$Y$152,MATCH($A20,'Mock Database'!$C$3:$C$152,0))))</f>
        <v/>
      </c>
      <c r="I20" s="22" t="str">
        <f ca="1">IF(ISNA(MATCH($A20,'Mock Database'!$C$3:$C$152,0)),"",IF(ISBLANK(OFFSET('Mock Database'!$Z$2,MATCH($A20,'Mock Database'!$C$3:$C$152,0),0)),"",INDEX('Mock Database'!$Z$3:$Z$152,MATCH($A20,'Mock Database'!$C$3:$C$152,0))))</f>
        <v/>
      </c>
      <c r="J20" s="89" t="str">
        <f ca="1">IF(ISNA(MATCH($A20,'Mock Database'!$C$3:$C$152,0)),"",IF(ISBLANK(OFFSET('Mock Database'!$AE$2,MATCH($A20,'Mock Database'!$C$3:$C$152,0),0)),"",INDEX('Mock Database'!$AE$3:$AE$152,MATCH($A20,'Mock Database'!$C$3:$C$152,0))))</f>
        <v/>
      </c>
      <c r="K20" s="22" t="str">
        <f ca="1">IF(ISNA(MATCH($A20,'Mock Database'!$C$3:$C$152,0)),"",IF(ISBLANK(OFFSET('Mock Database'!$AF$2,MATCH($A20,'Mock Database'!$C$3:$C$152,0),0)),"",INDEX('Mock Database'!$AF$3:$AF$152,MATCH($A20,'Mock Database'!$C$3:$C$152,0))))</f>
        <v/>
      </c>
      <c r="N20" t="e">
        <f t="shared" si="0"/>
        <v>#N/A</v>
      </c>
      <c r="O20" s="89" t="e">
        <f t="shared" ca="1" si="1"/>
        <v>#N/A</v>
      </c>
      <c r="P20" s="22" t="e">
        <f t="shared" ca="1" si="2"/>
        <v>#N/A</v>
      </c>
      <c r="Q20" s="89" t="e">
        <f t="shared" ca="1" si="3"/>
        <v>#N/A</v>
      </c>
      <c r="R20" s="22" t="e">
        <f t="shared" ca="1" si="4"/>
        <v>#N/A</v>
      </c>
      <c r="S20" s="89" t="e">
        <f t="shared" ca="1" si="5"/>
        <v>#N/A</v>
      </c>
      <c r="T20" s="22" t="e">
        <f t="shared" ca="1" si="6"/>
        <v>#N/A</v>
      </c>
      <c r="U20" s="89" t="e">
        <f t="shared" ca="1" si="7"/>
        <v>#N/A</v>
      </c>
      <c r="V20" s="22" t="e">
        <f t="shared" ca="1" si="8"/>
        <v>#N/A</v>
      </c>
      <c r="AM20" t="e">
        <f t="shared" si="9"/>
        <v>#N/A</v>
      </c>
      <c r="AN20" t="e">
        <f t="shared" ca="1" si="10"/>
        <v>#N/A</v>
      </c>
    </row>
    <row r="21" spans="1:40" ht="15" customHeight="1" x14ac:dyDescent="0.3">
      <c r="A21" s="87">
        <v>20</v>
      </c>
      <c r="B21" t="str">
        <f>IFERROR(INDEX('Mock Database'!$D$3:$D$152,MATCH($A21,'Mock Database'!$C$3:$C$152,0)),"")</f>
        <v/>
      </c>
      <c r="C21" s="88" t="str">
        <f>IFERROR(INDEX('Mock Database'!$I$3:$I$152,MATCH($A21,'Mock Database'!$C$3:$C$152,0)),"")</f>
        <v/>
      </c>
      <c r="D21" s="89" t="str">
        <f ca="1">IF(ISNA(MATCH($A21,'Mock Database'!$C$3:$C$152,0)),"",IF(ISBLANK(OFFSET('Mock Database'!$M$2,MATCH($A21,'Mock Database'!$C$3:$C$152,0),0)),"",INDEX('Mock Database'!$M$3:$M$152,MATCH($A21,'Mock Database'!$C$3:$C$152,0))))</f>
        <v/>
      </c>
      <c r="E21" s="22" t="str">
        <f ca="1">IF(ISNA(MATCH($A21,'Mock Database'!$C$3:$C$152,0)),"",IF(ISBLANK(OFFSET('Mock Database'!$N$2,MATCH($A21,'Mock Database'!$C$3:$C$152,0),0)),"",INDEX('Mock Database'!$N$3:$N$152,MATCH($A21,'Mock Database'!$C$3:$C$152,0))))</f>
        <v/>
      </c>
      <c r="F21" s="89" t="str">
        <f ca="1">IF(ISNA(MATCH($A21,'Mock Database'!$C$3:$C$152,0)),"",IF(ISBLANK(OFFSET('Mock Database'!$S$2,MATCH($A21,'Mock Database'!$C$3:$C$152,0),0)),"",INDEX('Mock Database'!$S$3:$S$152,MATCH($A21,'Mock Database'!$C$3:$C$152,0))))</f>
        <v/>
      </c>
      <c r="G21" s="22" t="str">
        <f ca="1">IF(ISNA(MATCH($A21,'Mock Database'!$C$3:$C$152,0)),"",IF(ISBLANK(OFFSET('Mock Database'!$T$2,MATCH($A21,'Mock Database'!$C$3:$C$152,0),0)),"",INDEX('Mock Database'!$T$3:$T$152,MATCH($A21,'Mock Database'!$C$3:$C$152,0))))</f>
        <v/>
      </c>
      <c r="H21" s="89" t="str">
        <f ca="1">IF(ISNA(MATCH($A21,'Mock Database'!$C$3:$C$152,0)),"",IF(ISBLANK(OFFSET('Mock Database'!$Y$2,MATCH($A21,'Mock Database'!$C$3:$C$152,0),0)),"",INDEX('Mock Database'!$Y$3:$Y$152,MATCH($A21,'Mock Database'!$C$3:$C$152,0))))</f>
        <v/>
      </c>
      <c r="I21" s="22" t="str">
        <f ca="1">IF(ISNA(MATCH($A21,'Mock Database'!$C$3:$C$152,0)),"",IF(ISBLANK(OFFSET('Mock Database'!$Z$2,MATCH($A21,'Mock Database'!$C$3:$C$152,0),0)),"",INDEX('Mock Database'!$Z$3:$Z$152,MATCH($A21,'Mock Database'!$C$3:$C$152,0))))</f>
        <v/>
      </c>
      <c r="J21" s="89" t="str">
        <f ca="1">IF(ISNA(MATCH($A21,'Mock Database'!$C$3:$C$152,0)),"",IF(ISBLANK(OFFSET('Mock Database'!$AE$2,MATCH($A21,'Mock Database'!$C$3:$C$152,0),0)),"",INDEX('Mock Database'!$AE$3:$AE$152,MATCH($A21,'Mock Database'!$C$3:$C$152,0))))</f>
        <v/>
      </c>
      <c r="K21" s="22" t="str">
        <f ca="1">IF(ISNA(MATCH($A21,'Mock Database'!$C$3:$C$152,0)),"",IF(ISBLANK(OFFSET('Mock Database'!$AF$2,MATCH($A21,'Mock Database'!$C$3:$C$152,0),0)),"",INDEX('Mock Database'!$AF$3:$AF$152,MATCH($A21,'Mock Database'!$C$3:$C$152,0))))</f>
        <v/>
      </c>
      <c r="N21" t="e">
        <f t="shared" si="0"/>
        <v>#N/A</v>
      </c>
      <c r="O21" s="89" t="e">
        <f t="shared" ca="1" si="1"/>
        <v>#N/A</v>
      </c>
      <c r="P21" s="22" t="e">
        <f t="shared" ca="1" si="2"/>
        <v>#N/A</v>
      </c>
      <c r="Q21" s="89" t="e">
        <f t="shared" ca="1" si="3"/>
        <v>#N/A</v>
      </c>
      <c r="R21" s="22" t="e">
        <f t="shared" ca="1" si="4"/>
        <v>#N/A</v>
      </c>
      <c r="S21" s="89" t="e">
        <f t="shared" ca="1" si="5"/>
        <v>#N/A</v>
      </c>
      <c r="T21" s="22" t="e">
        <f t="shared" ca="1" si="6"/>
        <v>#N/A</v>
      </c>
      <c r="U21" s="89" t="e">
        <f t="shared" ca="1" si="7"/>
        <v>#N/A</v>
      </c>
      <c r="V21" s="22" t="e">
        <f t="shared" ca="1" si="8"/>
        <v>#N/A</v>
      </c>
      <c r="AM21" t="e">
        <f t="shared" si="9"/>
        <v>#N/A</v>
      </c>
      <c r="AN21" t="e">
        <f t="shared" ca="1" si="10"/>
        <v>#N/A</v>
      </c>
    </row>
    <row r="22" spans="1:40" ht="15" customHeight="1" x14ac:dyDescent="0.3">
      <c r="A22" s="87">
        <v>21</v>
      </c>
      <c r="B22" t="str">
        <f>IFERROR(INDEX('Mock Database'!$D$3:$D$152,MATCH($A22,'Mock Database'!$C$3:$C$152,0)),"")</f>
        <v/>
      </c>
      <c r="C22" s="88" t="str">
        <f>IFERROR(INDEX('Mock Database'!$I$3:$I$152,MATCH($A22,'Mock Database'!$C$3:$C$152,0)),"")</f>
        <v/>
      </c>
      <c r="D22" s="89" t="str">
        <f ca="1">IF(ISNA(MATCH($A22,'Mock Database'!$C$3:$C$152,0)),"",IF(ISBLANK(OFFSET('Mock Database'!$M$2,MATCH($A22,'Mock Database'!$C$3:$C$152,0),0)),"",INDEX('Mock Database'!$M$3:$M$152,MATCH($A22,'Mock Database'!$C$3:$C$152,0))))</f>
        <v/>
      </c>
      <c r="E22" s="22" t="str">
        <f ca="1">IF(ISNA(MATCH($A22,'Mock Database'!$C$3:$C$152,0)),"",IF(ISBLANK(OFFSET('Mock Database'!$N$2,MATCH($A22,'Mock Database'!$C$3:$C$152,0),0)),"",INDEX('Mock Database'!$N$3:$N$152,MATCH($A22,'Mock Database'!$C$3:$C$152,0))))</f>
        <v/>
      </c>
      <c r="F22" s="89" t="str">
        <f ca="1">IF(ISNA(MATCH($A22,'Mock Database'!$C$3:$C$152,0)),"",IF(ISBLANK(OFFSET('Mock Database'!$S$2,MATCH($A22,'Mock Database'!$C$3:$C$152,0),0)),"",INDEX('Mock Database'!$S$3:$S$152,MATCH($A22,'Mock Database'!$C$3:$C$152,0))))</f>
        <v/>
      </c>
      <c r="G22" s="22" t="str">
        <f ca="1">IF(ISNA(MATCH($A22,'Mock Database'!$C$3:$C$152,0)),"",IF(ISBLANK(OFFSET('Mock Database'!$T$2,MATCH($A22,'Mock Database'!$C$3:$C$152,0),0)),"",INDEX('Mock Database'!$T$3:$T$152,MATCH($A22,'Mock Database'!$C$3:$C$152,0))))</f>
        <v/>
      </c>
      <c r="H22" s="89" t="str">
        <f ca="1">IF(ISNA(MATCH($A22,'Mock Database'!$C$3:$C$152,0)),"",IF(ISBLANK(OFFSET('Mock Database'!$Y$2,MATCH($A22,'Mock Database'!$C$3:$C$152,0),0)),"",INDEX('Mock Database'!$Y$3:$Y$152,MATCH($A22,'Mock Database'!$C$3:$C$152,0))))</f>
        <v/>
      </c>
      <c r="I22" s="22" t="str">
        <f ca="1">IF(ISNA(MATCH($A22,'Mock Database'!$C$3:$C$152,0)),"",IF(ISBLANK(OFFSET('Mock Database'!$Z$2,MATCH($A22,'Mock Database'!$C$3:$C$152,0),0)),"",INDEX('Mock Database'!$Z$3:$Z$152,MATCH($A22,'Mock Database'!$C$3:$C$152,0))))</f>
        <v/>
      </c>
      <c r="J22" s="89" t="str">
        <f ca="1">IF(ISNA(MATCH($A22,'Mock Database'!$C$3:$C$152,0)),"",IF(ISBLANK(OFFSET('Mock Database'!$AE$2,MATCH($A22,'Mock Database'!$C$3:$C$152,0),0)),"",INDEX('Mock Database'!$AE$3:$AE$152,MATCH($A22,'Mock Database'!$C$3:$C$152,0))))</f>
        <v/>
      </c>
      <c r="K22" s="22" t="str">
        <f ca="1">IF(ISNA(MATCH($A22,'Mock Database'!$C$3:$C$152,0)),"",IF(ISBLANK(OFFSET('Mock Database'!$AF$2,MATCH($A22,'Mock Database'!$C$3:$C$152,0),0)),"",INDEX('Mock Database'!$AF$3:$AF$152,MATCH($A22,'Mock Database'!$C$3:$C$152,0))))</f>
        <v/>
      </c>
      <c r="N22" t="e">
        <f t="shared" si="0"/>
        <v>#N/A</v>
      </c>
      <c r="O22" s="89" t="e">
        <f t="shared" ca="1" si="1"/>
        <v>#N/A</v>
      </c>
      <c r="P22" s="22" t="e">
        <f t="shared" ca="1" si="2"/>
        <v>#N/A</v>
      </c>
      <c r="Q22" s="89" t="e">
        <f t="shared" ca="1" si="3"/>
        <v>#N/A</v>
      </c>
      <c r="R22" s="22" t="e">
        <f t="shared" ca="1" si="4"/>
        <v>#N/A</v>
      </c>
      <c r="S22" s="89" t="e">
        <f t="shared" ca="1" si="5"/>
        <v>#N/A</v>
      </c>
      <c r="T22" s="22" t="e">
        <f t="shared" ca="1" si="6"/>
        <v>#N/A</v>
      </c>
      <c r="U22" s="89" t="e">
        <f t="shared" ca="1" si="7"/>
        <v>#N/A</v>
      </c>
      <c r="V22" s="22" t="e">
        <f t="shared" ca="1" si="8"/>
        <v>#N/A</v>
      </c>
      <c r="AM22" t="e">
        <f t="shared" si="9"/>
        <v>#N/A</v>
      </c>
      <c r="AN22" t="e">
        <f t="shared" ca="1" si="10"/>
        <v>#N/A</v>
      </c>
    </row>
    <row r="23" spans="1:40" ht="15" customHeight="1" x14ac:dyDescent="0.3">
      <c r="A23" s="87">
        <v>22</v>
      </c>
      <c r="B23" t="str">
        <f>IFERROR(INDEX('Mock Database'!$D$3:$D$152,MATCH($A23,'Mock Database'!$C$3:$C$152,0)),"")</f>
        <v/>
      </c>
      <c r="C23" s="88" t="str">
        <f>IFERROR(INDEX('Mock Database'!$I$3:$I$152,MATCH($A23,'Mock Database'!$C$3:$C$152,0)),"")</f>
        <v/>
      </c>
      <c r="D23" s="89" t="str">
        <f ca="1">IF(ISNA(MATCH($A23,'Mock Database'!$C$3:$C$152,0)),"",IF(ISBLANK(OFFSET('Mock Database'!$M$2,MATCH($A23,'Mock Database'!$C$3:$C$152,0),0)),"",INDEX('Mock Database'!$M$3:$M$152,MATCH($A23,'Mock Database'!$C$3:$C$152,0))))</f>
        <v/>
      </c>
      <c r="E23" s="22" t="str">
        <f ca="1">IF(ISNA(MATCH($A23,'Mock Database'!$C$3:$C$152,0)),"",IF(ISBLANK(OFFSET('Mock Database'!$N$2,MATCH($A23,'Mock Database'!$C$3:$C$152,0),0)),"",INDEX('Mock Database'!$N$3:$N$152,MATCH($A23,'Mock Database'!$C$3:$C$152,0))))</f>
        <v/>
      </c>
      <c r="F23" s="89" t="str">
        <f ca="1">IF(ISNA(MATCH($A23,'Mock Database'!$C$3:$C$152,0)),"",IF(ISBLANK(OFFSET('Mock Database'!$S$2,MATCH($A23,'Mock Database'!$C$3:$C$152,0),0)),"",INDEX('Mock Database'!$S$3:$S$152,MATCH($A23,'Mock Database'!$C$3:$C$152,0))))</f>
        <v/>
      </c>
      <c r="G23" s="22" t="str">
        <f ca="1">IF(ISNA(MATCH($A23,'Mock Database'!$C$3:$C$152,0)),"",IF(ISBLANK(OFFSET('Mock Database'!$T$2,MATCH($A23,'Mock Database'!$C$3:$C$152,0),0)),"",INDEX('Mock Database'!$T$3:$T$152,MATCH($A23,'Mock Database'!$C$3:$C$152,0))))</f>
        <v/>
      </c>
      <c r="H23" s="89" t="str">
        <f ca="1">IF(ISNA(MATCH($A23,'Mock Database'!$C$3:$C$152,0)),"",IF(ISBLANK(OFFSET('Mock Database'!$Y$2,MATCH($A23,'Mock Database'!$C$3:$C$152,0),0)),"",INDEX('Mock Database'!$Y$3:$Y$152,MATCH($A23,'Mock Database'!$C$3:$C$152,0))))</f>
        <v/>
      </c>
      <c r="I23" s="22" t="str">
        <f ca="1">IF(ISNA(MATCH($A23,'Mock Database'!$C$3:$C$152,0)),"",IF(ISBLANK(OFFSET('Mock Database'!$Z$2,MATCH($A23,'Mock Database'!$C$3:$C$152,0),0)),"",INDEX('Mock Database'!$Z$3:$Z$152,MATCH($A23,'Mock Database'!$C$3:$C$152,0))))</f>
        <v/>
      </c>
      <c r="J23" s="89" t="str">
        <f ca="1">IF(ISNA(MATCH($A23,'Mock Database'!$C$3:$C$152,0)),"",IF(ISBLANK(OFFSET('Mock Database'!$AE$2,MATCH($A23,'Mock Database'!$C$3:$C$152,0),0)),"",INDEX('Mock Database'!$AE$3:$AE$152,MATCH($A23,'Mock Database'!$C$3:$C$152,0))))</f>
        <v/>
      </c>
      <c r="K23" s="22" t="str">
        <f ca="1">IF(ISNA(MATCH($A23,'Mock Database'!$C$3:$C$152,0)),"",IF(ISBLANK(OFFSET('Mock Database'!$AF$2,MATCH($A23,'Mock Database'!$C$3:$C$152,0),0)),"",INDEX('Mock Database'!$AF$3:$AF$152,MATCH($A23,'Mock Database'!$C$3:$C$152,0))))</f>
        <v/>
      </c>
      <c r="N23" t="e">
        <f t="shared" si="0"/>
        <v>#N/A</v>
      </c>
      <c r="O23" s="89" t="e">
        <f t="shared" ca="1" si="1"/>
        <v>#N/A</v>
      </c>
      <c r="P23" s="22" t="e">
        <f t="shared" ca="1" si="2"/>
        <v>#N/A</v>
      </c>
      <c r="Q23" s="89" t="e">
        <f t="shared" ca="1" si="3"/>
        <v>#N/A</v>
      </c>
      <c r="R23" s="22" t="e">
        <f t="shared" ca="1" si="4"/>
        <v>#N/A</v>
      </c>
      <c r="S23" s="89" t="e">
        <f t="shared" ca="1" si="5"/>
        <v>#N/A</v>
      </c>
      <c r="T23" s="22" t="e">
        <f t="shared" ca="1" si="6"/>
        <v>#N/A</v>
      </c>
      <c r="U23" s="89" t="e">
        <f t="shared" ca="1" si="7"/>
        <v>#N/A</v>
      </c>
      <c r="V23" s="22" t="e">
        <f t="shared" ca="1" si="8"/>
        <v>#N/A</v>
      </c>
      <c r="AM23" t="e">
        <f t="shared" si="9"/>
        <v>#N/A</v>
      </c>
      <c r="AN23" t="e">
        <f t="shared" ca="1" si="10"/>
        <v>#N/A</v>
      </c>
    </row>
    <row r="24" spans="1:40" ht="15" customHeight="1" x14ac:dyDescent="0.3">
      <c r="A24" s="87">
        <v>23</v>
      </c>
      <c r="B24" t="str">
        <f>IFERROR(INDEX('Mock Database'!$D$3:$D$152,MATCH($A24,'Mock Database'!$C$3:$C$152,0)),"")</f>
        <v/>
      </c>
      <c r="C24" s="88" t="str">
        <f>IFERROR(INDEX('Mock Database'!$I$3:$I$152,MATCH($A24,'Mock Database'!$C$3:$C$152,0)),"")</f>
        <v/>
      </c>
      <c r="D24" s="89" t="str">
        <f ca="1">IF(ISNA(MATCH($A24,'Mock Database'!$C$3:$C$152,0)),"",IF(ISBLANK(OFFSET('Mock Database'!$M$2,MATCH($A24,'Mock Database'!$C$3:$C$152,0),0)),"",INDEX('Mock Database'!$M$3:$M$152,MATCH($A24,'Mock Database'!$C$3:$C$152,0))))</f>
        <v/>
      </c>
      <c r="E24" s="22" t="str">
        <f ca="1">IF(ISNA(MATCH($A24,'Mock Database'!$C$3:$C$152,0)),"",IF(ISBLANK(OFFSET('Mock Database'!$N$2,MATCH($A24,'Mock Database'!$C$3:$C$152,0),0)),"",INDEX('Mock Database'!$N$3:$N$152,MATCH($A24,'Mock Database'!$C$3:$C$152,0))))</f>
        <v/>
      </c>
      <c r="F24" s="89" t="str">
        <f ca="1">IF(ISNA(MATCH($A24,'Mock Database'!$C$3:$C$152,0)),"",IF(ISBLANK(OFFSET('Mock Database'!$S$2,MATCH($A24,'Mock Database'!$C$3:$C$152,0),0)),"",INDEX('Mock Database'!$S$3:$S$152,MATCH($A24,'Mock Database'!$C$3:$C$152,0))))</f>
        <v/>
      </c>
      <c r="G24" s="22" t="str">
        <f ca="1">IF(ISNA(MATCH($A24,'Mock Database'!$C$3:$C$152,0)),"",IF(ISBLANK(OFFSET('Mock Database'!$T$2,MATCH($A24,'Mock Database'!$C$3:$C$152,0),0)),"",INDEX('Mock Database'!$T$3:$T$152,MATCH($A24,'Mock Database'!$C$3:$C$152,0))))</f>
        <v/>
      </c>
      <c r="H24" s="89" t="str">
        <f ca="1">IF(ISNA(MATCH($A24,'Mock Database'!$C$3:$C$152,0)),"",IF(ISBLANK(OFFSET('Mock Database'!$Y$2,MATCH($A24,'Mock Database'!$C$3:$C$152,0),0)),"",INDEX('Mock Database'!$Y$3:$Y$152,MATCH($A24,'Mock Database'!$C$3:$C$152,0))))</f>
        <v/>
      </c>
      <c r="I24" s="22" t="str">
        <f ca="1">IF(ISNA(MATCH($A24,'Mock Database'!$C$3:$C$152,0)),"",IF(ISBLANK(OFFSET('Mock Database'!$Z$2,MATCH($A24,'Mock Database'!$C$3:$C$152,0),0)),"",INDEX('Mock Database'!$Z$3:$Z$152,MATCH($A24,'Mock Database'!$C$3:$C$152,0))))</f>
        <v/>
      </c>
      <c r="J24" s="89" t="str">
        <f ca="1">IF(ISNA(MATCH($A24,'Mock Database'!$C$3:$C$152,0)),"",IF(ISBLANK(OFFSET('Mock Database'!$AE$2,MATCH($A24,'Mock Database'!$C$3:$C$152,0),0)),"",INDEX('Mock Database'!$AE$3:$AE$152,MATCH($A24,'Mock Database'!$C$3:$C$152,0))))</f>
        <v/>
      </c>
      <c r="K24" s="22" t="str">
        <f ca="1">IF(ISNA(MATCH($A24,'Mock Database'!$C$3:$C$152,0)),"",IF(ISBLANK(OFFSET('Mock Database'!$AF$2,MATCH($A24,'Mock Database'!$C$3:$C$152,0),0)),"",INDEX('Mock Database'!$AF$3:$AF$152,MATCH($A24,'Mock Database'!$C$3:$C$152,0))))</f>
        <v/>
      </c>
      <c r="N24" t="e">
        <f t="shared" si="0"/>
        <v>#N/A</v>
      </c>
      <c r="O24" s="89" t="e">
        <f t="shared" ca="1" si="1"/>
        <v>#N/A</v>
      </c>
      <c r="P24" s="22" t="e">
        <f t="shared" ca="1" si="2"/>
        <v>#N/A</v>
      </c>
      <c r="Q24" s="89" t="e">
        <f t="shared" ca="1" si="3"/>
        <v>#N/A</v>
      </c>
      <c r="R24" s="22" t="e">
        <f t="shared" ca="1" si="4"/>
        <v>#N/A</v>
      </c>
      <c r="S24" s="89" t="e">
        <f t="shared" ca="1" si="5"/>
        <v>#N/A</v>
      </c>
      <c r="T24" s="22" t="e">
        <f t="shared" ca="1" si="6"/>
        <v>#N/A</v>
      </c>
      <c r="U24" s="89" t="e">
        <f t="shared" ca="1" si="7"/>
        <v>#N/A</v>
      </c>
      <c r="V24" s="22" t="e">
        <f t="shared" ca="1" si="8"/>
        <v>#N/A</v>
      </c>
      <c r="AM24" t="e">
        <f t="shared" si="9"/>
        <v>#N/A</v>
      </c>
      <c r="AN24" t="e">
        <f t="shared" ca="1" si="10"/>
        <v>#N/A</v>
      </c>
    </row>
    <row r="25" spans="1:40" ht="15" customHeight="1" x14ac:dyDescent="0.3">
      <c r="A25" s="87">
        <v>24</v>
      </c>
      <c r="B25" t="str">
        <f>IFERROR(INDEX('Mock Database'!$D$3:$D$152,MATCH($A25,'Mock Database'!$C$3:$C$152,0)),"")</f>
        <v/>
      </c>
      <c r="C25" s="88" t="str">
        <f>IFERROR(INDEX('Mock Database'!$I$3:$I$152,MATCH($A25,'Mock Database'!$C$3:$C$152,0)),"")</f>
        <v/>
      </c>
      <c r="D25" s="89" t="str">
        <f ca="1">IF(ISNA(MATCH($A25,'Mock Database'!$C$3:$C$152,0)),"",IF(ISBLANK(OFFSET('Mock Database'!$M$2,MATCH($A25,'Mock Database'!$C$3:$C$152,0),0)),"",INDEX('Mock Database'!$M$3:$M$152,MATCH($A25,'Mock Database'!$C$3:$C$152,0))))</f>
        <v/>
      </c>
      <c r="E25" s="22" t="str">
        <f ca="1">IF(ISNA(MATCH($A25,'Mock Database'!$C$3:$C$152,0)),"",IF(ISBLANK(OFFSET('Mock Database'!$N$2,MATCH($A25,'Mock Database'!$C$3:$C$152,0),0)),"",INDEX('Mock Database'!$N$3:$N$152,MATCH($A25,'Mock Database'!$C$3:$C$152,0))))</f>
        <v/>
      </c>
      <c r="F25" s="89" t="str">
        <f ca="1">IF(ISNA(MATCH($A25,'Mock Database'!$C$3:$C$152,0)),"",IF(ISBLANK(OFFSET('Mock Database'!$S$2,MATCH($A25,'Mock Database'!$C$3:$C$152,0),0)),"",INDEX('Mock Database'!$S$3:$S$152,MATCH($A25,'Mock Database'!$C$3:$C$152,0))))</f>
        <v/>
      </c>
      <c r="G25" s="22" t="str">
        <f ca="1">IF(ISNA(MATCH($A25,'Mock Database'!$C$3:$C$152,0)),"",IF(ISBLANK(OFFSET('Mock Database'!$T$2,MATCH($A25,'Mock Database'!$C$3:$C$152,0),0)),"",INDEX('Mock Database'!$T$3:$T$152,MATCH($A25,'Mock Database'!$C$3:$C$152,0))))</f>
        <v/>
      </c>
      <c r="H25" s="89" t="str">
        <f ca="1">IF(ISNA(MATCH($A25,'Mock Database'!$C$3:$C$152,0)),"",IF(ISBLANK(OFFSET('Mock Database'!$Y$2,MATCH($A25,'Mock Database'!$C$3:$C$152,0),0)),"",INDEX('Mock Database'!$Y$3:$Y$152,MATCH($A25,'Mock Database'!$C$3:$C$152,0))))</f>
        <v/>
      </c>
      <c r="I25" s="22" t="str">
        <f ca="1">IF(ISNA(MATCH($A25,'Mock Database'!$C$3:$C$152,0)),"",IF(ISBLANK(OFFSET('Mock Database'!$Z$2,MATCH($A25,'Mock Database'!$C$3:$C$152,0),0)),"",INDEX('Mock Database'!$Z$3:$Z$152,MATCH($A25,'Mock Database'!$C$3:$C$152,0))))</f>
        <v/>
      </c>
      <c r="J25" s="89" t="str">
        <f ca="1">IF(ISNA(MATCH($A25,'Mock Database'!$C$3:$C$152,0)),"",IF(ISBLANK(OFFSET('Mock Database'!$AE$2,MATCH($A25,'Mock Database'!$C$3:$C$152,0),0)),"",INDEX('Mock Database'!$AE$3:$AE$152,MATCH($A25,'Mock Database'!$C$3:$C$152,0))))</f>
        <v/>
      </c>
      <c r="K25" s="22" t="str">
        <f ca="1">IF(ISNA(MATCH($A25,'Mock Database'!$C$3:$C$152,0)),"",IF(ISBLANK(OFFSET('Mock Database'!$AF$2,MATCH($A25,'Mock Database'!$C$3:$C$152,0),0)),"",INDEX('Mock Database'!$AF$3:$AF$152,MATCH($A25,'Mock Database'!$C$3:$C$152,0))))</f>
        <v/>
      </c>
      <c r="N25" t="e">
        <f t="shared" si="0"/>
        <v>#N/A</v>
      </c>
      <c r="O25" s="89" t="e">
        <f t="shared" ca="1" si="1"/>
        <v>#N/A</v>
      </c>
      <c r="P25" s="22" t="e">
        <f t="shared" ca="1" si="2"/>
        <v>#N/A</v>
      </c>
      <c r="Q25" s="89" t="e">
        <f t="shared" ca="1" si="3"/>
        <v>#N/A</v>
      </c>
      <c r="R25" s="22" t="e">
        <f t="shared" ca="1" si="4"/>
        <v>#N/A</v>
      </c>
      <c r="S25" s="89" t="e">
        <f t="shared" ca="1" si="5"/>
        <v>#N/A</v>
      </c>
      <c r="T25" s="22" t="e">
        <f t="shared" ca="1" si="6"/>
        <v>#N/A</v>
      </c>
      <c r="U25" s="89" t="e">
        <f t="shared" ca="1" si="7"/>
        <v>#N/A</v>
      </c>
      <c r="V25" s="22" t="e">
        <f t="shared" ca="1" si="8"/>
        <v>#N/A</v>
      </c>
      <c r="AM25" t="e">
        <f t="shared" si="9"/>
        <v>#N/A</v>
      </c>
      <c r="AN25" t="e">
        <f t="shared" ca="1" si="10"/>
        <v>#N/A</v>
      </c>
    </row>
    <row r="26" spans="1:40" ht="15" customHeight="1" x14ac:dyDescent="0.3">
      <c r="A26" s="87">
        <v>25</v>
      </c>
      <c r="B26" t="str">
        <f>IFERROR(INDEX('Mock Database'!$D$3:$D$152,MATCH($A26,'Mock Database'!$C$3:$C$152,0)),"")</f>
        <v/>
      </c>
      <c r="C26" s="88" t="str">
        <f>IFERROR(INDEX('Mock Database'!$I$3:$I$152,MATCH($A26,'Mock Database'!$C$3:$C$152,0)),"")</f>
        <v/>
      </c>
      <c r="D26" s="89" t="str">
        <f ca="1">IF(ISNA(MATCH($A26,'Mock Database'!$C$3:$C$152,0)),"",IF(ISBLANK(OFFSET('Mock Database'!$M$2,MATCH($A26,'Mock Database'!$C$3:$C$152,0),0)),"",INDEX('Mock Database'!$M$3:$M$152,MATCH($A26,'Mock Database'!$C$3:$C$152,0))))</f>
        <v/>
      </c>
      <c r="E26" s="22" t="str">
        <f ca="1">IF(ISNA(MATCH($A26,'Mock Database'!$C$3:$C$152,0)),"",IF(ISBLANK(OFFSET('Mock Database'!$N$2,MATCH($A26,'Mock Database'!$C$3:$C$152,0),0)),"",INDEX('Mock Database'!$N$3:$N$152,MATCH($A26,'Mock Database'!$C$3:$C$152,0))))</f>
        <v/>
      </c>
      <c r="F26" s="89" t="str">
        <f ca="1">IF(ISNA(MATCH($A26,'Mock Database'!$C$3:$C$152,0)),"",IF(ISBLANK(OFFSET('Mock Database'!$S$2,MATCH($A26,'Mock Database'!$C$3:$C$152,0),0)),"",INDEX('Mock Database'!$S$3:$S$152,MATCH($A26,'Mock Database'!$C$3:$C$152,0))))</f>
        <v/>
      </c>
      <c r="G26" s="22" t="str">
        <f ca="1">IF(ISNA(MATCH($A26,'Mock Database'!$C$3:$C$152,0)),"",IF(ISBLANK(OFFSET('Mock Database'!$T$2,MATCH($A26,'Mock Database'!$C$3:$C$152,0),0)),"",INDEX('Mock Database'!$T$3:$T$152,MATCH($A26,'Mock Database'!$C$3:$C$152,0))))</f>
        <v/>
      </c>
      <c r="H26" s="89" t="str">
        <f ca="1">IF(ISNA(MATCH($A26,'Mock Database'!$C$3:$C$152,0)),"",IF(ISBLANK(OFFSET('Mock Database'!$Y$2,MATCH($A26,'Mock Database'!$C$3:$C$152,0),0)),"",INDEX('Mock Database'!$Y$3:$Y$152,MATCH($A26,'Mock Database'!$C$3:$C$152,0))))</f>
        <v/>
      </c>
      <c r="I26" s="22" t="str">
        <f ca="1">IF(ISNA(MATCH($A26,'Mock Database'!$C$3:$C$152,0)),"",IF(ISBLANK(OFFSET('Mock Database'!$Z$2,MATCH($A26,'Mock Database'!$C$3:$C$152,0),0)),"",INDEX('Mock Database'!$Z$3:$Z$152,MATCH($A26,'Mock Database'!$C$3:$C$152,0))))</f>
        <v/>
      </c>
      <c r="J26" s="89" t="str">
        <f ca="1">IF(ISNA(MATCH($A26,'Mock Database'!$C$3:$C$152,0)),"",IF(ISBLANK(OFFSET('Mock Database'!$AE$2,MATCH($A26,'Mock Database'!$C$3:$C$152,0),0)),"",INDEX('Mock Database'!$AE$3:$AE$152,MATCH($A26,'Mock Database'!$C$3:$C$152,0))))</f>
        <v/>
      </c>
      <c r="K26" s="22" t="str">
        <f ca="1">IF(ISNA(MATCH($A26,'Mock Database'!$C$3:$C$152,0)),"",IF(ISBLANK(OFFSET('Mock Database'!$AF$2,MATCH($A26,'Mock Database'!$C$3:$C$152,0),0)),"",INDEX('Mock Database'!$AF$3:$AF$152,MATCH($A26,'Mock Database'!$C$3:$C$152,0))))</f>
        <v/>
      </c>
      <c r="N26" t="e">
        <f t="shared" si="0"/>
        <v>#N/A</v>
      </c>
      <c r="O26" s="89" t="e">
        <f t="shared" ca="1" si="1"/>
        <v>#N/A</v>
      </c>
      <c r="P26" s="22" t="e">
        <f t="shared" ca="1" si="2"/>
        <v>#N/A</v>
      </c>
      <c r="Q26" s="89" t="e">
        <f t="shared" ca="1" si="3"/>
        <v>#N/A</v>
      </c>
      <c r="R26" s="22" t="e">
        <f t="shared" ca="1" si="4"/>
        <v>#N/A</v>
      </c>
      <c r="S26" s="89" t="e">
        <f t="shared" ca="1" si="5"/>
        <v>#N/A</v>
      </c>
      <c r="T26" s="22" t="e">
        <f t="shared" ca="1" si="6"/>
        <v>#N/A</v>
      </c>
      <c r="U26" s="89" t="e">
        <f t="shared" ca="1" si="7"/>
        <v>#N/A</v>
      </c>
      <c r="V26" s="22" t="e">
        <f t="shared" ca="1" si="8"/>
        <v>#N/A</v>
      </c>
      <c r="AM26" t="e">
        <f t="shared" si="9"/>
        <v>#N/A</v>
      </c>
      <c r="AN26" t="e">
        <f t="shared" ca="1" si="10"/>
        <v>#N/A</v>
      </c>
    </row>
    <row r="27" spans="1:40" ht="15" customHeight="1" x14ac:dyDescent="0.3">
      <c r="A27" s="87">
        <v>26</v>
      </c>
      <c r="B27" t="str">
        <f>IFERROR(INDEX('Mock Database'!$D$3:$D$152,MATCH($A27,'Mock Database'!$C$3:$C$152,0)),"")</f>
        <v/>
      </c>
      <c r="C27" s="88" t="str">
        <f>IFERROR(INDEX('Mock Database'!$I$3:$I$152,MATCH($A27,'Mock Database'!$C$3:$C$152,0)),"")</f>
        <v/>
      </c>
      <c r="D27" s="89" t="str">
        <f ca="1">IF(ISNA(MATCH($A27,'Mock Database'!$C$3:$C$152,0)),"",IF(ISBLANK(OFFSET('Mock Database'!$M$2,MATCH($A27,'Mock Database'!$C$3:$C$152,0),0)),"",INDEX('Mock Database'!$M$3:$M$152,MATCH($A27,'Mock Database'!$C$3:$C$152,0))))</f>
        <v/>
      </c>
      <c r="E27" s="22" t="str">
        <f ca="1">IF(ISNA(MATCH($A27,'Mock Database'!$C$3:$C$152,0)),"",IF(ISBLANK(OFFSET('Mock Database'!$N$2,MATCH($A27,'Mock Database'!$C$3:$C$152,0),0)),"",INDEX('Mock Database'!$N$3:$N$152,MATCH($A27,'Mock Database'!$C$3:$C$152,0))))</f>
        <v/>
      </c>
      <c r="F27" s="89" t="str">
        <f ca="1">IF(ISNA(MATCH($A27,'Mock Database'!$C$3:$C$152,0)),"",IF(ISBLANK(OFFSET('Mock Database'!$S$2,MATCH($A27,'Mock Database'!$C$3:$C$152,0),0)),"",INDEX('Mock Database'!$S$3:$S$152,MATCH($A27,'Mock Database'!$C$3:$C$152,0))))</f>
        <v/>
      </c>
      <c r="G27" s="22" t="str">
        <f ca="1">IF(ISNA(MATCH($A27,'Mock Database'!$C$3:$C$152,0)),"",IF(ISBLANK(OFFSET('Mock Database'!$T$2,MATCH($A27,'Mock Database'!$C$3:$C$152,0),0)),"",INDEX('Mock Database'!$T$3:$T$152,MATCH($A27,'Mock Database'!$C$3:$C$152,0))))</f>
        <v/>
      </c>
      <c r="H27" s="89" t="str">
        <f ca="1">IF(ISNA(MATCH($A27,'Mock Database'!$C$3:$C$152,0)),"",IF(ISBLANK(OFFSET('Mock Database'!$Y$2,MATCH($A27,'Mock Database'!$C$3:$C$152,0),0)),"",INDEX('Mock Database'!$Y$3:$Y$152,MATCH($A27,'Mock Database'!$C$3:$C$152,0))))</f>
        <v/>
      </c>
      <c r="I27" s="22" t="str">
        <f ca="1">IF(ISNA(MATCH($A27,'Mock Database'!$C$3:$C$152,0)),"",IF(ISBLANK(OFFSET('Mock Database'!$Z$2,MATCH($A27,'Mock Database'!$C$3:$C$152,0),0)),"",INDEX('Mock Database'!$Z$3:$Z$152,MATCH($A27,'Mock Database'!$C$3:$C$152,0))))</f>
        <v/>
      </c>
      <c r="J27" s="89" t="str">
        <f ca="1">IF(ISNA(MATCH($A27,'Mock Database'!$C$3:$C$152,0)),"",IF(ISBLANK(OFFSET('Mock Database'!$AE$2,MATCH($A27,'Mock Database'!$C$3:$C$152,0),0)),"",INDEX('Mock Database'!$AE$3:$AE$152,MATCH($A27,'Mock Database'!$C$3:$C$152,0))))</f>
        <v/>
      </c>
      <c r="K27" s="22" t="str">
        <f ca="1">IF(ISNA(MATCH($A27,'Mock Database'!$C$3:$C$152,0)),"",IF(ISBLANK(OFFSET('Mock Database'!$AF$2,MATCH($A27,'Mock Database'!$C$3:$C$152,0),0)),"",INDEX('Mock Database'!$AF$3:$AF$152,MATCH($A27,'Mock Database'!$C$3:$C$152,0))))</f>
        <v/>
      </c>
      <c r="N27" t="e">
        <f t="shared" si="0"/>
        <v>#N/A</v>
      </c>
      <c r="O27" s="89" t="e">
        <f t="shared" ca="1" si="1"/>
        <v>#N/A</v>
      </c>
      <c r="P27" s="22" t="e">
        <f t="shared" ca="1" si="2"/>
        <v>#N/A</v>
      </c>
      <c r="Q27" s="89" t="e">
        <f t="shared" ca="1" si="3"/>
        <v>#N/A</v>
      </c>
      <c r="R27" s="22" t="e">
        <f t="shared" ca="1" si="4"/>
        <v>#N/A</v>
      </c>
      <c r="S27" s="89" t="e">
        <f t="shared" ca="1" si="5"/>
        <v>#N/A</v>
      </c>
      <c r="T27" s="22" t="e">
        <f t="shared" ca="1" si="6"/>
        <v>#N/A</v>
      </c>
      <c r="U27" s="89" t="e">
        <f t="shared" ca="1" si="7"/>
        <v>#N/A</v>
      </c>
      <c r="V27" s="22" t="e">
        <f t="shared" ca="1" si="8"/>
        <v>#N/A</v>
      </c>
      <c r="AM27" t="e">
        <f t="shared" si="9"/>
        <v>#N/A</v>
      </c>
      <c r="AN27" t="e">
        <f t="shared" ca="1" si="10"/>
        <v>#N/A</v>
      </c>
    </row>
    <row r="28" spans="1:40" ht="15" customHeight="1" x14ac:dyDescent="0.3">
      <c r="A28" s="87">
        <v>27</v>
      </c>
      <c r="B28" t="str">
        <f>IFERROR(INDEX('Mock Database'!$D$3:$D$152,MATCH($A28,'Mock Database'!$C$3:$C$152,0)),"")</f>
        <v/>
      </c>
      <c r="C28" s="88" t="str">
        <f>IFERROR(INDEX('Mock Database'!$I$3:$I$152,MATCH($A28,'Mock Database'!$C$3:$C$152,0)),"")</f>
        <v/>
      </c>
      <c r="D28" s="89" t="str">
        <f ca="1">IF(ISNA(MATCH($A28,'Mock Database'!$C$3:$C$152,0)),"",IF(ISBLANK(OFFSET('Mock Database'!$M$2,MATCH($A28,'Mock Database'!$C$3:$C$152,0),0)),"",INDEX('Mock Database'!$M$3:$M$152,MATCH($A28,'Mock Database'!$C$3:$C$152,0))))</f>
        <v/>
      </c>
      <c r="E28" s="22" t="str">
        <f ca="1">IF(ISNA(MATCH($A28,'Mock Database'!$C$3:$C$152,0)),"",IF(ISBLANK(OFFSET('Mock Database'!$N$2,MATCH($A28,'Mock Database'!$C$3:$C$152,0),0)),"",INDEX('Mock Database'!$N$3:$N$152,MATCH($A28,'Mock Database'!$C$3:$C$152,0))))</f>
        <v/>
      </c>
      <c r="F28" s="89" t="str">
        <f ca="1">IF(ISNA(MATCH($A28,'Mock Database'!$C$3:$C$152,0)),"",IF(ISBLANK(OFFSET('Mock Database'!$S$2,MATCH($A28,'Mock Database'!$C$3:$C$152,0),0)),"",INDEX('Mock Database'!$S$3:$S$152,MATCH($A28,'Mock Database'!$C$3:$C$152,0))))</f>
        <v/>
      </c>
      <c r="G28" s="22" t="str">
        <f ca="1">IF(ISNA(MATCH($A28,'Mock Database'!$C$3:$C$152,0)),"",IF(ISBLANK(OFFSET('Mock Database'!$T$2,MATCH($A28,'Mock Database'!$C$3:$C$152,0),0)),"",INDEX('Mock Database'!$T$3:$T$152,MATCH($A28,'Mock Database'!$C$3:$C$152,0))))</f>
        <v/>
      </c>
      <c r="H28" s="89" t="str">
        <f ca="1">IF(ISNA(MATCH($A28,'Mock Database'!$C$3:$C$152,0)),"",IF(ISBLANK(OFFSET('Mock Database'!$Y$2,MATCH($A28,'Mock Database'!$C$3:$C$152,0),0)),"",INDEX('Mock Database'!$Y$3:$Y$152,MATCH($A28,'Mock Database'!$C$3:$C$152,0))))</f>
        <v/>
      </c>
      <c r="I28" s="22" t="str">
        <f ca="1">IF(ISNA(MATCH($A28,'Mock Database'!$C$3:$C$152,0)),"",IF(ISBLANK(OFFSET('Mock Database'!$Z$2,MATCH($A28,'Mock Database'!$C$3:$C$152,0),0)),"",INDEX('Mock Database'!$Z$3:$Z$152,MATCH($A28,'Mock Database'!$C$3:$C$152,0))))</f>
        <v/>
      </c>
      <c r="J28" s="89" t="str">
        <f ca="1">IF(ISNA(MATCH($A28,'Mock Database'!$C$3:$C$152,0)),"",IF(ISBLANK(OFFSET('Mock Database'!$AE$2,MATCH($A28,'Mock Database'!$C$3:$C$152,0),0)),"",INDEX('Mock Database'!$AE$3:$AE$152,MATCH($A28,'Mock Database'!$C$3:$C$152,0))))</f>
        <v/>
      </c>
      <c r="K28" s="22" t="str">
        <f ca="1">IF(ISNA(MATCH($A28,'Mock Database'!$C$3:$C$152,0)),"",IF(ISBLANK(OFFSET('Mock Database'!$AF$2,MATCH($A28,'Mock Database'!$C$3:$C$152,0),0)),"",INDEX('Mock Database'!$AF$3:$AF$152,MATCH($A28,'Mock Database'!$C$3:$C$152,0))))</f>
        <v/>
      </c>
      <c r="N28" t="e">
        <f t="shared" si="0"/>
        <v>#N/A</v>
      </c>
      <c r="O28" s="89" t="e">
        <f t="shared" ca="1" si="1"/>
        <v>#N/A</v>
      </c>
      <c r="P28" s="22" t="e">
        <f t="shared" ca="1" si="2"/>
        <v>#N/A</v>
      </c>
      <c r="Q28" s="89" t="e">
        <f t="shared" ca="1" si="3"/>
        <v>#N/A</v>
      </c>
      <c r="R28" s="22" t="e">
        <f t="shared" ca="1" si="4"/>
        <v>#N/A</v>
      </c>
      <c r="S28" s="89" t="e">
        <f t="shared" ca="1" si="5"/>
        <v>#N/A</v>
      </c>
      <c r="T28" s="22" t="e">
        <f t="shared" ca="1" si="6"/>
        <v>#N/A</v>
      </c>
      <c r="U28" s="89" t="e">
        <f t="shared" ca="1" si="7"/>
        <v>#N/A</v>
      </c>
      <c r="V28" s="22" t="e">
        <f t="shared" ca="1" si="8"/>
        <v>#N/A</v>
      </c>
      <c r="AM28" t="e">
        <f t="shared" si="9"/>
        <v>#N/A</v>
      </c>
      <c r="AN28" t="e">
        <f t="shared" ca="1" si="10"/>
        <v>#N/A</v>
      </c>
    </row>
    <row r="29" spans="1:40" ht="15" customHeight="1" x14ac:dyDescent="0.3">
      <c r="A29" s="87">
        <v>28</v>
      </c>
      <c r="B29" t="str">
        <f>IFERROR(INDEX('Mock Database'!$D$3:$D$152,MATCH($A29,'Mock Database'!$C$3:$C$152,0)),"")</f>
        <v/>
      </c>
      <c r="C29" s="88" t="str">
        <f>IFERROR(INDEX('Mock Database'!$I$3:$I$152,MATCH($A29,'Mock Database'!$C$3:$C$152,0)),"")</f>
        <v/>
      </c>
      <c r="D29" s="89" t="str">
        <f ca="1">IF(ISNA(MATCH($A29,'Mock Database'!$C$3:$C$152,0)),"",IF(ISBLANK(OFFSET('Mock Database'!$M$2,MATCH($A29,'Mock Database'!$C$3:$C$152,0),0)),"",INDEX('Mock Database'!$M$3:$M$152,MATCH($A29,'Mock Database'!$C$3:$C$152,0))))</f>
        <v/>
      </c>
      <c r="E29" s="22" t="str">
        <f ca="1">IF(ISNA(MATCH($A29,'Mock Database'!$C$3:$C$152,0)),"",IF(ISBLANK(OFFSET('Mock Database'!$N$2,MATCH($A29,'Mock Database'!$C$3:$C$152,0),0)),"",INDEX('Mock Database'!$N$3:$N$152,MATCH($A29,'Mock Database'!$C$3:$C$152,0))))</f>
        <v/>
      </c>
      <c r="F29" s="89" t="str">
        <f ca="1">IF(ISNA(MATCH($A29,'Mock Database'!$C$3:$C$152,0)),"",IF(ISBLANK(OFFSET('Mock Database'!$S$2,MATCH($A29,'Mock Database'!$C$3:$C$152,0),0)),"",INDEX('Mock Database'!$S$3:$S$152,MATCH($A29,'Mock Database'!$C$3:$C$152,0))))</f>
        <v/>
      </c>
      <c r="G29" s="22" t="str">
        <f ca="1">IF(ISNA(MATCH($A29,'Mock Database'!$C$3:$C$152,0)),"",IF(ISBLANK(OFFSET('Mock Database'!$T$2,MATCH($A29,'Mock Database'!$C$3:$C$152,0),0)),"",INDEX('Mock Database'!$T$3:$T$152,MATCH($A29,'Mock Database'!$C$3:$C$152,0))))</f>
        <v/>
      </c>
      <c r="H29" s="89" t="str">
        <f ca="1">IF(ISNA(MATCH($A29,'Mock Database'!$C$3:$C$152,0)),"",IF(ISBLANK(OFFSET('Mock Database'!$Y$2,MATCH($A29,'Mock Database'!$C$3:$C$152,0),0)),"",INDEX('Mock Database'!$Y$3:$Y$152,MATCH($A29,'Mock Database'!$C$3:$C$152,0))))</f>
        <v/>
      </c>
      <c r="I29" s="22" t="str">
        <f ca="1">IF(ISNA(MATCH($A29,'Mock Database'!$C$3:$C$152,0)),"",IF(ISBLANK(OFFSET('Mock Database'!$Z$2,MATCH($A29,'Mock Database'!$C$3:$C$152,0),0)),"",INDEX('Mock Database'!$Z$3:$Z$152,MATCH($A29,'Mock Database'!$C$3:$C$152,0))))</f>
        <v/>
      </c>
      <c r="J29" s="89" t="str">
        <f ca="1">IF(ISNA(MATCH($A29,'Mock Database'!$C$3:$C$152,0)),"",IF(ISBLANK(OFFSET('Mock Database'!$AE$2,MATCH($A29,'Mock Database'!$C$3:$C$152,0),0)),"",INDEX('Mock Database'!$AE$3:$AE$152,MATCH($A29,'Mock Database'!$C$3:$C$152,0))))</f>
        <v/>
      </c>
      <c r="K29" s="22" t="str">
        <f ca="1">IF(ISNA(MATCH($A29,'Mock Database'!$C$3:$C$152,0)),"",IF(ISBLANK(OFFSET('Mock Database'!$AF$2,MATCH($A29,'Mock Database'!$C$3:$C$152,0),0)),"",INDEX('Mock Database'!$AF$3:$AF$152,MATCH($A29,'Mock Database'!$C$3:$C$152,0))))</f>
        <v/>
      </c>
      <c r="N29" t="e">
        <f t="shared" si="0"/>
        <v>#N/A</v>
      </c>
      <c r="O29" s="89" t="e">
        <f t="shared" ca="1" si="1"/>
        <v>#N/A</v>
      </c>
      <c r="P29" s="22" t="e">
        <f t="shared" ca="1" si="2"/>
        <v>#N/A</v>
      </c>
      <c r="Q29" s="89" t="e">
        <f t="shared" ca="1" si="3"/>
        <v>#N/A</v>
      </c>
      <c r="R29" s="22" t="e">
        <f t="shared" ca="1" si="4"/>
        <v>#N/A</v>
      </c>
      <c r="S29" s="89" t="e">
        <f t="shared" ca="1" si="5"/>
        <v>#N/A</v>
      </c>
      <c r="T29" s="22" t="e">
        <f t="shared" ca="1" si="6"/>
        <v>#N/A</v>
      </c>
      <c r="U29" s="89" t="e">
        <f t="shared" ca="1" si="7"/>
        <v>#N/A</v>
      </c>
      <c r="V29" s="22" t="e">
        <f t="shared" ca="1" si="8"/>
        <v>#N/A</v>
      </c>
      <c r="AM29" t="e">
        <f t="shared" si="9"/>
        <v>#N/A</v>
      </c>
      <c r="AN29" t="e">
        <f t="shared" ca="1" si="10"/>
        <v>#N/A</v>
      </c>
    </row>
    <row r="30" spans="1:40" ht="15" customHeight="1" x14ac:dyDescent="0.3">
      <c r="A30" s="87">
        <v>29</v>
      </c>
      <c r="B30" t="str">
        <f>IFERROR(INDEX('Mock Database'!$D$3:$D$152,MATCH($A30,'Mock Database'!$C$3:$C$152,0)),"")</f>
        <v/>
      </c>
      <c r="C30" s="88" t="str">
        <f>IFERROR(INDEX('Mock Database'!$I$3:$I$152,MATCH($A30,'Mock Database'!$C$3:$C$152,0)),"")</f>
        <v/>
      </c>
      <c r="D30" s="89" t="str">
        <f ca="1">IF(ISNA(MATCH($A30,'Mock Database'!$C$3:$C$152,0)),"",IF(ISBLANK(OFFSET('Mock Database'!$M$2,MATCH($A30,'Mock Database'!$C$3:$C$152,0),0)),"",INDEX('Mock Database'!$M$3:$M$152,MATCH($A30,'Mock Database'!$C$3:$C$152,0))))</f>
        <v/>
      </c>
      <c r="E30" s="22" t="str">
        <f ca="1">IF(ISNA(MATCH($A30,'Mock Database'!$C$3:$C$152,0)),"",IF(ISBLANK(OFFSET('Mock Database'!$N$2,MATCH($A30,'Mock Database'!$C$3:$C$152,0),0)),"",INDEX('Mock Database'!$N$3:$N$152,MATCH($A30,'Mock Database'!$C$3:$C$152,0))))</f>
        <v/>
      </c>
      <c r="F30" s="89" t="str">
        <f ca="1">IF(ISNA(MATCH($A30,'Mock Database'!$C$3:$C$152,0)),"",IF(ISBLANK(OFFSET('Mock Database'!$S$2,MATCH($A30,'Mock Database'!$C$3:$C$152,0),0)),"",INDEX('Mock Database'!$S$3:$S$152,MATCH($A30,'Mock Database'!$C$3:$C$152,0))))</f>
        <v/>
      </c>
      <c r="G30" s="22" t="str">
        <f ca="1">IF(ISNA(MATCH($A30,'Mock Database'!$C$3:$C$152,0)),"",IF(ISBLANK(OFFSET('Mock Database'!$T$2,MATCH($A30,'Mock Database'!$C$3:$C$152,0),0)),"",INDEX('Mock Database'!$T$3:$T$152,MATCH($A30,'Mock Database'!$C$3:$C$152,0))))</f>
        <v/>
      </c>
      <c r="H30" s="89" t="str">
        <f ca="1">IF(ISNA(MATCH($A30,'Mock Database'!$C$3:$C$152,0)),"",IF(ISBLANK(OFFSET('Mock Database'!$Y$2,MATCH($A30,'Mock Database'!$C$3:$C$152,0),0)),"",INDEX('Mock Database'!$Y$3:$Y$152,MATCH($A30,'Mock Database'!$C$3:$C$152,0))))</f>
        <v/>
      </c>
      <c r="I30" s="22" t="str">
        <f ca="1">IF(ISNA(MATCH($A30,'Mock Database'!$C$3:$C$152,0)),"",IF(ISBLANK(OFFSET('Mock Database'!$Z$2,MATCH($A30,'Mock Database'!$C$3:$C$152,0),0)),"",INDEX('Mock Database'!$Z$3:$Z$152,MATCH($A30,'Mock Database'!$C$3:$C$152,0))))</f>
        <v/>
      </c>
      <c r="J30" s="89" t="str">
        <f ca="1">IF(ISNA(MATCH($A30,'Mock Database'!$C$3:$C$152,0)),"",IF(ISBLANK(OFFSET('Mock Database'!$AE$2,MATCH($A30,'Mock Database'!$C$3:$C$152,0),0)),"",INDEX('Mock Database'!$AE$3:$AE$152,MATCH($A30,'Mock Database'!$C$3:$C$152,0))))</f>
        <v/>
      </c>
      <c r="K30" s="22" t="str">
        <f ca="1">IF(ISNA(MATCH($A30,'Mock Database'!$C$3:$C$152,0)),"",IF(ISBLANK(OFFSET('Mock Database'!$AF$2,MATCH($A30,'Mock Database'!$C$3:$C$152,0),0)),"",INDEX('Mock Database'!$AF$3:$AF$152,MATCH($A30,'Mock Database'!$C$3:$C$152,0))))</f>
        <v/>
      </c>
      <c r="N30" t="e">
        <f t="shared" si="0"/>
        <v>#N/A</v>
      </c>
      <c r="O30" s="89" t="e">
        <f t="shared" ca="1" si="1"/>
        <v>#N/A</v>
      </c>
      <c r="P30" s="22" t="e">
        <f t="shared" ca="1" si="2"/>
        <v>#N/A</v>
      </c>
      <c r="Q30" s="89" t="e">
        <f t="shared" ca="1" si="3"/>
        <v>#N/A</v>
      </c>
      <c r="R30" s="22" t="e">
        <f t="shared" ca="1" si="4"/>
        <v>#N/A</v>
      </c>
      <c r="S30" s="89" t="e">
        <f t="shared" ca="1" si="5"/>
        <v>#N/A</v>
      </c>
      <c r="T30" s="22" t="e">
        <f t="shared" ca="1" si="6"/>
        <v>#N/A</v>
      </c>
      <c r="U30" s="89" t="e">
        <f t="shared" ca="1" si="7"/>
        <v>#N/A</v>
      </c>
      <c r="V30" s="22" t="e">
        <f t="shared" ca="1" si="8"/>
        <v>#N/A</v>
      </c>
      <c r="AM30" t="e">
        <f t="shared" si="9"/>
        <v>#N/A</v>
      </c>
      <c r="AN30" t="e">
        <f t="shared" ca="1" si="10"/>
        <v>#N/A</v>
      </c>
    </row>
    <row r="31" spans="1:40" ht="15" customHeight="1" x14ac:dyDescent="0.3">
      <c r="A31" s="87">
        <v>30</v>
      </c>
      <c r="B31" t="str">
        <f>IFERROR(INDEX('Mock Database'!$D$3:$D$152,MATCH($A31,'Mock Database'!$C$3:$C$152,0)),"")</f>
        <v/>
      </c>
      <c r="C31" s="88" t="str">
        <f>IFERROR(INDEX('Mock Database'!$I$3:$I$152,MATCH($A31,'Mock Database'!$C$3:$C$152,0)),"")</f>
        <v/>
      </c>
      <c r="D31" s="89" t="str">
        <f ca="1">IF(ISNA(MATCH($A31,'Mock Database'!$C$3:$C$152,0)),"",IF(ISBLANK(OFFSET('Mock Database'!$M$2,MATCH($A31,'Mock Database'!$C$3:$C$152,0),0)),"",INDEX('Mock Database'!$M$3:$M$152,MATCH($A31,'Mock Database'!$C$3:$C$152,0))))</f>
        <v/>
      </c>
      <c r="E31" s="22" t="str">
        <f ca="1">IF(ISNA(MATCH($A31,'Mock Database'!$C$3:$C$152,0)),"",IF(ISBLANK(OFFSET('Mock Database'!$N$2,MATCH($A31,'Mock Database'!$C$3:$C$152,0),0)),"",INDEX('Mock Database'!$N$3:$N$152,MATCH($A31,'Mock Database'!$C$3:$C$152,0))))</f>
        <v/>
      </c>
      <c r="F31" s="89" t="str">
        <f ca="1">IF(ISNA(MATCH($A31,'Mock Database'!$C$3:$C$152,0)),"",IF(ISBLANK(OFFSET('Mock Database'!$S$2,MATCH($A31,'Mock Database'!$C$3:$C$152,0),0)),"",INDEX('Mock Database'!$S$3:$S$152,MATCH($A31,'Mock Database'!$C$3:$C$152,0))))</f>
        <v/>
      </c>
      <c r="G31" s="22" t="str">
        <f ca="1">IF(ISNA(MATCH($A31,'Mock Database'!$C$3:$C$152,0)),"",IF(ISBLANK(OFFSET('Mock Database'!$T$2,MATCH($A31,'Mock Database'!$C$3:$C$152,0),0)),"",INDEX('Mock Database'!$T$3:$T$152,MATCH($A31,'Mock Database'!$C$3:$C$152,0))))</f>
        <v/>
      </c>
      <c r="H31" s="89" t="str">
        <f ca="1">IF(ISNA(MATCH($A31,'Mock Database'!$C$3:$C$152,0)),"",IF(ISBLANK(OFFSET('Mock Database'!$Y$2,MATCH($A31,'Mock Database'!$C$3:$C$152,0),0)),"",INDEX('Mock Database'!$Y$3:$Y$152,MATCH($A31,'Mock Database'!$C$3:$C$152,0))))</f>
        <v/>
      </c>
      <c r="I31" s="22" t="str">
        <f ca="1">IF(ISNA(MATCH($A31,'Mock Database'!$C$3:$C$152,0)),"",IF(ISBLANK(OFFSET('Mock Database'!$Z$2,MATCH($A31,'Mock Database'!$C$3:$C$152,0),0)),"",INDEX('Mock Database'!$Z$3:$Z$152,MATCH($A31,'Mock Database'!$C$3:$C$152,0))))</f>
        <v/>
      </c>
      <c r="J31" s="89" t="str">
        <f ca="1">IF(ISNA(MATCH($A31,'Mock Database'!$C$3:$C$152,0)),"",IF(ISBLANK(OFFSET('Mock Database'!$AE$2,MATCH($A31,'Mock Database'!$C$3:$C$152,0),0)),"",INDEX('Mock Database'!$AE$3:$AE$152,MATCH($A31,'Mock Database'!$C$3:$C$152,0))))</f>
        <v/>
      </c>
      <c r="K31" s="22" t="str">
        <f ca="1">IF(ISNA(MATCH($A31,'Mock Database'!$C$3:$C$152,0)),"",IF(ISBLANK(OFFSET('Mock Database'!$AF$2,MATCH($A31,'Mock Database'!$C$3:$C$152,0),0)),"",INDEX('Mock Database'!$AF$3:$AF$152,MATCH($A31,'Mock Database'!$C$3:$C$152,0))))</f>
        <v/>
      </c>
      <c r="N31" t="e">
        <f t="shared" si="0"/>
        <v>#N/A</v>
      </c>
      <c r="O31" s="89" t="e">
        <f t="shared" ca="1" si="1"/>
        <v>#N/A</v>
      </c>
      <c r="P31" s="22" t="e">
        <f t="shared" ca="1" si="2"/>
        <v>#N/A</v>
      </c>
      <c r="Q31" s="89" t="e">
        <f t="shared" ca="1" si="3"/>
        <v>#N/A</v>
      </c>
      <c r="R31" s="22" t="e">
        <f t="shared" ca="1" si="4"/>
        <v>#N/A</v>
      </c>
      <c r="S31" s="89" t="e">
        <f t="shared" ca="1" si="5"/>
        <v>#N/A</v>
      </c>
      <c r="T31" s="22" t="e">
        <f t="shared" ca="1" si="6"/>
        <v>#N/A</v>
      </c>
      <c r="U31" s="89" t="e">
        <f t="shared" ca="1" si="7"/>
        <v>#N/A</v>
      </c>
      <c r="V31" s="22" t="e">
        <f t="shared" ca="1" si="8"/>
        <v>#N/A</v>
      </c>
      <c r="AM31" t="e">
        <f t="shared" si="9"/>
        <v>#N/A</v>
      </c>
      <c r="AN31" t="e">
        <f t="shared" ca="1" si="10"/>
        <v>#N/A</v>
      </c>
    </row>
    <row r="32" spans="1:40" ht="15" customHeight="1" x14ac:dyDescent="0.3">
      <c r="A32" s="87">
        <v>31</v>
      </c>
      <c r="B32" t="str">
        <f>IFERROR(INDEX('Mock Database'!$D$3:$D$152,MATCH($A32,'Mock Database'!$C$3:$C$152,0)),"")</f>
        <v/>
      </c>
      <c r="C32" s="88" t="str">
        <f>IFERROR(INDEX('Mock Database'!$I$3:$I$152,MATCH($A32,'Mock Database'!$C$3:$C$152,0)),"")</f>
        <v/>
      </c>
      <c r="D32" s="89" t="str">
        <f ca="1">IF(ISNA(MATCH($A32,'Mock Database'!$C$3:$C$152,0)),"",IF(ISBLANK(OFFSET('Mock Database'!$M$2,MATCH($A32,'Mock Database'!$C$3:$C$152,0),0)),"",INDEX('Mock Database'!$M$3:$M$152,MATCH($A32,'Mock Database'!$C$3:$C$152,0))))</f>
        <v/>
      </c>
      <c r="E32" s="22" t="str">
        <f ca="1">IF(ISNA(MATCH($A32,'Mock Database'!$C$3:$C$152,0)),"",IF(ISBLANK(OFFSET('Mock Database'!$N$2,MATCH($A32,'Mock Database'!$C$3:$C$152,0),0)),"",INDEX('Mock Database'!$N$3:$N$152,MATCH($A32,'Mock Database'!$C$3:$C$152,0))))</f>
        <v/>
      </c>
      <c r="F32" s="89" t="str">
        <f ca="1">IF(ISNA(MATCH($A32,'Mock Database'!$C$3:$C$152,0)),"",IF(ISBLANK(OFFSET('Mock Database'!$S$2,MATCH($A32,'Mock Database'!$C$3:$C$152,0),0)),"",INDEX('Mock Database'!$S$3:$S$152,MATCH($A32,'Mock Database'!$C$3:$C$152,0))))</f>
        <v/>
      </c>
      <c r="G32" s="22" t="str">
        <f ca="1">IF(ISNA(MATCH($A32,'Mock Database'!$C$3:$C$152,0)),"",IF(ISBLANK(OFFSET('Mock Database'!$T$2,MATCH($A32,'Mock Database'!$C$3:$C$152,0),0)),"",INDEX('Mock Database'!$T$3:$T$152,MATCH($A32,'Mock Database'!$C$3:$C$152,0))))</f>
        <v/>
      </c>
      <c r="H32" s="89" t="str">
        <f ca="1">IF(ISNA(MATCH($A32,'Mock Database'!$C$3:$C$152,0)),"",IF(ISBLANK(OFFSET('Mock Database'!$Y$2,MATCH($A32,'Mock Database'!$C$3:$C$152,0),0)),"",INDEX('Mock Database'!$Y$3:$Y$152,MATCH($A32,'Mock Database'!$C$3:$C$152,0))))</f>
        <v/>
      </c>
      <c r="I32" s="22" t="str">
        <f ca="1">IF(ISNA(MATCH($A32,'Mock Database'!$C$3:$C$152,0)),"",IF(ISBLANK(OFFSET('Mock Database'!$Z$2,MATCH($A32,'Mock Database'!$C$3:$C$152,0),0)),"",INDEX('Mock Database'!$Z$3:$Z$152,MATCH($A32,'Mock Database'!$C$3:$C$152,0))))</f>
        <v/>
      </c>
      <c r="J32" s="89" t="str">
        <f ca="1">IF(ISNA(MATCH($A32,'Mock Database'!$C$3:$C$152,0)),"",IF(ISBLANK(OFFSET('Mock Database'!$AE$2,MATCH($A32,'Mock Database'!$C$3:$C$152,0),0)),"",INDEX('Mock Database'!$AE$3:$AE$152,MATCH($A32,'Mock Database'!$C$3:$C$152,0))))</f>
        <v/>
      </c>
      <c r="K32" s="22" t="str">
        <f ca="1">IF(ISNA(MATCH($A32,'Mock Database'!$C$3:$C$152,0)),"",IF(ISBLANK(OFFSET('Mock Database'!$AF$2,MATCH($A32,'Mock Database'!$C$3:$C$152,0),0)),"",INDEX('Mock Database'!$AF$3:$AF$152,MATCH($A32,'Mock Database'!$C$3:$C$152,0))))</f>
        <v/>
      </c>
      <c r="N32" t="e">
        <f t="shared" si="0"/>
        <v>#N/A</v>
      </c>
      <c r="O32" s="89" t="e">
        <f t="shared" ca="1" si="1"/>
        <v>#N/A</v>
      </c>
      <c r="P32" s="22" t="e">
        <f t="shared" ca="1" si="2"/>
        <v>#N/A</v>
      </c>
      <c r="Q32" s="89" t="e">
        <f t="shared" ca="1" si="3"/>
        <v>#N/A</v>
      </c>
      <c r="R32" s="22" t="e">
        <f t="shared" ca="1" si="4"/>
        <v>#N/A</v>
      </c>
      <c r="S32" s="89" t="e">
        <f t="shared" ca="1" si="5"/>
        <v>#N/A</v>
      </c>
      <c r="T32" s="22" t="e">
        <f t="shared" ca="1" si="6"/>
        <v>#N/A</v>
      </c>
      <c r="U32" s="89" t="e">
        <f t="shared" ca="1" si="7"/>
        <v>#N/A</v>
      </c>
      <c r="V32" s="22" t="e">
        <f t="shared" ca="1" si="8"/>
        <v>#N/A</v>
      </c>
      <c r="AM32" t="e">
        <f t="shared" si="9"/>
        <v>#N/A</v>
      </c>
      <c r="AN32" t="e">
        <f t="shared" ca="1" si="10"/>
        <v>#N/A</v>
      </c>
    </row>
    <row r="33" spans="1:40" ht="15" customHeight="1" x14ac:dyDescent="0.3">
      <c r="A33" s="87">
        <v>32</v>
      </c>
      <c r="B33" t="str">
        <f>IFERROR(INDEX('Mock Database'!$D$3:$D$152,MATCH($A33,'Mock Database'!$C$3:$C$152,0)),"")</f>
        <v/>
      </c>
      <c r="C33" s="88" t="str">
        <f>IFERROR(INDEX('Mock Database'!$I$3:$I$152,MATCH($A33,'Mock Database'!$C$3:$C$152,0)),"")</f>
        <v/>
      </c>
      <c r="D33" s="89" t="str">
        <f ca="1">IF(ISNA(MATCH($A33,'Mock Database'!$C$3:$C$152,0)),"",IF(ISBLANK(OFFSET('Mock Database'!$M$2,MATCH($A33,'Mock Database'!$C$3:$C$152,0),0)),"",INDEX('Mock Database'!$M$3:$M$152,MATCH($A33,'Mock Database'!$C$3:$C$152,0))))</f>
        <v/>
      </c>
      <c r="E33" s="22" t="str">
        <f ca="1">IF(ISNA(MATCH($A33,'Mock Database'!$C$3:$C$152,0)),"",IF(ISBLANK(OFFSET('Mock Database'!$N$2,MATCH($A33,'Mock Database'!$C$3:$C$152,0),0)),"",INDEX('Mock Database'!$N$3:$N$152,MATCH($A33,'Mock Database'!$C$3:$C$152,0))))</f>
        <v/>
      </c>
      <c r="F33" s="89" t="str">
        <f ca="1">IF(ISNA(MATCH($A33,'Mock Database'!$C$3:$C$152,0)),"",IF(ISBLANK(OFFSET('Mock Database'!$S$2,MATCH($A33,'Mock Database'!$C$3:$C$152,0),0)),"",INDEX('Mock Database'!$S$3:$S$152,MATCH($A33,'Mock Database'!$C$3:$C$152,0))))</f>
        <v/>
      </c>
      <c r="G33" s="22" t="str">
        <f ca="1">IF(ISNA(MATCH($A33,'Mock Database'!$C$3:$C$152,0)),"",IF(ISBLANK(OFFSET('Mock Database'!$T$2,MATCH($A33,'Mock Database'!$C$3:$C$152,0),0)),"",INDEX('Mock Database'!$T$3:$T$152,MATCH($A33,'Mock Database'!$C$3:$C$152,0))))</f>
        <v/>
      </c>
      <c r="H33" s="89" t="str">
        <f ca="1">IF(ISNA(MATCH($A33,'Mock Database'!$C$3:$C$152,0)),"",IF(ISBLANK(OFFSET('Mock Database'!$Y$2,MATCH($A33,'Mock Database'!$C$3:$C$152,0),0)),"",INDEX('Mock Database'!$Y$3:$Y$152,MATCH($A33,'Mock Database'!$C$3:$C$152,0))))</f>
        <v/>
      </c>
      <c r="I33" s="22" t="str">
        <f ca="1">IF(ISNA(MATCH($A33,'Mock Database'!$C$3:$C$152,0)),"",IF(ISBLANK(OFFSET('Mock Database'!$Z$2,MATCH($A33,'Mock Database'!$C$3:$C$152,0),0)),"",INDEX('Mock Database'!$Z$3:$Z$152,MATCH($A33,'Mock Database'!$C$3:$C$152,0))))</f>
        <v/>
      </c>
      <c r="J33" s="89" t="str">
        <f ca="1">IF(ISNA(MATCH($A33,'Mock Database'!$C$3:$C$152,0)),"",IF(ISBLANK(OFFSET('Mock Database'!$AE$2,MATCH($A33,'Mock Database'!$C$3:$C$152,0),0)),"",INDEX('Mock Database'!$AE$3:$AE$152,MATCH($A33,'Mock Database'!$C$3:$C$152,0))))</f>
        <v/>
      </c>
      <c r="K33" s="22" t="str">
        <f ca="1">IF(ISNA(MATCH($A33,'Mock Database'!$C$3:$C$152,0)),"",IF(ISBLANK(OFFSET('Mock Database'!$AF$2,MATCH($A33,'Mock Database'!$C$3:$C$152,0),0)),"",INDEX('Mock Database'!$AF$3:$AF$152,MATCH($A33,'Mock Database'!$C$3:$C$152,0))))</f>
        <v/>
      </c>
      <c r="N33" t="e">
        <f t="shared" si="0"/>
        <v>#N/A</v>
      </c>
      <c r="O33" s="89" t="e">
        <f t="shared" ca="1" si="1"/>
        <v>#N/A</v>
      </c>
      <c r="P33" s="22" t="e">
        <f t="shared" ca="1" si="2"/>
        <v>#N/A</v>
      </c>
      <c r="Q33" s="89" t="e">
        <f t="shared" ca="1" si="3"/>
        <v>#N/A</v>
      </c>
      <c r="R33" s="22" t="e">
        <f t="shared" ca="1" si="4"/>
        <v>#N/A</v>
      </c>
      <c r="S33" s="89" t="e">
        <f t="shared" ca="1" si="5"/>
        <v>#N/A</v>
      </c>
      <c r="T33" s="22" t="e">
        <f t="shared" ca="1" si="6"/>
        <v>#N/A</v>
      </c>
      <c r="U33" s="89" t="e">
        <f t="shared" ca="1" si="7"/>
        <v>#N/A</v>
      </c>
      <c r="V33" s="22" t="e">
        <f t="shared" ca="1" si="8"/>
        <v>#N/A</v>
      </c>
      <c r="AM33" t="e">
        <f t="shared" si="9"/>
        <v>#N/A</v>
      </c>
      <c r="AN33" t="e">
        <f t="shared" ca="1" si="10"/>
        <v>#N/A</v>
      </c>
    </row>
    <row r="34" spans="1:40" ht="15" customHeight="1" x14ac:dyDescent="0.3">
      <c r="A34" s="87">
        <v>33</v>
      </c>
      <c r="B34" t="str">
        <f>IFERROR(INDEX('Mock Database'!$D$3:$D$152,MATCH($A34,'Mock Database'!$C$3:$C$152,0)),"")</f>
        <v/>
      </c>
      <c r="C34" s="88" t="str">
        <f>IFERROR(INDEX('Mock Database'!$I$3:$I$152,MATCH($A34,'Mock Database'!$C$3:$C$152,0)),"")</f>
        <v/>
      </c>
      <c r="D34" s="89" t="str">
        <f ca="1">IF(ISNA(MATCH($A34,'Mock Database'!$C$3:$C$152,0)),"",IF(ISBLANK(OFFSET('Mock Database'!$M$2,MATCH($A34,'Mock Database'!$C$3:$C$152,0),0)),"",INDEX('Mock Database'!$M$3:$M$152,MATCH($A34,'Mock Database'!$C$3:$C$152,0))))</f>
        <v/>
      </c>
      <c r="E34" s="22" t="str">
        <f ca="1">IF(ISNA(MATCH($A34,'Mock Database'!$C$3:$C$152,0)),"",IF(ISBLANK(OFFSET('Mock Database'!$N$2,MATCH($A34,'Mock Database'!$C$3:$C$152,0),0)),"",INDEX('Mock Database'!$N$3:$N$152,MATCH($A34,'Mock Database'!$C$3:$C$152,0))))</f>
        <v/>
      </c>
      <c r="F34" s="89" t="str">
        <f ca="1">IF(ISNA(MATCH($A34,'Mock Database'!$C$3:$C$152,0)),"",IF(ISBLANK(OFFSET('Mock Database'!$S$2,MATCH($A34,'Mock Database'!$C$3:$C$152,0),0)),"",INDEX('Mock Database'!$S$3:$S$152,MATCH($A34,'Mock Database'!$C$3:$C$152,0))))</f>
        <v/>
      </c>
      <c r="G34" s="22" t="str">
        <f ca="1">IF(ISNA(MATCH($A34,'Mock Database'!$C$3:$C$152,0)),"",IF(ISBLANK(OFFSET('Mock Database'!$T$2,MATCH($A34,'Mock Database'!$C$3:$C$152,0),0)),"",INDEX('Mock Database'!$T$3:$T$152,MATCH($A34,'Mock Database'!$C$3:$C$152,0))))</f>
        <v/>
      </c>
      <c r="H34" s="89" t="str">
        <f ca="1">IF(ISNA(MATCH($A34,'Mock Database'!$C$3:$C$152,0)),"",IF(ISBLANK(OFFSET('Mock Database'!$Y$2,MATCH($A34,'Mock Database'!$C$3:$C$152,0),0)),"",INDEX('Mock Database'!$Y$3:$Y$152,MATCH($A34,'Mock Database'!$C$3:$C$152,0))))</f>
        <v/>
      </c>
      <c r="I34" s="22" t="str">
        <f ca="1">IF(ISNA(MATCH($A34,'Mock Database'!$C$3:$C$152,0)),"",IF(ISBLANK(OFFSET('Mock Database'!$Z$2,MATCH($A34,'Mock Database'!$C$3:$C$152,0),0)),"",INDEX('Mock Database'!$Z$3:$Z$152,MATCH($A34,'Mock Database'!$C$3:$C$152,0))))</f>
        <v/>
      </c>
      <c r="J34" s="89" t="str">
        <f ca="1">IF(ISNA(MATCH($A34,'Mock Database'!$C$3:$C$152,0)),"",IF(ISBLANK(OFFSET('Mock Database'!$AE$2,MATCH($A34,'Mock Database'!$C$3:$C$152,0),0)),"",INDEX('Mock Database'!$AE$3:$AE$152,MATCH($A34,'Mock Database'!$C$3:$C$152,0))))</f>
        <v/>
      </c>
      <c r="K34" s="22" t="str">
        <f ca="1">IF(ISNA(MATCH($A34,'Mock Database'!$C$3:$C$152,0)),"",IF(ISBLANK(OFFSET('Mock Database'!$AF$2,MATCH($A34,'Mock Database'!$C$3:$C$152,0),0)),"",INDEX('Mock Database'!$AF$3:$AF$152,MATCH($A34,'Mock Database'!$C$3:$C$152,0))))</f>
        <v/>
      </c>
      <c r="N34" t="e">
        <f t="shared" si="0"/>
        <v>#N/A</v>
      </c>
      <c r="O34" s="89" t="e">
        <f t="shared" ca="1" si="1"/>
        <v>#N/A</v>
      </c>
      <c r="P34" s="22" t="e">
        <f t="shared" ca="1" si="2"/>
        <v>#N/A</v>
      </c>
      <c r="Q34" s="89" t="e">
        <f t="shared" ca="1" si="3"/>
        <v>#N/A</v>
      </c>
      <c r="R34" s="22" t="e">
        <f t="shared" ca="1" si="4"/>
        <v>#N/A</v>
      </c>
      <c r="S34" s="89" t="e">
        <f t="shared" ca="1" si="5"/>
        <v>#N/A</v>
      </c>
      <c r="T34" s="22" t="e">
        <f t="shared" ca="1" si="6"/>
        <v>#N/A</v>
      </c>
      <c r="U34" s="89" t="e">
        <f t="shared" ca="1" si="7"/>
        <v>#N/A</v>
      </c>
      <c r="V34" s="22" t="e">
        <f t="shared" ca="1" si="8"/>
        <v>#N/A</v>
      </c>
      <c r="AM34" t="e">
        <f t="shared" si="9"/>
        <v>#N/A</v>
      </c>
      <c r="AN34" t="e">
        <f t="shared" ca="1" si="10"/>
        <v>#N/A</v>
      </c>
    </row>
    <row r="35" spans="1:40" ht="15" customHeight="1" x14ac:dyDescent="0.3">
      <c r="A35" s="87">
        <v>34</v>
      </c>
      <c r="B35" t="str">
        <f>IFERROR(INDEX('Mock Database'!$D$3:$D$152,MATCH($A35,'Mock Database'!$C$3:$C$152,0)),"")</f>
        <v/>
      </c>
      <c r="C35" s="88" t="str">
        <f>IFERROR(INDEX('Mock Database'!$I$3:$I$152,MATCH($A35,'Mock Database'!$C$3:$C$152,0)),"")</f>
        <v/>
      </c>
      <c r="D35" s="89" t="str">
        <f ca="1">IF(ISNA(MATCH($A35,'Mock Database'!$C$3:$C$152,0)),"",IF(ISBLANK(OFFSET('Mock Database'!$M$2,MATCH($A35,'Mock Database'!$C$3:$C$152,0),0)),"",INDEX('Mock Database'!$M$3:$M$152,MATCH($A35,'Mock Database'!$C$3:$C$152,0))))</f>
        <v/>
      </c>
      <c r="E35" s="22" t="str">
        <f ca="1">IF(ISNA(MATCH($A35,'Mock Database'!$C$3:$C$152,0)),"",IF(ISBLANK(OFFSET('Mock Database'!$N$2,MATCH($A35,'Mock Database'!$C$3:$C$152,0),0)),"",INDEX('Mock Database'!$N$3:$N$152,MATCH($A35,'Mock Database'!$C$3:$C$152,0))))</f>
        <v/>
      </c>
      <c r="F35" s="89" t="str">
        <f ca="1">IF(ISNA(MATCH($A35,'Mock Database'!$C$3:$C$152,0)),"",IF(ISBLANK(OFFSET('Mock Database'!$S$2,MATCH($A35,'Mock Database'!$C$3:$C$152,0),0)),"",INDEX('Mock Database'!$S$3:$S$152,MATCH($A35,'Mock Database'!$C$3:$C$152,0))))</f>
        <v/>
      </c>
      <c r="G35" s="22" t="str">
        <f ca="1">IF(ISNA(MATCH($A35,'Mock Database'!$C$3:$C$152,0)),"",IF(ISBLANK(OFFSET('Mock Database'!$T$2,MATCH($A35,'Mock Database'!$C$3:$C$152,0),0)),"",INDEX('Mock Database'!$T$3:$T$152,MATCH($A35,'Mock Database'!$C$3:$C$152,0))))</f>
        <v/>
      </c>
      <c r="H35" s="89" t="str">
        <f ca="1">IF(ISNA(MATCH($A35,'Mock Database'!$C$3:$C$152,0)),"",IF(ISBLANK(OFFSET('Mock Database'!$Y$2,MATCH($A35,'Mock Database'!$C$3:$C$152,0),0)),"",INDEX('Mock Database'!$Y$3:$Y$152,MATCH($A35,'Mock Database'!$C$3:$C$152,0))))</f>
        <v/>
      </c>
      <c r="I35" s="22" t="str">
        <f ca="1">IF(ISNA(MATCH($A35,'Mock Database'!$C$3:$C$152,0)),"",IF(ISBLANK(OFFSET('Mock Database'!$Z$2,MATCH($A35,'Mock Database'!$C$3:$C$152,0),0)),"",INDEX('Mock Database'!$Z$3:$Z$152,MATCH($A35,'Mock Database'!$C$3:$C$152,0))))</f>
        <v/>
      </c>
      <c r="J35" s="89" t="str">
        <f ca="1">IF(ISNA(MATCH($A35,'Mock Database'!$C$3:$C$152,0)),"",IF(ISBLANK(OFFSET('Mock Database'!$AE$2,MATCH($A35,'Mock Database'!$C$3:$C$152,0),0)),"",INDEX('Mock Database'!$AE$3:$AE$152,MATCH($A35,'Mock Database'!$C$3:$C$152,0))))</f>
        <v/>
      </c>
      <c r="K35" s="22" t="str">
        <f ca="1">IF(ISNA(MATCH($A35,'Mock Database'!$C$3:$C$152,0)),"",IF(ISBLANK(OFFSET('Mock Database'!$AF$2,MATCH($A35,'Mock Database'!$C$3:$C$152,0),0)),"",INDEX('Mock Database'!$AF$3:$AF$152,MATCH($A35,'Mock Database'!$C$3:$C$152,0))))</f>
        <v/>
      </c>
      <c r="N35" t="e">
        <f t="shared" si="0"/>
        <v>#N/A</v>
      </c>
      <c r="O35" s="89" t="e">
        <f t="shared" ca="1" si="1"/>
        <v>#N/A</v>
      </c>
      <c r="P35" s="22" t="e">
        <f t="shared" ca="1" si="2"/>
        <v>#N/A</v>
      </c>
      <c r="Q35" s="89" t="e">
        <f t="shared" ca="1" si="3"/>
        <v>#N/A</v>
      </c>
      <c r="R35" s="22" t="e">
        <f t="shared" ca="1" si="4"/>
        <v>#N/A</v>
      </c>
      <c r="S35" s="89" t="e">
        <f t="shared" ca="1" si="5"/>
        <v>#N/A</v>
      </c>
      <c r="T35" s="22" t="e">
        <f t="shared" ca="1" si="6"/>
        <v>#N/A</v>
      </c>
      <c r="U35" s="89" t="e">
        <f t="shared" ca="1" si="7"/>
        <v>#N/A</v>
      </c>
      <c r="V35" s="22" t="e">
        <f t="shared" ca="1" si="8"/>
        <v>#N/A</v>
      </c>
      <c r="AM35" t="e">
        <f t="shared" si="9"/>
        <v>#N/A</v>
      </c>
      <c r="AN35" t="e">
        <f t="shared" ca="1" si="10"/>
        <v>#N/A</v>
      </c>
    </row>
    <row r="36" spans="1:40" ht="15" customHeight="1" x14ac:dyDescent="0.3">
      <c r="A36" s="87">
        <v>35</v>
      </c>
      <c r="B36" t="str">
        <f>IFERROR(INDEX('Mock Database'!$D$3:$D$152,MATCH($A36,'Mock Database'!$C$3:$C$152,0)),"")</f>
        <v/>
      </c>
      <c r="C36" s="88" t="str">
        <f>IFERROR(INDEX('Mock Database'!$I$3:$I$152,MATCH($A36,'Mock Database'!$C$3:$C$152,0)),"")</f>
        <v/>
      </c>
      <c r="D36" s="89" t="str">
        <f ca="1">IF(ISNA(MATCH($A36,'Mock Database'!$C$3:$C$152,0)),"",IF(ISBLANK(OFFSET('Mock Database'!$M$2,MATCH($A36,'Mock Database'!$C$3:$C$152,0),0)),"",INDEX('Mock Database'!$M$3:$M$152,MATCH($A36,'Mock Database'!$C$3:$C$152,0))))</f>
        <v/>
      </c>
      <c r="E36" s="22" t="str">
        <f ca="1">IF(ISNA(MATCH($A36,'Mock Database'!$C$3:$C$152,0)),"",IF(ISBLANK(OFFSET('Mock Database'!$N$2,MATCH($A36,'Mock Database'!$C$3:$C$152,0),0)),"",INDEX('Mock Database'!$N$3:$N$152,MATCH($A36,'Mock Database'!$C$3:$C$152,0))))</f>
        <v/>
      </c>
      <c r="F36" s="89" t="str">
        <f ca="1">IF(ISNA(MATCH($A36,'Mock Database'!$C$3:$C$152,0)),"",IF(ISBLANK(OFFSET('Mock Database'!$S$2,MATCH($A36,'Mock Database'!$C$3:$C$152,0),0)),"",INDEX('Mock Database'!$S$3:$S$152,MATCH($A36,'Mock Database'!$C$3:$C$152,0))))</f>
        <v/>
      </c>
      <c r="G36" s="22" t="str">
        <f ca="1">IF(ISNA(MATCH($A36,'Mock Database'!$C$3:$C$152,0)),"",IF(ISBLANK(OFFSET('Mock Database'!$T$2,MATCH($A36,'Mock Database'!$C$3:$C$152,0),0)),"",INDEX('Mock Database'!$T$3:$T$152,MATCH($A36,'Mock Database'!$C$3:$C$152,0))))</f>
        <v/>
      </c>
      <c r="H36" s="89" t="str">
        <f ca="1">IF(ISNA(MATCH($A36,'Mock Database'!$C$3:$C$152,0)),"",IF(ISBLANK(OFFSET('Mock Database'!$Y$2,MATCH($A36,'Mock Database'!$C$3:$C$152,0),0)),"",INDEX('Mock Database'!$Y$3:$Y$152,MATCH($A36,'Mock Database'!$C$3:$C$152,0))))</f>
        <v/>
      </c>
      <c r="I36" s="22" t="str">
        <f ca="1">IF(ISNA(MATCH($A36,'Mock Database'!$C$3:$C$152,0)),"",IF(ISBLANK(OFFSET('Mock Database'!$Z$2,MATCH($A36,'Mock Database'!$C$3:$C$152,0),0)),"",INDEX('Mock Database'!$Z$3:$Z$152,MATCH($A36,'Mock Database'!$C$3:$C$152,0))))</f>
        <v/>
      </c>
      <c r="J36" s="89" t="str">
        <f ca="1">IF(ISNA(MATCH($A36,'Mock Database'!$C$3:$C$152,0)),"",IF(ISBLANK(OFFSET('Mock Database'!$AE$2,MATCH($A36,'Mock Database'!$C$3:$C$152,0),0)),"",INDEX('Mock Database'!$AE$3:$AE$152,MATCH($A36,'Mock Database'!$C$3:$C$152,0))))</f>
        <v/>
      </c>
      <c r="K36" s="22" t="str">
        <f ca="1">IF(ISNA(MATCH($A36,'Mock Database'!$C$3:$C$152,0)),"",IF(ISBLANK(OFFSET('Mock Database'!$AF$2,MATCH($A36,'Mock Database'!$C$3:$C$152,0),0)),"",INDEX('Mock Database'!$AF$3:$AF$152,MATCH($A36,'Mock Database'!$C$3:$C$152,0))))</f>
        <v/>
      </c>
      <c r="N36" t="e">
        <f t="shared" si="0"/>
        <v>#N/A</v>
      </c>
      <c r="O36" s="89" t="e">
        <f t="shared" ca="1" si="1"/>
        <v>#N/A</v>
      </c>
      <c r="P36" s="22" t="e">
        <f t="shared" ca="1" si="2"/>
        <v>#N/A</v>
      </c>
      <c r="Q36" s="89" t="e">
        <f t="shared" ca="1" si="3"/>
        <v>#N/A</v>
      </c>
      <c r="R36" s="22" t="e">
        <f t="shared" ca="1" si="4"/>
        <v>#N/A</v>
      </c>
      <c r="S36" s="89" t="e">
        <f t="shared" ca="1" si="5"/>
        <v>#N/A</v>
      </c>
      <c r="T36" s="22" t="e">
        <f t="shared" ca="1" si="6"/>
        <v>#N/A</v>
      </c>
      <c r="U36" s="89" t="e">
        <f t="shared" ca="1" si="7"/>
        <v>#N/A</v>
      </c>
      <c r="V36" s="22" t="e">
        <f t="shared" ca="1" si="8"/>
        <v>#N/A</v>
      </c>
      <c r="AM36" t="e">
        <f t="shared" si="9"/>
        <v>#N/A</v>
      </c>
      <c r="AN36" t="e">
        <f t="shared" ca="1" si="10"/>
        <v>#N/A</v>
      </c>
    </row>
    <row r="37" spans="1:40" ht="15" customHeight="1" x14ac:dyDescent="0.3">
      <c r="A37" s="87">
        <v>36</v>
      </c>
      <c r="B37" t="str">
        <f>IFERROR(INDEX('Mock Database'!$D$3:$D$152,MATCH($A37,'Mock Database'!$C$3:$C$152,0)),"")</f>
        <v/>
      </c>
      <c r="C37" s="88" t="str">
        <f>IFERROR(INDEX('Mock Database'!$I$3:$I$152,MATCH($A37,'Mock Database'!$C$3:$C$152,0)),"")</f>
        <v/>
      </c>
      <c r="D37" s="89" t="str">
        <f ca="1">IF(ISNA(MATCH($A37,'Mock Database'!$C$3:$C$152,0)),"",IF(ISBLANK(OFFSET('Mock Database'!$M$2,MATCH($A37,'Mock Database'!$C$3:$C$152,0),0)),"",INDEX('Mock Database'!$M$3:$M$152,MATCH($A37,'Mock Database'!$C$3:$C$152,0))))</f>
        <v/>
      </c>
      <c r="E37" s="22" t="str">
        <f ca="1">IF(ISNA(MATCH($A37,'Mock Database'!$C$3:$C$152,0)),"",IF(ISBLANK(OFFSET('Mock Database'!$N$2,MATCH($A37,'Mock Database'!$C$3:$C$152,0),0)),"",INDEX('Mock Database'!$N$3:$N$152,MATCH($A37,'Mock Database'!$C$3:$C$152,0))))</f>
        <v/>
      </c>
      <c r="F37" s="89" t="str">
        <f ca="1">IF(ISNA(MATCH($A37,'Mock Database'!$C$3:$C$152,0)),"",IF(ISBLANK(OFFSET('Mock Database'!$S$2,MATCH($A37,'Mock Database'!$C$3:$C$152,0),0)),"",INDEX('Mock Database'!$S$3:$S$152,MATCH($A37,'Mock Database'!$C$3:$C$152,0))))</f>
        <v/>
      </c>
      <c r="G37" s="22" t="str">
        <f ca="1">IF(ISNA(MATCH($A37,'Mock Database'!$C$3:$C$152,0)),"",IF(ISBLANK(OFFSET('Mock Database'!$T$2,MATCH($A37,'Mock Database'!$C$3:$C$152,0),0)),"",INDEX('Mock Database'!$T$3:$T$152,MATCH($A37,'Mock Database'!$C$3:$C$152,0))))</f>
        <v/>
      </c>
      <c r="H37" s="89" t="str">
        <f ca="1">IF(ISNA(MATCH($A37,'Mock Database'!$C$3:$C$152,0)),"",IF(ISBLANK(OFFSET('Mock Database'!$Y$2,MATCH($A37,'Mock Database'!$C$3:$C$152,0),0)),"",INDEX('Mock Database'!$Y$3:$Y$152,MATCH($A37,'Mock Database'!$C$3:$C$152,0))))</f>
        <v/>
      </c>
      <c r="I37" s="22" t="str">
        <f ca="1">IF(ISNA(MATCH($A37,'Mock Database'!$C$3:$C$152,0)),"",IF(ISBLANK(OFFSET('Mock Database'!$Z$2,MATCH($A37,'Mock Database'!$C$3:$C$152,0),0)),"",INDEX('Mock Database'!$Z$3:$Z$152,MATCH($A37,'Mock Database'!$C$3:$C$152,0))))</f>
        <v/>
      </c>
      <c r="J37" s="89" t="str">
        <f ca="1">IF(ISNA(MATCH($A37,'Mock Database'!$C$3:$C$152,0)),"",IF(ISBLANK(OFFSET('Mock Database'!$AE$2,MATCH($A37,'Mock Database'!$C$3:$C$152,0),0)),"",INDEX('Mock Database'!$AE$3:$AE$152,MATCH($A37,'Mock Database'!$C$3:$C$152,0))))</f>
        <v/>
      </c>
      <c r="K37" s="22" t="str">
        <f ca="1">IF(ISNA(MATCH($A37,'Mock Database'!$C$3:$C$152,0)),"",IF(ISBLANK(OFFSET('Mock Database'!$AF$2,MATCH($A37,'Mock Database'!$C$3:$C$152,0),0)),"",INDEX('Mock Database'!$AF$3:$AF$152,MATCH($A37,'Mock Database'!$C$3:$C$152,0))))</f>
        <v/>
      </c>
      <c r="N37" t="e">
        <f t="shared" si="0"/>
        <v>#N/A</v>
      </c>
      <c r="O37" s="89" t="e">
        <f t="shared" ca="1" si="1"/>
        <v>#N/A</v>
      </c>
      <c r="P37" s="22" t="e">
        <f t="shared" ca="1" si="2"/>
        <v>#N/A</v>
      </c>
      <c r="Q37" s="89" t="e">
        <f t="shared" ca="1" si="3"/>
        <v>#N/A</v>
      </c>
      <c r="R37" s="22" t="e">
        <f t="shared" ca="1" si="4"/>
        <v>#N/A</v>
      </c>
      <c r="S37" s="89" t="e">
        <f t="shared" ca="1" si="5"/>
        <v>#N/A</v>
      </c>
      <c r="T37" s="22" t="e">
        <f t="shared" ca="1" si="6"/>
        <v>#N/A</v>
      </c>
      <c r="U37" s="89" t="e">
        <f t="shared" ca="1" si="7"/>
        <v>#N/A</v>
      </c>
      <c r="V37" s="22" t="e">
        <f t="shared" ca="1" si="8"/>
        <v>#N/A</v>
      </c>
      <c r="AM37" t="e">
        <f t="shared" si="9"/>
        <v>#N/A</v>
      </c>
      <c r="AN37" t="e">
        <f t="shared" ca="1" si="10"/>
        <v>#N/A</v>
      </c>
    </row>
    <row r="38" spans="1:40" ht="15" customHeight="1" x14ac:dyDescent="0.3">
      <c r="A38" s="87">
        <v>37</v>
      </c>
      <c r="B38" t="str">
        <f>IFERROR(INDEX('Mock Database'!$D$3:$D$152,MATCH($A38,'Mock Database'!$C$3:$C$152,0)),"")</f>
        <v/>
      </c>
      <c r="C38" s="88" t="str">
        <f>IFERROR(INDEX('Mock Database'!$I$3:$I$152,MATCH($A38,'Mock Database'!$C$3:$C$152,0)),"")</f>
        <v/>
      </c>
      <c r="D38" s="89" t="str">
        <f ca="1">IF(ISNA(MATCH($A38,'Mock Database'!$C$3:$C$152,0)),"",IF(ISBLANK(OFFSET('Mock Database'!$M$2,MATCH($A38,'Mock Database'!$C$3:$C$152,0),0)),"",INDEX('Mock Database'!$M$3:$M$152,MATCH($A38,'Mock Database'!$C$3:$C$152,0))))</f>
        <v/>
      </c>
      <c r="E38" s="22" t="str">
        <f ca="1">IF(ISNA(MATCH($A38,'Mock Database'!$C$3:$C$152,0)),"",IF(ISBLANK(OFFSET('Mock Database'!$N$2,MATCH($A38,'Mock Database'!$C$3:$C$152,0),0)),"",INDEX('Mock Database'!$N$3:$N$152,MATCH($A38,'Mock Database'!$C$3:$C$152,0))))</f>
        <v/>
      </c>
      <c r="F38" s="89" t="str">
        <f ca="1">IF(ISNA(MATCH($A38,'Mock Database'!$C$3:$C$152,0)),"",IF(ISBLANK(OFFSET('Mock Database'!$S$2,MATCH($A38,'Mock Database'!$C$3:$C$152,0),0)),"",INDEX('Mock Database'!$S$3:$S$152,MATCH($A38,'Mock Database'!$C$3:$C$152,0))))</f>
        <v/>
      </c>
      <c r="G38" s="22" t="str">
        <f ca="1">IF(ISNA(MATCH($A38,'Mock Database'!$C$3:$C$152,0)),"",IF(ISBLANK(OFFSET('Mock Database'!$T$2,MATCH($A38,'Mock Database'!$C$3:$C$152,0),0)),"",INDEX('Mock Database'!$T$3:$T$152,MATCH($A38,'Mock Database'!$C$3:$C$152,0))))</f>
        <v/>
      </c>
      <c r="H38" s="89" t="str">
        <f ca="1">IF(ISNA(MATCH($A38,'Mock Database'!$C$3:$C$152,0)),"",IF(ISBLANK(OFFSET('Mock Database'!$Y$2,MATCH($A38,'Mock Database'!$C$3:$C$152,0),0)),"",INDEX('Mock Database'!$Y$3:$Y$152,MATCH($A38,'Mock Database'!$C$3:$C$152,0))))</f>
        <v/>
      </c>
      <c r="I38" s="22" t="str">
        <f ca="1">IF(ISNA(MATCH($A38,'Mock Database'!$C$3:$C$152,0)),"",IF(ISBLANK(OFFSET('Mock Database'!$Z$2,MATCH($A38,'Mock Database'!$C$3:$C$152,0),0)),"",INDEX('Mock Database'!$Z$3:$Z$152,MATCH($A38,'Mock Database'!$C$3:$C$152,0))))</f>
        <v/>
      </c>
      <c r="J38" s="89" t="str">
        <f ca="1">IF(ISNA(MATCH($A38,'Mock Database'!$C$3:$C$152,0)),"",IF(ISBLANK(OFFSET('Mock Database'!$AE$2,MATCH($A38,'Mock Database'!$C$3:$C$152,0),0)),"",INDEX('Mock Database'!$AE$3:$AE$152,MATCH($A38,'Mock Database'!$C$3:$C$152,0))))</f>
        <v/>
      </c>
      <c r="K38" s="22" t="str">
        <f ca="1">IF(ISNA(MATCH($A38,'Mock Database'!$C$3:$C$152,0)),"",IF(ISBLANK(OFFSET('Mock Database'!$AF$2,MATCH($A38,'Mock Database'!$C$3:$C$152,0),0)),"",INDEX('Mock Database'!$AF$3:$AF$152,MATCH($A38,'Mock Database'!$C$3:$C$152,0))))</f>
        <v/>
      </c>
      <c r="N38" t="e">
        <f t="shared" si="0"/>
        <v>#N/A</v>
      </c>
      <c r="O38" s="89" t="e">
        <f t="shared" ca="1" si="1"/>
        <v>#N/A</v>
      </c>
      <c r="P38" s="22" t="e">
        <f t="shared" ca="1" si="2"/>
        <v>#N/A</v>
      </c>
      <c r="Q38" s="89" t="e">
        <f t="shared" ca="1" si="3"/>
        <v>#N/A</v>
      </c>
      <c r="R38" s="22" t="e">
        <f t="shared" ca="1" si="4"/>
        <v>#N/A</v>
      </c>
      <c r="S38" s="89" t="e">
        <f t="shared" ca="1" si="5"/>
        <v>#N/A</v>
      </c>
      <c r="T38" s="22" t="e">
        <f t="shared" ca="1" si="6"/>
        <v>#N/A</v>
      </c>
      <c r="U38" s="89" t="e">
        <f t="shared" ca="1" si="7"/>
        <v>#N/A</v>
      </c>
      <c r="V38" s="22" t="e">
        <f t="shared" ca="1" si="8"/>
        <v>#N/A</v>
      </c>
      <c r="AM38" t="e">
        <f t="shared" si="9"/>
        <v>#N/A</v>
      </c>
      <c r="AN38" t="e">
        <f t="shared" ca="1" si="10"/>
        <v>#N/A</v>
      </c>
    </row>
    <row r="39" spans="1:40" ht="15" customHeight="1" x14ac:dyDescent="0.3">
      <c r="A39" s="87">
        <v>38</v>
      </c>
      <c r="B39" t="str">
        <f>IFERROR(INDEX('Mock Database'!$D$3:$D$152,MATCH($A39,'Mock Database'!$C$3:$C$152,0)),"")</f>
        <v/>
      </c>
      <c r="C39" s="88" t="str">
        <f>IFERROR(INDEX('Mock Database'!$I$3:$I$152,MATCH($A39,'Mock Database'!$C$3:$C$152,0)),"")</f>
        <v/>
      </c>
      <c r="D39" s="89" t="str">
        <f ca="1">IF(ISNA(MATCH($A39,'Mock Database'!$C$3:$C$152,0)),"",IF(ISBLANK(OFFSET('Mock Database'!$M$2,MATCH($A39,'Mock Database'!$C$3:$C$152,0),0)),"",INDEX('Mock Database'!$M$3:$M$152,MATCH($A39,'Mock Database'!$C$3:$C$152,0))))</f>
        <v/>
      </c>
      <c r="E39" s="22" t="str">
        <f ca="1">IF(ISNA(MATCH($A39,'Mock Database'!$C$3:$C$152,0)),"",IF(ISBLANK(OFFSET('Mock Database'!$N$2,MATCH($A39,'Mock Database'!$C$3:$C$152,0),0)),"",INDEX('Mock Database'!$N$3:$N$152,MATCH($A39,'Mock Database'!$C$3:$C$152,0))))</f>
        <v/>
      </c>
      <c r="F39" s="89" t="str">
        <f ca="1">IF(ISNA(MATCH($A39,'Mock Database'!$C$3:$C$152,0)),"",IF(ISBLANK(OFFSET('Mock Database'!$S$2,MATCH($A39,'Mock Database'!$C$3:$C$152,0),0)),"",INDEX('Mock Database'!$S$3:$S$152,MATCH($A39,'Mock Database'!$C$3:$C$152,0))))</f>
        <v/>
      </c>
      <c r="G39" s="22" t="str">
        <f ca="1">IF(ISNA(MATCH($A39,'Mock Database'!$C$3:$C$152,0)),"",IF(ISBLANK(OFFSET('Mock Database'!$T$2,MATCH($A39,'Mock Database'!$C$3:$C$152,0),0)),"",INDEX('Mock Database'!$T$3:$T$152,MATCH($A39,'Mock Database'!$C$3:$C$152,0))))</f>
        <v/>
      </c>
      <c r="H39" s="89" t="str">
        <f ca="1">IF(ISNA(MATCH($A39,'Mock Database'!$C$3:$C$152,0)),"",IF(ISBLANK(OFFSET('Mock Database'!$Y$2,MATCH($A39,'Mock Database'!$C$3:$C$152,0),0)),"",INDEX('Mock Database'!$Y$3:$Y$152,MATCH($A39,'Mock Database'!$C$3:$C$152,0))))</f>
        <v/>
      </c>
      <c r="I39" s="22" t="str">
        <f ca="1">IF(ISNA(MATCH($A39,'Mock Database'!$C$3:$C$152,0)),"",IF(ISBLANK(OFFSET('Mock Database'!$Z$2,MATCH($A39,'Mock Database'!$C$3:$C$152,0),0)),"",INDEX('Mock Database'!$Z$3:$Z$152,MATCH($A39,'Mock Database'!$C$3:$C$152,0))))</f>
        <v/>
      </c>
      <c r="J39" s="89" t="str">
        <f ca="1">IF(ISNA(MATCH($A39,'Mock Database'!$C$3:$C$152,0)),"",IF(ISBLANK(OFFSET('Mock Database'!$AE$2,MATCH($A39,'Mock Database'!$C$3:$C$152,0),0)),"",INDEX('Mock Database'!$AE$3:$AE$152,MATCH($A39,'Mock Database'!$C$3:$C$152,0))))</f>
        <v/>
      </c>
      <c r="K39" s="22" t="str">
        <f ca="1">IF(ISNA(MATCH($A39,'Mock Database'!$C$3:$C$152,0)),"",IF(ISBLANK(OFFSET('Mock Database'!$AF$2,MATCH($A39,'Mock Database'!$C$3:$C$152,0),0)),"",INDEX('Mock Database'!$AF$3:$AF$152,MATCH($A39,'Mock Database'!$C$3:$C$152,0))))</f>
        <v/>
      </c>
      <c r="N39" t="e">
        <f t="shared" si="0"/>
        <v>#N/A</v>
      </c>
      <c r="O39" s="89" t="e">
        <f t="shared" ca="1" si="1"/>
        <v>#N/A</v>
      </c>
      <c r="P39" s="22" t="e">
        <f t="shared" ca="1" si="2"/>
        <v>#N/A</v>
      </c>
      <c r="Q39" s="89" t="e">
        <f t="shared" ca="1" si="3"/>
        <v>#N/A</v>
      </c>
      <c r="R39" s="22" t="e">
        <f t="shared" ca="1" si="4"/>
        <v>#N/A</v>
      </c>
      <c r="S39" s="89" t="e">
        <f t="shared" ca="1" si="5"/>
        <v>#N/A</v>
      </c>
      <c r="T39" s="22" t="e">
        <f t="shared" ca="1" si="6"/>
        <v>#N/A</v>
      </c>
      <c r="U39" s="89" t="e">
        <f t="shared" ca="1" si="7"/>
        <v>#N/A</v>
      </c>
      <c r="V39" s="22" t="e">
        <f t="shared" ca="1" si="8"/>
        <v>#N/A</v>
      </c>
      <c r="AM39" t="e">
        <f t="shared" si="9"/>
        <v>#N/A</v>
      </c>
      <c r="AN39" t="e">
        <f t="shared" ca="1" si="10"/>
        <v>#N/A</v>
      </c>
    </row>
    <row r="40" spans="1:40" ht="15" customHeight="1" x14ac:dyDescent="0.3">
      <c r="A40" s="87">
        <v>39</v>
      </c>
      <c r="B40" t="str">
        <f>IFERROR(INDEX('Mock Database'!$D$3:$D$152,MATCH($A40,'Mock Database'!$C$3:$C$152,0)),"")</f>
        <v/>
      </c>
      <c r="C40" s="88" t="str">
        <f>IFERROR(INDEX('Mock Database'!$I$3:$I$152,MATCH($A40,'Mock Database'!$C$3:$C$152,0)),"")</f>
        <v/>
      </c>
      <c r="D40" s="89" t="str">
        <f ca="1">IF(ISNA(MATCH($A40,'Mock Database'!$C$3:$C$152,0)),"",IF(ISBLANK(OFFSET('Mock Database'!$M$2,MATCH($A40,'Mock Database'!$C$3:$C$152,0),0)),"",INDEX('Mock Database'!$M$3:$M$152,MATCH($A40,'Mock Database'!$C$3:$C$152,0))))</f>
        <v/>
      </c>
      <c r="E40" s="22" t="str">
        <f ca="1">IF(ISNA(MATCH($A40,'Mock Database'!$C$3:$C$152,0)),"",IF(ISBLANK(OFFSET('Mock Database'!$N$2,MATCH($A40,'Mock Database'!$C$3:$C$152,0),0)),"",INDEX('Mock Database'!$N$3:$N$152,MATCH($A40,'Mock Database'!$C$3:$C$152,0))))</f>
        <v/>
      </c>
      <c r="F40" s="89" t="str">
        <f ca="1">IF(ISNA(MATCH($A40,'Mock Database'!$C$3:$C$152,0)),"",IF(ISBLANK(OFFSET('Mock Database'!$S$2,MATCH($A40,'Mock Database'!$C$3:$C$152,0),0)),"",INDEX('Mock Database'!$S$3:$S$152,MATCH($A40,'Mock Database'!$C$3:$C$152,0))))</f>
        <v/>
      </c>
      <c r="G40" s="22" t="str">
        <f ca="1">IF(ISNA(MATCH($A40,'Mock Database'!$C$3:$C$152,0)),"",IF(ISBLANK(OFFSET('Mock Database'!$T$2,MATCH($A40,'Mock Database'!$C$3:$C$152,0),0)),"",INDEX('Mock Database'!$T$3:$T$152,MATCH($A40,'Mock Database'!$C$3:$C$152,0))))</f>
        <v/>
      </c>
      <c r="H40" s="89" t="str">
        <f ca="1">IF(ISNA(MATCH($A40,'Mock Database'!$C$3:$C$152,0)),"",IF(ISBLANK(OFFSET('Mock Database'!$Y$2,MATCH($A40,'Mock Database'!$C$3:$C$152,0),0)),"",INDEX('Mock Database'!$Y$3:$Y$152,MATCH($A40,'Mock Database'!$C$3:$C$152,0))))</f>
        <v/>
      </c>
      <c r="I40" s="22" t="str">
        <f ca="1">IF(ISNA(MATCH($A40,'Mock Database'!$C$3:$C$152,0)),"",IF(ISBLANK(OFFSET('Mock Database'!$Z$2,MATCH($A40,'Mock Database'!$C$3:$C$152,0),0)),"",INDEX('Mock Database'!$Z$3:$Z$152,MATCH($A40,'Mock Database'!$C$3:$C$152,0))))</f>
        <v/>
      </c>
      <c r="J40" s="89" t="str">
        <f ca="1">IF(ISNA(MATCH($A40,'Mock Database'!$C$3:$C$152,0)),"",IF(ISBLANK(OFFSET('Mock Database'!$AE$2,MATCH($A40,'Mock Database'!$C$3:$C$152,0),0)),"",INDEX('Mock Database'!$AE$3:$AE$152,MATCH($A40,'Mock Database'!$C$3:$C$152,0))))</f>
        <v/>
      </c>
      <c r="K40" s="22" t="str">
        <f ca="1">IF(ISNA(MATCH($A40,'Mock Database'!$C$3:$C$152,0)),"",IF(ISBLANK(OFFSET('Mock Database'!$AF$2,MATCH($A40,'Mock Database'!$C$3:$C$152,0),0)),"",INDEX('Mock Database'!$AF$3:$AF$152,MATCH($A40,'Mock Database'!$C$3:$C$152,0))))</f>
        <v/>
      </c>
      <c r="N40" t="e">
        <f t="shared" si="0"/>
        <v>#N/A</v>
      </c>
      <c r="O40" s="89" t="e">
        <f t="shared" ca="1" si="1"/>
        <v>#N/A</v>
      </c>
      <c r="P40" s="22" t="e">
        <f t="shared" ca="1" si="2"/>
        <v>#N/A</v>
      </c>
      <c r="Q40" s="89" t="e">
        <f t="shared" ca="1" si="3"/>
        <v>#N/A</v>
      </c>
      <c r="R40" s="22" t="e">
        <f t="shared" ca="1" si="4"/>
        <v>#N/A</v>
      </c>
      <c r="S40" s="89" t="e">
        <f t="shared" ca="1" si="5"/>
        <v>#N/A</v>
      </c>
      <c r="T40" s="22" t="e">
        <f t="shared" ca="1" si="6"/>
        <v>#N/A</v>
      </c>
      <c r="U40" s="89" t="e">
        <f t="shared" ca="1" si="7"/>
        <v>#N/A</v>
      </c>
      <c r="V40" s="22" t="e">
        <f t="shared" ca="1" si="8"/>
        <v>#N/A</v>
      </c>
      <c r="AM40" t="e">
        <f t="shared" si="9"/>
        <v>#N/A</v>
      </c>
      <c r="AN40" t="e">
        <f t="shared" ca="1" si="10"/>
        <v>#N/A</v>
      </c>
    </row>
    <row r="41" spans="1:40" ht="15" customHeight="1" x14ac:dyDescent="0.3">
      <c r="A41" s="87">
        <v>40</v>
      </c>
      <c r="B41" t="str">
        <f>IFERROR(INDEX('Mock Database'!$D$3:$D$152,MATCH($A41,'Mock Database'!$C$3:$C$152,0)),"")</f>
        <v/>
      </c>
      <c r="C41" s="88" t="str">
        <f>IFERROR(INDEX('Mock Database'!$I$3:$I$152,MATCH($A41,'Mock Database'!$C$3:$C$152,0)),"")</f>
        <v/>
      </c>
      <c r="D41" s="89" t="str">
        <f ca="1">IF(ISNA(MATCH($A41,'Mock Database'!$C$3:$C$152,0)),"",IF(ISBLANK(OFFSET('Mock Database'!$M$2,MATCH($A41,'Mock Database'!$C$3:$C$152,0),0)),"",INDEX('Mock Database'!$M$3:$M$152,MATCH($A41,'Mock Database'!$C$3:$C$152,0))))</f>
        <v/>
      </c>
      <c r="E41" s="22" t="str">
        <f ca="1">IF(ISNA(MATCH($A41,'Mock Database'!$C$3:$C$152,0)),"",IF(ISBLANK(OFFSET('Mock Database'!$N$2,MATCH($A41,'Mock Database'!$C$3:$C$152,0),0)),"",INDEX('Mock Database'!$N$3:$N$152,MATCH($A41,'Mock Database'!$C$3:$C$152,0))))</f>
        <v/>
      </c>
      <c r="F41" s="89" t="str">
        <f ca="1">IF(ISNA(MATCH($A41,'Mock Database'!$C$3:$C$152,0)),"",IF(ISBLANK(OFFSET('Mock Database'!$S$2,MATCH($A41,'Mock Database'!$C$3:$C$152,0),0)),"",INDEX('Mock Database'!$S$3:$S$152,MATCH($A41,'Mock Database'!$C$3:$C$152,0))))</f>
        <v/>
      </c>
      <c r="G41" s="22" t="str">
        <f ca="1">IF(ISNA(MATCH($A41,'Mock Database'!$C$3:$C$152,0)),"",IF(ISBLANK(OFFSET('Mock Database'!$T$2,MATCH($A41,'Mock Database'!$C$3:$C$152,0),0)),"",INDEX('Mock Database'!$T$3:$T$152,MATCH($A41,'Mock Database'!$C$3:$C$152,0))))</f>
        <v/>
      </c>
      <c r="H41" s="89" t="str">
        <f ca="1">IF(ISNA(MATCH($A41,'Mock Database'!$C$3:$C$152,0)),"",IF(ISBLANK(OFFSET('Mock Database'!$Y$2,MATCH($A41,'Mock Database'!$C$3:$C$152,0),0)),"",INDEX('Mock Database'!$Y$3:$Y$152,MATCH($A41,'Mock Database'!$C$3:$C$152,0))))</f>
        <v/>
      </c>
      <c r="I41" s="22" t="str">
        <f ca="1">IF(ISNA(MATCH($A41,'Mock Database'!$C$3:$C$152,0)),"",IF(ISBLANK(OFFSET('Mock Database'!$Z$2,MATCH($A41,'Mock Database'!$C$3:$C$152,0),0)),"",INDEX('Mock Database'!$Z$3:$Z$152,MATCH($A41,'Mock Database'!$C$3:$C$152,0))))</f>
        <v/>
      </c>
      <c r="J41" s="89" t="str">
        <f ca="1">IF(ISNA(MATCH($A41,'Mock Database'!$C$3:$C$152,0)),"",IF(ISBLANK(OFFSET('Mock Database'!$AE$2,MATCH($A41,'Mock Database'!$C$3:$C$152,0),0)),"",INDEX('Mock Database'!$AE$3:$AE$152,MATCH($A41,'Mock Database'!$C$3:$C$152,0))))</f>
        <v/>
      </c>
      <c r="K41" s="22" t="str">
        <f ca="1">IF(ISNA(MATCH($A41,'Mock Database'!$C$3:$C$152,0)),"",IF(ISBLANK(OFFSET('Mock Database'!$AF$2,MATCH($A41,'Mock Database'!$C$3:$C$152,0),0)),"",INDEX('Mock Database'!$AF$3:$AF$152,MATCH($A41,'Mock Database'!$C$3:$C$152,0))))</f>
        <v/>
      </c>
      <c r="N41" t="e">
        <f t="shared" si="0"/>
        <v>#N/A</v>
      </c>
      <c r="O41" s="89" t="e">
        <f t="shared" ca="1" si="1"/>
        <v>#N/A</v>
      </c>
      <c r="P41" s="22" t="e">
        <f t="shared" ca="1" si="2"/>
        <v>#N/A</v>
      </c>
      <c r="Q41" s="89" t="e">
        <f t="shared" ca="1" si="3"/>
        <v>#N/A</v>
      </c>
      <c r="R41" s="22" t="e">
        <f t="shared" ca="1" si="4"/>
        <v>#N/A</v>
      </c>
      <c r="S41" s="89" t="e">
        <f t="shared" ca="1" si="5"/>
        <v>#N/A</v>
      </c>
      <c r="T41" s="22" t="e">
        <f t="shared" ca="1" si="6"/>
        <v>#N/A</v>
      </c>
      <c r="U41" s="89" t="e">
        <f t="shared" ca="1" si="7"/>
        <v>#N/A</v>
      </c>
      <c r="V41" s="22" t="e">
        <f t="shared" ca="1" si="8"/>
        <v>#N/A</v>
      </c>
      <c r="AM41" t="e">
        <f t="shared" si="9"/>
        <v>#N/A</v>
      </c>
      <c r="AN41" t="e">
        <f t="shared" ca="1" si="10"/>
        <v>#N/A</v>
      </c>
    </row>
    <row r="42" spans="1:40" ht="15" customHeight="1" x14ac:dyDescent="0.3">
      <c r="A42" s="87">
        <v>41</v>
      </c>
      <c r="B42" t="str">
        <f>IFERROR(INDEX('Mock Database'!$D$3:$D$152,MATCH($A42,'Mock Database'!$C$3:$C$152,0)),"")</f>
        <v/>
      </c>
      <c r="C42" s="88" t="str">
        <f>IFERROR(INDEX('Mock Database'!$I$3:$I$152,MATCH($A42,'Mock Database'!$C$3:$C$152,0)),"")</f>
        <v/>
      </c>
      <c r="D42" s="89" t="str">
        <f ca="1">IF(ISNA(MATCH($A42,'Mock Database'!$C$3:$C$152,0)),"",IF(ISBLANK(OFFSET('Mock Database'!$M$2,MATCH($A42,'Mock Database'!$C$3:$C$152,0),0)),"",INDEX('Mock Database'!$M$3:$M$152,MATCH($A42,'Mock Database'!$C$3:$C$152,0))))</f>
        <v/>
      </c>
      <c r="E42" s="22" t="str">
        <f ca="1">IF(ISNA(MATCH($A42,'Mock Database'!$C$3:$C$152,0)),"",IF(ISBLANK(OFFSET('Mock Database'!$N$2,MATCH($A42,'Mock Database'!$C$3:$C$152,0),0)),"",INDEX('Mock Database'!$N$3:$N$152,MATCH($A42,'Mock Database'!$C$3:$C$152,0))))</f>
        <v/>
      </c>
      <c r="F42" s="89" t="str">
        <f ca="1">IF(ISNA(MATCH($A42,'Mock Database'!$C$3:$C$152,0)),"",IF(ISBLANK(OFFSET('Mock Database'!$S$2,MATCH($A42,'Mock Database'!$C$3:$C$152,0),0)),"",INDEX('Mock Database'!$S$3:$S$152,MATCH($A42,'Mock Database'!$C$3:$C$152,0))))</f>
        <v/>
      </c>
      <c r="G42" s="22" t="str">
        <f ca="1">IF(ISNA(MATCH($A42,'Mock Database'!$C$3:$C$152,0)),"",IF(ISBLANK(OFFSET('Mock Database'!$T$2,MATCH($A42,'Mock Database'!$C$3:$C$152,0),0)),"",INDEX('Mock Database'!$T$3:$T$152,MATCH($A42,'Mock Database'!$C$3:$C$152,0))))</f>
        <v/>
      </c>
      <c r="H42" s="89" t="str">
        <f ca="1">IF(ISNA(MATCH($A42,'Mock Database'!$C$3:$C$152,0)),"",IF(ISBLANK(OFFSET('Mock Database'!$Y$2,MATCH($A42,'Mock Database'!$C$3:$C$152,0),0)),"",INDEX('Mock Database'!$Y$3:$Y$152,MATCH($A42,'Mock Database'!$C$3:$C$152,0))))</f>
        <v/>
      </c>
      <c r="I42" s="22" t="str">
        <f ca="1">IF(ISNA(MATCH($A42,'Mock Database'!$C$3:$C$152,0)),"",IF(ISBLANK(OFFSET('Mock Database'!$Z$2,MATCH($A42,'Mock Database'!$C$3:$C$152,0),0)),"",INDEX('Mock Database'!$Z$3:$Z$152,MATCH($A42,'Mock Database'!$C$3:$C$152,0))))</f>
        <v/>
      </c>
      <c r="J42" s="89" t="str">
        <f ca="1">IF(ISNA(MATCH($A42,'Mock Database'!$C$3:$C$152,0)),"",IF(ISBLANK(OFFSET('Mock Database'!$AE$2,MATCH($A42,'Mock Database'!$C$3:$C$152,0),0)),"",INDEX('Mock Database'!$AE$3:$AE$152,MATCH($A42,'Mock Database'!$C$3:$C$152,0))))</f>
        <v/>
      </c>
      <c r="K42" s="22" t="str">
        <f ca="1">IF(ISNA(MATCH($A42,'Mock Database'!$C$3:$C$152,0)),"",IF(ISBLANK(OFFSET('Mock Database'!$AF$2,MATCH($A42,'Mock Database'!$C$3:$C$152,0),0)),"",INDEX('Mock Database'!$AF$3:$AF$152,MATCH($A42,'Mock Database'!$C$3:$C$152,0))))</f>
        <v/>
      </c>
      <c r="N42" t="e">
        <f t="shared" si="0"/>
        <v>#N/A</v>
      </c>
      <c r="O42" s="89" t="e">
        <f t="shared" ca="1" si="1"/>
        <v>#N/A</v>
      </c>
      <c r="P42" s="22" t="e">
        <f t="shared" ca="1" si="2"/>
        <v>#N/A</v>
      </c>
      <c r="Q42" s="89" t="e">
        <f t="shared" ca="1" si="3"/>
        <v>#N/A</v>
      </c>
      <c r="R42" s="22" t="e">
        <f t="shared" ca="1" si="4"/>
        <v>#N/A</v>
      </c>
      <c r="S42" s="89" t="e">
        <f t="shared" ca="1" si="5"/>
        <v>#N/A</v>
      </c>
      <c r="T42" s="22" t="e">
        <f t="shared" ca="1" si="6"/>
        <v>#N/A</v>
      </c>
      <c r="U42" s="89" t="e">
        <f t="shared" ca="1" si="7"/>
        <v>#N/A</v>
      </c>
      <c r="V42" s="22" t="e">
        <f t="shared" ca="1" si="8"/>
        <v>#N/A</v>
      </c>
      <c r="AM42" t="e">
        <f t="shared" si="9"/>
        <v>#N/A</v>
      </c>
      <c r="AN42" t="e">
        <f t="shared" ca="1" si="10"/>
        <v>#N/A</v>
      </c>
    </row>
    <row r="43" spans="1:40" ht="15" customHeight="1" x14ac:dyDescent="0.3">
      <c r="A43" s="87">
        <v>42</v>
      </c>
      <c r="B43" t="str">
        <f>IFERROR(INDEX('Mock Database'!$D$3:$D$152,MATCH($A43,'Mock Database'!$C$3:$C$152,0)),"")</f>
        <v/>
      </c>
      <c r="C43" s="88" t="str">
        <f>IFERROR(INDEX('Mock Database'!$I$3:$I$152,MATCH($A43,'Mock Database'!$C$3:$C$152,0)),"")</f>
        <v/>
      </c>
      <c r="D43" s="89" t="str">
        <f ca="1">IF(ISNA(MATCH($A43,'Mock Database'!$C$3:$C$152,0)),"",IF(ISBLANK(OFFSET('Mock Database'!$M$2,MATCH($A43,'Mock Database'!$C$3:$C$152,0),0)),"",INDEX('Mock Database'!$M$3:$M$152,MATCH($A43,'Mock Database'!$C$3:$C$152,0))))</f>
        <v/>
      </c>
      <c r="E43" s="22" t="str">
        <f ca="1">IF(ISNA(MATCH($A43,'Mock Database'!$C$3:$C$152,0)),"",IF(ISBLANK(OFFSET('Mock Database'!$N$2,MATCH($A43,'Mock Database'!$C$3:$C$152,0),0)),"",INDEX('Mock Database'!$N$3:$N$152,MATCH($A43,'Mock Database'!$C$3:$C$152,0))))</f>
        <v/>
      </c>
      <c r="F43" s="89" t="str">
        <f ca="1">IF(ISNA(MATCH($A43,'Mock Database'!$C$3:$C$152,0)),"",IF(ISBLANK(OFFSET('Mock Database'!$S$2,MATCH($A43,'Mock Database'!$C$3:$C$152,0),0)),"",INDEX('Mock Database'!$S$3:$S$152,MATCH($A43,'Mock Database'!$C$3:$C$152,0))))</f>
        <v/>
      </c>
      <c r="G43" s="22" t="str">
        <f ca="1">IF(ISNA(MATCH($A43,'Mock Database'!$C$3:$C$152,0)),"",IF(ISBLANK(OFFSET('Mock Database'!$T$2,MATCH($A43,'Mock Database'!$C$3:$C$152,0),0)),"",INDEX('Mock Database'!$T$3:$T$152,MATCH($A43,'Mock Database'!$C$3:$C$152,0))))</f>
        <v/>
      </c>
      <c r="H43" s="89" t="str">
        <f ca="1">IF(ISNA(MATCH($A43,'Mock Database'!$C$3:$C$152,0)),"",IF(ISBLANK(OFFSET('Mock Database'!$Y$2,MATCH($A43,'Mock Database'!$C$3:$C$152,0),0)),"",INDEX('Mock Database'!$Y$3:$Y$152,MATCH($A43,'Mock Database'!$C$3:$C$152,0))))</f>
        <v/>
      </c>
      <c r="I43" s="22" t="str">
        <f ca="1">IF(ISNA(MATCH($A43,'Mock Database'!$C$3:$C$152,0)),"",IF(ISBLANK(OFFSET('Mock Database'!$Z$2,MATCH($A43,'Mock Database'!$C$3:$C$152,0),0)),"",INDEX('Mock Database'!$Z$3:$Z$152,MATCH($A43,'Mock Database'!$C$3:$C$152,0))))</f>
        <v/>
      </c>
      <c r="J43" s="89" t="str">
        <f ca="1">IF(ISNA(MATCH($A43,'Mock Database'!$C$3:$C$152,0)),"",IF(ISBLANK(OFFSET('Mock Database'!$AE$2,MATCH($A43,'Mock Database'!$C$3:$C$152,0),0)),"",INDEX('Mock Database'!$AE$3:$AE$152,MATCH($A43,'Mock Database'!$C$3:$C$152,0))))</f>
        <v/>
      </c>
      <c r="K43" s="22" t="str">
        <f ca="1">IF(ISNA(MATCH($A43,'Mock Database'!$C$3:$C$152,0)),"",IF(ISBLANK(OFFSET('Mock Database'!$AF$2,MATCH($A43,'Mock Database'!$C$3:$C$152,0),0)),"",INDEX('Mock Database'!$AF$3:$AF$152,MATCH($A43,'Mock Database'!$C$3:$C$152,0))))</f>
        <v/>
      </c>
      <c r="N43" t="e">
        <f t="shared" si="0"/>
        <v>#N/A</v>
      </c>
      <c r="O43" s="89" t="e">
        <f t="shared" ca="1" si="1"/>
        <v>#N/A</v>
      </c>
      <c r="P43" s="22" t="e">
        <f t="shared" ca="1" si="2"/>
        <v>#N/A</v>
      </c>
      <c r="Q43" s="89" t="e">
        <f t="shared" ca="1" si="3"/>
        <v>#N/A</v>
      </c>
      <c r="R43" s="22" t="e">
        <f t="shared" ca="1" si="4"/>
        <v>#N/A</v>
      </c>
      <c r="S43" s="89" t="e">
        <f t="shared" ca="1" si="5"/>
        <v>#N/A</v>
      </c>
      <c r="T43" s="22" t="e">
        <f t="shared" ca="1" si="6"/>
        <v>#N/A</v>
      </c>
      <c r="U43" s="89" t="e">
        <f t="shared" ca="1" si="7"/>
        <v>#N/A</v>
      </c>
      <c r="V43" s="22" t="e">
        <f t="shared" ca="1" si="8"/>
        <v>#N/A</v>
      </c>
      <c r="AM43" t="e">
        <f t="shared" si="9"/>
        <v>#N/A</v>
      </c>
      <c r="AN43" t="e">
        <f t="shared" ca="1" si="10"/>
        <v>#N/A</v>
      </c>
    </row>
    <row r="44" spans="1:40" ht="15" customHeight="1" x14ac:dyDescent="0.3">
      <c r="A44" s="87">
        <v>43</v>
      </c>
      <c r="B44" t="str">
        <f>IFERROR(INDEX('Mock Database'!$D$3:$D$152,MATCH($A44,'Mock Database'!$C$3:$C$152,0)),"")</f>
        <v/>
      </c>
      <c r="C44" s="88" t="str">
        <f>IFERROR(INDEX('Mock Database'!$I$3:$I$152,MATCH($A44,'Mock Database'!$C$3:$C$152,0)),"")</f>
        <v/>
      </c>
      <c r="D44" s="89" t="str">
        <f ca="1">IF(ISNA(MATCH($A44,'Mock Database'!$C$3:$C$152,0)),"",IF(ISBLANK(OFFSET('Mock Database'!$M$2,MATCH($A44,'Mock Database'!$C$3:$C$152,0),0)),"",INDEX('Mock Database'!$M$3:$M$152,MATCH($A44,'Mock Database'!$C$3:$C$152,0))))</f>
        <v/>
      </c>
      <c r="E44" s="22" t="str">
        <f ca="1">IF(ISNA(MATCH($A44,'Mock Database'!$C$3:$C$152,0)),"",IF(ISBLANK(OFFSET('Mock Database'!$N$2,MATCH($A44,'Mock Database'!$C$3:$C$152,0),0)),"",INDEX('Mock Database'!$N$3:$N$152,MATCH($A44,'Mock Database'!$C$3:$C$152,0))))</f>
        <v/>
      </c>
      <c r="F44" s="89" t="str">
        <f ca="1">IF(ISNA(MATCH($A44,'Mock Database'!$C$3:$C$152,0)),"",IF(ISBLANK(OFFSET('Mock Database'!$S$2,MATCH($A44,'Mock Database'!$C$3:$C$152,0),0)),"",INDEX('Mock Database'!$S$3:$S$152,MATCH($A44,'Mock Database'!$C$3:$C$152,0))))</f>
        <v/>
      </c>
      <c r="G44" s="22" t="str">
        <f ca="1">IF(ISNA(MATCH($A44,'Mock Database'!$C$3:$C$152,0)),"",IF(ISBLANK(OFFSET('Mock Database'!$T$2,MATCH($A44,'Mock Database'!$C$3:$C$152,0),0)),"",INDEX('Mock Database'!$T$3:$T$152,MATCH($A44,'Mock Database'!$C$3:$C$152,0))))</f>
        <v/>
      </c>
      <c r="H44" s="89" t="str">
        <f ca="1">IF(ISNA(MATCH($A44,'Mock Database'!$C$3:$C$152,0)),"",IF(ISBLANK(OFFSET('Mock Database'!$Y$2,MATCH($A44,'Mock Database'!$C$3:$C$152,0),0)),"",INDEX('Mock Database'!$Y$3:$Y$152,MATCH($A44,'Mock Database'!$C$3:$C$152,0))))</f>
        <v/>
      </c>
      <c r="I44" s="22" t="str">
        <f ca="1">IF(ISNA(MATCH($A44,'Mock Database'!$C$3:$C$152,0)),"",IF(ISBLANK(OFFSET('Mock Database'!$Z$2,MATCH($A44,'Mock Database'!$C$3:$C$152,0),0)),"",INDEX('Mock Database'!$Z$3:$Z$152,MATCH($A44,'Mock Database'!$C$3:$C$152,0))))</f>
        <v/>
      </c>
      <c r="J44" s="89" t="str">
        <f ca="1">IF(ISNA(MATCH($A44,'Mock Database'!$C$3:$C$152,0)),"",IF(ISBLANK(OFFSET('Mock Database'!$AE$2,MATCH($A44,'Mock Database'!$C$3:$C$152,0),0)),"",INDEX('Mock Database'!$AE$3:$AE$152,MATCH($A44,'Mock Database'!$C$3:$C$152,0))))</f>
        <v/>
      </c>
      <c r="K44" s="22" t="str">
        <f ca="1">IF(ISNA(MATCH($A44,'Mock Database'!$C$3:$C$152,0)),"",IF(ISBLANK(OFFSET('Mock Database'!$AF$2,MATCH($A44,'Mock Database'!$C$3:$C$152,0),0)),"",INDEX('Mock Database'!$AF$3:$AF$152,MATCH($A44,'Mock Database'!$C$3:$C$152,0))))</f>
        <v/>
      </c>
      <c r="N44" t="e">
        <f t="shared" si="0"/>
        <v>#N/A</v>
      </c>
      <c r="O44" s="89" t="e">
        <f t="shared" ca="1" si="1"/>
        <v>#N/A</v>
      </c>
      <c r="P44" s="22" t="e">
        <f t="shared" ca="1" si="2"/>
        <v>#N/A</v>
      </c>
      <c r="Q44" s="89" t="e">
        <f t="shared" ca="1" si="3"/>
        <v>#N/A</v>
      </c>
      <c r="R44" s="22" t="e">
        <f t="shared" ca="1" si="4"/>
        <v>#N/A</v>
      </c>
      <c r="S44" s="89" t="e">
        <f t="shared" ca="1" si="5"/>
        <v>#N/A</v>
      </c>
      <c r="T44" s="22" t="e">
        <f t="shared" ca="1" si="6"/>
        <v>#N/A</v>
      </c>
      <c r="U44" s="89" t="e">
        <f t="shared" ca="1" si="7"/>
        <v>#N/A</v>
      </c>
      <c r="V44" s="22" t="e">
        <f t="shared" ca="1" si="8"/>
        <v>#N/A</v>
      </c>
      <c r="AM44" t="e">
        <f t="shared" si="9"/>
        <v>#N/A</v>
      </c>
      <c r="AN44" t="e">
        <f t="shared" ca="1" si="10"/>
        <v>#N/A</v>
      </c>
    </row>
    <row r="45" spans="1:40" ht="15" customHeight="1" x14ac:dyDescent="0.3">
      <c r="A45" s="87">
        <v>44</v>
      </c>
      <c r="B45" t="str">
        <f>IFERROR(INDEX('Mock Database'!$D$3:$D$152,MATCH($A45,'Mock Database'!$C$3:$C$152,0)),"")</f>
        <v/>
      </c>
      <c r="C45" s="88" t="str">
        <f>IFERROR(INDEX('Mock Database'!$I$3:$I$152,MATCH($A45,'Mock Database'!$C$3:$C$152,0)),"")</f>
        <v/>
      </c>
      <c r="D45" s="89" t="str">
        <f ca="1">IF(ISNA(MATCH($A45,'Mock Database'!$C$3:$C$152,0)),"",IF(ISBLANK(OFFSET('Mock Database'!$M$2,MATCH($A45,'Mock Database'!$C$3:$C$152,0),0)),"",INDEX('Mock Database'!$M$3:$M$152,MATCH($A45,'Mock Database'!$C$3:$C$152,0))))</f>
        <v/>
      </c>
      <c r="E45" s="22" t="str">
        <f ca="1">IF(ISNA(MATCH($A45,'Mock Database'!$C$3:$C$152,0)),"",IF(ISBLANK(OFFSET('Mock Database'!$N$2,MATCH($A45,'Mock Database'!$C$3:$C$152,0),0)),"",INDEX('Mock Database'!$N$3:$N$152,MATCH($A45,'Mock Database'!$C$3:$C$152,0))))</f>
        <v/>
      </c>
      <c r="F45" s="89" t="str">
        <f ca="1">IF(ISNA(MATCH($A45,'Mock Database'!$C$3:$C$152,0)),"",IF(ISBLANK(OFFSET('Mock Database'!$S$2,MATCH($A45,'Mock Database'!$C$3:$C$152,0),0)),"",INDEX('Mock Database'!$S$3:$S$152,MATCH($A45,'Mock Database'!$C$3:$C$152,0))))</f>
        <v/>
      </c>
      <c r="G45" s="22" t="str">
        <f ca="1">IF(ISNA(MATCH($A45,'Mock Database'!$C$3:$C$152,0)),"",IF(ISBLANK(OFFSET('Mock Database'!$T$2,MATCH($A45,'Mock Database'!$C$3:$C$152,0),0)),"",INDEX('Mock Database'!$T$3:$T$152,MATCH($A45,'Mock Database'!$C$3:$C$152,0))))</f>
        <v/>
      </c>
      <c r="H45" s="89" t="str">
        <f ca="1">IF(ISNA(MATCH($A45,'Mock Database'!$C$3:$C$152,0)),"",IF(ISBLANK(OFFSET('Mock Database'!$Y$2,MATCH($A45,'Mock Database'!$C$3:$C$152,0),0)),"",INDEX('Mock Database'!$Y$3:$Y$152,MATCH($A45,'Mock Database'!$C$3:$C$152,0))))</f>
        <v/>
      </c>
      <c r="I45" s="22" t="str">
        <f ca="1">IF(ISNA(MATCH($A45,'Mock Database'!$C$3:$C$152,0)),"",IF(ISBLANK(OFFSET('Mock Database'!$Z$2,MATCH($A45,'Mock Database'!$C$3:$C$152,0),0)),"",INDEX('Mock Database'!$Z$3:$Z$152,MATCH($A45,'Mock Database'!$C$3:$C$152,0))))</f>
        <v/>
      </c>
      <c r="J45" s="89" t="str">
        <f ca="1">IF(ISNA(MATCH($A45,'Mock Database'!$C$3:$C$152,0)),"",IF(ISBLANK(OFFSET('Mock Database'!$AE$2,MATCH($A45,'Mock Database'!$C$3:$C$152,0),0)),"",INDEX('Mock Database'!$AE$3:$AE$152,MATCH($A45,'Mock Database'!$C$3:$C$152,0))))</f>
        <v/>
      </c>
      <c r="K45" s="22" t="str">
        <f ca="1">IF(ISNA(MATCH($A45,'Mock Database'!$C$3:$C$152,0)),"",IF(ISBLANK(OFFSET('Mock Database'!$AF$2,MATCH($A45,'Mock Database'!$C$3:$C$152,0),0)),"",INDEX('Mock Database'!$AF$3:$AF$152,MATCH($A45,'Mock Database'!$C$3:$C$152,0))))</f>
        <v/>
      </c>
      <c r="N45" t="e">
        <f t="shared" si="0"/>
        <v>#N/A</v>
      </c>
      <c r="O45" s="89" t="e">
        <f t="shared" ca="1" si="1"/>
        <v>#N/A</v>
      </c>
      <c r="P45" s="22" t="e">
        <f t="shared" ca="1" si="2"/>
        <v>#N/A</v>
      </c>
      <c r="Q45" s="89" t="e">
        <f t="shared" ca="1" si="3"/>
        <v>#N/A</v>
      </c>
      <c r="R45" s="22" t="e">
        <f t="shared" ca="1" si="4"/>
        <v>#N/A</v>
      </c>
      <c r="S45" s="89" t="e">
        <f t="shared" ca="1" si="5"/>
        <v>#N/A</v>
      </c>
      <c r="T45" s="22" t="e">
        <f t="shared" ca="1" si="6"/>
        <v>#N/A</v>
      </c>
      <c r="U45" s="89" t="e">
        <f t="shared" ca="1" si="7"/>
        <v>#N/A</v>
      </c>
      <c r="V45" s="22" t="e">
        <f t="shared" ca="1" si="8"/>
        <v>#N/A</v>
      </c>
      <c r="AM45" t="e">
        <f t="shared" si="9"/>
        <v>#N/A</v>
      </c>
      <c r="AN45" t="e">
        <f t="shared" ca="1" si="10"/>
        <v>#N/A</v>
      </c>
    </row>
    <row r="46" spans="1:40" ht="15" customHeight="1" x14ac:dyDescent="0.3">
      <c r="A46" s="87">
        <v>45</v>
      </c>
      <c r="B46" t="str">
        <f>IFERROR(INDEX('Mock Database'!$D$3:$D$152,MATCH($A46,'Mock Database'!$C$3:$C$152,0)),"")</f>
        <v/>
      </c>
      <c r="C46" s="88" t="str">
        <f>IFERROR(INDEX('Mock Database'!$I$3:$I$152,MATCH($A46,'Mock Database'!$C$3:$C$152,0)),"")</f>
        <v/>
      </c>
      <c r="D46" s="89" t="str">
        <f ca="1">IF(ISNA(MATCH($A46,'Mock Database'!$C$3:$C$152,0)),"",IF(ISBLANK(OFFSET('Mock Database'!$M$2,MATCH($A46,'Mock Database'!$C$3:$C$152,0),0)),"",INDEX('Mock Database'!$M$3:$M$152,MATCH($A46,'Mock Database'!$C$3:$C$152,0))))</f>
        <v/>
      </c>
      <c r="E46" s="22" t="str">
        <f ca="1">IF(ISNA(MATCH($A46,'Mock Database'!$C$3:$C$152,0)),"",IF(ISBLANK(OFFSET('Mock Database'!$N$2,MATCH($A46,'Mock Database'!$C$3:$C$152,0),0)),"",INDEX('Mock Database'!$N$3:$N$152,MATCH($A46,'Mock Database'!$C$3:$C$152,0))))</f>
        <v/>
      </c>
      <c r="F46" s="89" t="str">
        <f ca="1">IF(ISNA(MATCH($A46,'Mock Database'!$C$3:$C$152,0)),"",IF(ISBLANK(OFFSET('Mock Database'!$S$2,MATCH($A46,'Mock Database'!$C$3:$C$152,0),0)),"",INDEX('Mock Database'!$S$3:$S$152,MATCH($A46,'Mock Database'!$C$3:$C$152,0))))</f>
        <v/>
      </c>
      <c r="G46" s="22" t="str">
        <f ca="1">IF(ISNA(MATCH($A46,'Mock Database'!$C$3:$C$152,0)),"",IF(ISBLANK(OFFSET('Mock Database'!$T$2,MATCH($A46,'Mock Database'!$C$3:$C$152,0),0)),"",INDEX('Mock Database'!$T$3:$T$152,MATCH($A46,'Mock Database'!$C$3:$C$152,0))))</f>
        <v/>
      </c>
      <c r="H46" s="89" t="str">
        <f ca="1">IF(ISNA(MATCH($A46,'Mock Database'!$C$3:$C$152,0)),"",IF(ISBLANK(OFFSET('Mock Database'!$Y$2,MATCH($A46,'Mock Database'!$C$3:$C$152,0),0)),"",INDEX('Mock Database'!$Y$3:$Y$152,MATCH($A46,'Mock Database'!$C$3:$C$152,0))))</f>
        <v/>
      </c>
      <c r="I46" s="22" t="str">
        <f ca="1">IF(ISNA(MATCH($A46,'Mock Database'!$C$3:$C$152,0)),"",IF(ISBLANK(OFFSET('Mock Database'!$Z$2,MATCH($A46,'Mock Database'!$C$3:$C$152,0),0)),"",INDEX('Mock Database'!$Z$3:$Z$152,MATCH($A46,'Mock Database'!$C$3:$C$152,0))))</f>
        <v/>
      </c>
      <c r="J46" s="89" t="str">
        <f ca="1">IF(ISNA(MATCH($A46,'Mock Database'!$C$3:$C$152,0)),"",IF(ISBLANK(OFFSET('Mock Database'!$AE$2,MATCH($A46,'Mock Database'!$C$3:$C$152,0),0)),"",INDEX('Mock Database'!$AE$3:$AE$152,MATCH($A46,'Mock Database'!$C$3:$C$152,0))))</f>
        <v/>
      </c>
      <c r="K46" s="22" t="str">
        <f ca="1">IF(ISNA(MATCH($A46,'Mock Database'!$C$3:$C$152,0)),"",IF(ISBLANK(OFFSET('Mock Database'!$AF$2,MATCH($A46,'Mock Database'!$C$3:$C$152,0),0)),"",INDEX('Mock Database'!$AF$3:$AF$152,MATCH($A46,'Mock Database'!$C$3:$C$152,0))))</f>
        <v/>
      </c>
      <c r="N46" t="e">
        <f t="shared" si="0"/>
        <v>#N/A</v>
      </c>
      <c r="O46" s="89" t="e">
        <f t="shared" ca="1" si="1"/>
        <v>#N/A</v>
      </c>
      <c r="P46" s="22" t="e">
        <f t="shared" ca="1" si="2"/>
        <v>#N/A</v>
      </c>
      <c r="Q46" s="89" t="e">
        <f t="shared" ca="1" si="3"/>
        <v>#N/A</v>
      </c>
      <c r="R46" s="22" t="e">
        <f t="shared" ca="1" si="4"/>
        <v>#N/A</v>
      </c>
      <c r="S46" s="89" t="e">
        <f t="shared" ca="1" si="5"/>
        <v>#N/A</v>
      </c>
      <c r="T46" s="22" t="e">
        <f t="shared" ca="1" si="6"/>
        <v>#N/A</v>
      </c>
      <c r="U46" s="89" t="e">
        <f t="shared" ca="1" si="7"/>
        <v>#N/A</v>
      </c>
      <c r="V46" s="22" t="e">
        <f t="shared" ca="1" si="8"/>
        <v>#N/A</v>
      </c>
      <c r="AM46" t="e">
        <f t="shared" si="9"/>
        <v>#N/A</v>
      </c>
      <c r="AN46" t="e">
        <f t="shared" ca="1" si="10"/>
        <v>#N/A</v>
      </c>
    </row>
    <row r="47" spans="1:40" ht="15" customHeight="1" x14ac:dyDescent="0.3">
      <c r="A47" s="87">
        <v>46</v>
      </c>
      <c r="B47" t="str">
        <f>IFERROR(INDEX('Mock Database'!$D$3:$D$152,MATCH($A47,'Mock Database'!$C$3:$C$152,0)),"")</f>
        <v/>
      </c>
      <c r="C47" s="88" t="str">
        <f>IFERROR(INDEX('Mock Database'!$I$3:$I$152,MATCH($A47,'Mock Database'!$C$3:$C$152,0)),"")</f>
        <v/>
      </c>
      <c r="D47" s="89" t="str">
        <f ca="1">IF(ISNA(MATCH($A47,'Mock Database'!$C$3:$C$152,0)),"",IF(ISBLANK(OFFSET('Mock Database'!$M$2,MATCH($A47,'Mock Database'!$C$3:$C$152,0),0)),"",INDEX('Mock Database'!$M$3:$M$152,MATCH($A47,'Mock Database'!$C$3:$C$152,0))))</f>
        <v/>
      </c>
      <c r="E47" s="22" t="str">
        <f ca="1">IF(ISNA(MATCH($A47,'Mock Database'!$C$3:$C$152,0)),"",IF(ISBLANK(OFFSET('Mock Database'!$N$2,MATCH($A47,'Mock Database'!$C$3:$C$152,0),0)),"",INDEX('Mock Database'!$N$3:$N$152,MATCH($A47,'Mock Database'!$C$3:$C$152,0))))</f>
        <v/>
      </c>
      <c r="F47" s="89" t="str">
        <f ca="1">IF(ISNA(MATCH($A47,'Mock Database'!$C$3:$C$152,0)),"",IF(ISBLANK(OFFSET('Mock Database'!$S$2,MATCH($A47,'Mock Database'!$C$3:$C$152,0),0)),"",INDEX('Mock Database'!$S$3:$S$152,MATCH($A47,'Mock Database'!$C$3:$C$152,0))))</f>
        <v/>
      </c>
      <c r="G47" s="22" t="str">
        <f ca="1">IF(ISNA(MATCH($A47,'Mock Database'!$C$3:$C$152,0)),"",IF(ISBLANK(OFFSET('Mock Database'!$T$2,MATCH($A47,'Mock Database'!$C$3:$C$152,0),0)),"",INDEX('Mock Database'!$T$3:$T$152,MATCH($A47,'Mock Database'!$C$3:$C$152,0))))</f>
        <v/>
      </c>
      <c r="H47" s="89" t="str">
        <f ca="1">IF(ISNA(MATCH($A47,'Mock Database'!$C$3:$C$152,0)),"",IF(ISBLANK(OFFSET('Mock Database'!$Y$2,MATCH($A47,'Mock Database'!$C$3:$C$152,0),0)),"",INDEX('Mock Database'!$Y$3:$Y$152,MATCH($A47,'Mock Database'!$C$3:$C$152,0))))</f>
        <v/>
      </c>
      <c r="I47" s="22" t="str">
        <f ca="1">IF(ISNA(MATCH($A47,'Mock Database'!$C$3:$C$152,0)),"",IF(ISBLANK(OFFSET('Mock Database'!$Z$2,MATCH($A47,'Mock Database'!$C$3:$C$152,0),0)),"",INDEX('Mock Database'!$Z$3:$Z$152,MATCH($A47,'Mock Database'!$C$3:$C$152,0))))</f>
        <v/>
      </c>
      <c r="J47" s="89" t="str">
        <f ca="1">IF(ISNA(MATCH($A47,'Mock Database'!$C$3:$C$152,0)),"",IF(ISBLANK(OFFSET('Mock Database'!$AE$2,MATCH($A47,'Mock Database'!$C$3:$C$152,0),0)),"",INDEX('Mock Database'!$AE$3:$AE$152,MATCH($A47,'Mock Database'!$C$3:$C$152,0))))</f>
        <v/>
      </c>
      <c r="K47" s="22" t="str">
        <f ca="1">IF(ISNA(MATCH($A47,'Mock Database'!$C$3:$C$152,0)),"",IF(ISBLANK(OFFSET('Mock Database'!$AF$2,MATCH($A47,'Mock Database'!$C$3:$C$152,0),0)),"",INDEX('Mock Database'!$AF$3:$AF$152,MATCH($A47,'Mock Database'!$C$3:$C$152,0))))</f>
        <v/>
      </c>
      <c r="N47" t="e">
        <f t="shared" si="0"/>
        <v>#N/A</v>
      </c>
      <c r="O47" s="89" t="e">
        <f t="shared" ca="1" si="1"/>
        <v>#N/A</v>
      </c>
      <c r="P47" s="22" t="e">
        <f t="shared" ca="1" si="2"/>
        <v>#N/A</v>
      </c>
      <c r="Q47" s="89" t="e">
        <f t="shared" ca="1" si="3"/>
        <v>#N/A</v>
      </c>
      <c r="R47" s="22" t="e">
        <f t="shared" ca="1" si="4"/>
        <v>#N/A</v>
      </c>
      <c r="S47" s="89" t="e">
        <f t="shared" ca="1" si="5"/>
        <v>#N/A</v>
      </c>
      <c r="T47" s="22" t="e">
        <f t="shared" ca="1" si="6"/>
        <v>#N/A</v>
      </c>
      <c r="U47" s="89" t="e">
        <f t="shared" ca="1" si="7"/>
        <v>#N/A</v>
      </c>
      <c r="V47" s="22" t="e">
        <f t="shared" ca="1" si="8"/>
        <v>#N/A</v>
      </c>
      <c r="AM47" t="e">
        <f t="shared" si="9"/>
        <v>#N/A</v>
      </c>
      <c r="AN47" t="e">
        <f t="shared" ca="1" si="10"/>
        <v>#N/A</v>
      </c>
    </row>
    <row r="48" spans="1:40" ht="15" customHeight="1" x14ac:dyDescent="0.3">
      <c r="A48" s="87">
        <v>47</v>
      </c>
      <c r="B48" t="str">
        <f>IFERROR(INDEX('Mock Database'!$D$3:$D$152,MATCH($A48,'Mock Database'!$C$3:$C$152,0)),"")</f>
        <v/>
      </c>
      <c r="C48" s="88" t="str">
        <f>IFERROR(INDEX('Mock Database'!$I$3:$I$152,MATCH($A48,'Mock Database'!$C$3:$C$152,0)),"")</f>
        <v/>
      </c>
      <c r="D48" s="89" t="str">
        <f ca="1">IF(ISNA(MATCH($A48,'Mock Database'!$C$3:$C$152,0)),"",IF(ISBLANK(OFFSET('Mock Database'!$M$2,MATCH($A48,'Mock Database'!$C$3:$C$152,0),0)),"",INDEX('Mock Database'!$M$3:$M$152,MATCH($A48,'Mock Database'!$C$3:$C$152,0))))</f>
        <v/>
      </c>
      <c r="E48" s="22" t="str">
        <f ca="1">IF(ISNA(MATCH($A48,'Mock Database'!$C$3:$C$152,0)),"",IF(ISBLANK(OFFSET('Mock Database'!$N$2,MATCH($A48,'Mock Database'!$C$3:$C$152,0),0)),"",INDEX('Mock Database'!$N$3:$N$152,MATCH($A48,'Mock Database'!$C$3:$C$152,0))))</f>
        <v/>
      </c>
      <c r="F48" s="89" t="str">
        <f ca="1">IF(ISNA(MATCH($A48,'Mock Database'!$C$3:$C$152,0)),"",IF(ISBLANK(OFFSET('Mock Database'!$S$2,MATCH($A48,'Mock Database'!$C$3:$C$152,0),0)),"",INDEX('Mock Database'!$S$3:$S$152,MATCH($A48,'Mock Database'!$C$3:$C$152,0))))</f>
        <v/>
      </c>
      <c r="G48" s="22" t="str">
        <f ca="1">IF(ISNA(MATCH($A48,'Mock Database'!$C$3:$C$152,0)),"",IF(ISBLANK(OFFSET('Mock Database'!$T$2,MATCH($A48,'Mock Database'!$C$3:$C$152,0),0)),"",INDEX('Mock Database'!$T$3:$T$152,MATCH($A48,'Mock Database'!$C$3:$C$152,0))))</f>
        <v/>
      </c>
      <c r="H48" s="89" t="str">
        <f ca="1">IF(ISNA(MATCH($A48,'Mock Database'!$C$3:$C$152,0)),"",IF(ISBLANK(OFFSET('Mock Database'!$Y$2,MATCH($A48,'Mock Database'!$C$3:$C$152,0),0)),"",INDEX('Mock Database'!$Y$3:$Y$152,MATCH($A48,'Mock Database'!$C$3:$C$152,0))))</f>
        <v/>
      </c>
      <c r="I48" s="22" t="str">
        <f ca="1">IF(ISNA(MATCH($A48,'Mock Database'!$C$3:$C$152,0)),"",IF(ISBLANK(OFFSET('Mock Database'!$Z$2,MATCH($A48,'Mock Database'!$C$3:$C$152,0),0)),"",INDEX('Mock Database'!$Z$3:$Z$152,MATCH($A48,'Mock Database'!$C$3:$C$152,0))))</f>
        <v/>
      </c>
      <c r="J48" s="89" t="str">
        <f ca="1">IF(ISNA(MATCH($A48,'Mock Database'!$C$3:$C$152,0)),"",IF(ISBLANK(OFFSET('Mock Database'!$AE$2,MATCH($A48,'Mock Database'!$C$3:$C$152,0),0)),"",INDEX('Mock Database'!$AE$3:$AE$152,MATCH($A48,'Mock Database'!$C$3:$C$152,0))))</f>
        <v/>
      </c>
      <c r="K48" s="22" t="str">
        <f ca="1">IF(ISNA(MATCH($A48,'Mock Database'!$C$3:$C$152,0)),"",IF(ISBLANK(OFFSET('Mock Database'!$AF$2,MATCH($A48,'Mock Database'!$C$3:$C$152,0),0)),"",INDEX('Mock Database'!$AF$3:$AF$152,MATCH($A48,'Mock Database'!$C$3:$C$152,0))))</f>
        <v/>
      </c>
      <c r="N48" t="e">
        <f t="shared" si="0"/>
        <v>#N/A</v>
      </c>
      <c r="O48" s="89" t="e">
        <f t="shared" ca="1" si="1"/>
        <v>#N/A</v>
      </c>
      <c r="P48" s="22" t="e">
        <f t="shared" ca="1" si="2"/>
        <v>#N/A</v>
      </c>
      <c r="Q48" s="89" t="e">
        <f t="shared" ca="1" si="3"/>
        <v>#N/A</v>
      </c>
      <c r="R48" s="22" t="e">
        <f t="shared" ca="1" si="4"/>
        <v>#N/A</v>
      </c>
      <c r="S48" s="89" t="e">
        <f t="shared" ca="1" si="5"/>
        <v>#N/A</v>
      </c>
      <c r="T48" s="22" t="e">
        <f t="shared" ca="1" si="6"/>
        <v>#N/A</v>
      </c>
      <c r="U48" s="89" t="e">
        <f t="shared" ca="1" si="7"/>
        <v>#N/A</v>
      </c>
      <c r="V48" s="22" t="e">
        <f t="shared" ca="1" si="8"/>
        <v>#N/A</v>
      </c>
      <c r="AM48" t="e">
        <f t="shared" si="9"/>
        <v>#N/A</v>
      </c>
      <c r="AN48" t="e">
        <f t="shared" ca="1" si="10"/>
        <v>#N/A</v>
      </c>
    </row>
    <row r="49" spans="1:40" ht="15" customHeight="1" x14ac:dyDescent="0.3">
      <c r="A49" s="87">
        <v>48</v>
      </c>
      <c r="B49" t="str">
        <f>IFERROR(INDEX('Mock Database'!$D$3:$D$152,MATCH($A49,'Mock Database'!$C$3:$C$152,0)),"")</f>
        <v/>
      </c>
      <c r="C49" s="88" t="str">
        <f>IFERROR(INDEX('Mock Database'!$I$3:$I$152,MATCH($A49,'Mock Database'!$C$3:$C$152,0)),"")</f>
        <v/>
      </c>
      <c r="D49" s="89" t="str">
        <f ca="1">IF(ISNA(MATCH($A49,'Mock Database'!$C$3:$C$152,0)),"",IF(ISBLANK(OFFSET('Mock Database'!$M$2,MATCH($A49,'Mock Database'!$C$3:$C$152,0),0)),"",INDEX('Mock Database'!$M$3:$M$152,MATCH($A49,'Mock Database'!$C$3:$C$152,0))))</f>
        <v/>
      </c>
      <c r="E49" s="22" t="str">
        <f ca="1">IF(ISNA(MATCH($A49,'Mock Database'!$C$3:$C$152,0)),"",IF(ISBLANK(OFFSET('Mock Database'!$N$2,MATCH($A49,'Mock Database'!$C$3:$C$152,0),0)),"",INDEX('Mock Database'!$N$3:$N$152,MATCH($A49,'Mock Database'!$C$3:$C$152,0))))</f>
        <v/>
      </c>
      <c r="F49" s="89" t="str">
        <f ca="1">IF(ISNA(MATCH($A49,'Mock Database'!$C$3:$C$152,0)),"",IF(ISBLANK(OFFSET('Mock Database'!$S$2,MATCH($A49,'Mock Database'!$C$3:$C$152,0),0)),"",INDEX('Mock Database'!$S$3:$S$152,MATCH($A49,'Mock Database'!$C$3:$C$152,0))))</f>
        <v/>
      </c>
      <c r="G49" s="22" t="str">
        <f ca="1">IF(ISNA(MATCH($A49,'Mock Database'!$C$3:$C$152,0)),"",IF(ISBLANK(OFFSET('Mock Database'!$T$2,MATCH($A49,'Mock Database'!$C$3:$C$152,0),0)),"",INDEX('Mock Database'!$T$3:$T$152,MATCH($A49,'Mock Database'!$C$3:$C$152,0))))</f>
        <v/>
      </c>
      <c r="H49" s="89" t="str">
        <f ca="1">IF(ISNA(MATCH($A49,'Mock Database'!$C$3:$C$152,0)),"",IF(ISBLANK(OFFSET('Mock Database'!$Y$2,MATCH($A49,'Mock Database'!$C$3:$C$152,0),0)),"",INDEX('Mock Database'!$Y$3:$Y$152,MATCH($A49,'Mock Database'!$C$3:$C$152,0))))</f>
        <v/>
      </c>
      <c r="I49" s="22" t="str">
        <f ca="1">IF(ISNA(MATCH($A49,'Mock Database'!$C$3:$C$152,0)),"",IF(ISBLANK(OFFSET('Mock Database'!$Z$2,MATCH($A49,'Mock Database'!$C$3:$C$152,0),0)),"",INDEX('Mock Database'!$Z$3:$Z$152,MATCH($A49,'Mock Database'!$C$3:$C$152,0))))</f>
        <v/>
      </c>
      <c r="J49" s="89" t="str">
        <f ca="1">IF(ISNA(MATCH($A49,'Mock Database'!$C$3:$C$152,0)),"",IF(ISBLANK(OFFSET('Mock Database'!$AE$2,MATCH($A49,'Mock Database'!$C$3:$C$152,0),0)),"",INDEX('Mock Database'!$AE$3:$AE$152,MATCH($A49,'Mock Database'!$C$3:$C$152,0))))</f>
        <v/>
      </c>
      <c r="K49" s="22" t="str">
        <f ca="1">IF(ISNA(MATCH($A49,'Mock Database'!$C$3:$C$152,0)),"",IF(ISBLANK(OFFSET('Mock Database'!$AF$2,MATCH($A49,'Mock Database'!$C$3:$C$152,0),0)),"",INDEX('Mock Database'!$AF$3:$AF$152,MATCH($A49,'Mock Database'!$C$3:$C$152,0))))</f>
        <v/>
      </c>
      <c r="N49" t="e">
        <f t="shared" si="0"/>
        <v>#N/A</v>
      </c>
      <c r="O49" s="89" t="e">
        <f t="shared" ca="1" si="1"/>
        <v>#N/A</v>
      </c>
      <c r="P49" s="22" t="e">
        <f t="shared" ca="1" si="2"/>
        <v>#N/A</v>
      </c>
      <c r="Q49" s="89" t="e">
        <f t="shared" ca="1" si="3"/>
        <v>#N/A</v>
      </c>
      <c r="R49" s="22" t="e">
        <f t="shared" ca="1" si="4"/>
        <v>#N/A</v>
      </c>
      <c r="S49" s="89" t="e">
        <f t="shared" ca="1" si="5"/>
        <v>#N/A</v>
      </c>
      <c r="T49" s="22" t="e">
        <f t="shared" ca="1" si="6"/>
        <v>#N/A</v>
      </c>
      <c r="U49" s="89" t="e">
        <f t="shared" ca="1" si="7"/>
        <v>#N/A</v>
      </c>
      <c r="V49" s="22" t="e">
        <f t="shared" ca="1" si="8"/>
        <v>#N/A</v>
      </c>
      <c r="AM49" t="e">
        <f t="shared" si="9"/>
        <v>#N/A</v>
      </c>
      <c r="AN49" t="e">
        <f t="shared" ca="1" si="10"/>
        <v>#N/A</v>
      </c>
    </row>
    <row r="50" spans="1:40" ht="15" customHeight="1" x14ac:dyDescent="0.3">
      <c r="A50" s="87">
        <v>49</v>
      </c>
      <c r="B50" t="str">
        <f>IFERROR(INDEX('Mock Database'!$D$3:$D$152,MATCH($A50,'Mock Database'!$C$3:$C$152,0)),"")</f>
        <v/>
      </c>
      <c r="C50" s="88" t="str">
        <f>IFERROR(INDEX('Mock Database'!$I$3:$I$152,MATCH($A50,'Mock Database'!$C$3:$C$152,0)),"")</f>
        <v/>
      </c>
      <c r="D50" s="89" t="str">
        <f ca="1">IF(ISNA(MATCH($A50,'Mock Database'!$C$3:$C$152,0)),"",IF(ISBLANK(OFFSET('Mock Database'!$M$2,MATCH($A50,'Mock Database'!$C$3:$C$152,0),0)),"",INDEX('Mock Database'!$M$3:$M$152,MATCH($A50,'Mock Database'!$C$3:$C$152,0))))</f>
        <v/>
      </c>
      <c r="E50" s="22" t="str">
        <f ca="1">IF(ISNA(MATCH($A50,'Mock Database'!$C$3:$C$152,0)),"",IF(ISBLANK(OFFSET('Mock Database'!$N$2,MATCH($A50,'Mock Database'!$C$3:$C$152,0),0)),"",INDEX('Mock Database'!$N$3:$N$152,MATCH($A50,'Mock Database'!$C$3:$C$152,0))))</f>
        <v/>
      </c>
      <c r="F50" s="89" t="str">
        <f ca="1">IF(ISNA(MATCH($A50,'Mock Database'!$C$3:$C$152,0)),"",IF(ISBLANK(OFFSET('Mock Database'!$S$2,MATCH($A50,'Mock Database'!$C$3:$C$152,0),0)),"",INDEX('Mock Database'!$S$3:$S$152,MATCH($A50,'Mock Database'!$C$3:$C$152,0))))</f>
        <v/>
      </c>
      <c r="G50" s="22" t="str">
        <f ca="1">IF(ISNA(MATCH($A50,'Mock Database'!$C$3:$C$152,0)),"",IF(ISBLANK(OFFSET('Mock Database'!$T$2,MATCH($A50,'Mock Database'!$C$3:$C$152,0),0)),"",INDEX('Mock Database'!$T$3:$T$152,MATCH($A50,'Mock Database'!$C$3:$C$152,0))))</f>
        <v/>
      </c>
      <c r="H50" s="89" t="str">
        <f ca="1">IF(ISNA(MATCH($A50,'Mock Database'!$C$3:$C$152,0)),"",IF(ISBLANK(OFFSET('Mock Database'!$Y$2,MATCH($A50,'Mock Database'!$C$3:$C$152,0),0)),"",INDEX('Mock Database'!$Y$3:$Y$152,MATCH($A50,'Mock Database'!$C$3:$C$152,0))))</f>
        <v/>
      </c>
      <c r="I50" s="22" t="str">
        <f ca="1">IF(ISNA(MATCH($A50,'Mock Database'!$C$3:$C$152,0)),"",IF(ISBLANK(OFFSET('Mock Database'!$Z$2,MATCH($A50,'Mock Database'!$C$3:$C$152,0),0)),"",INDEX('Mock Database'!$Z$3:$Z$152,MATCH($A50,'Mock Database'!$C$3:$C$152,0))))</f>
        <v/>
      </c>
      <c r="J50" s="89" t="str">
        <f ca="1">IF(ISNA(MATCH($A50,'Mock Database'!$C$3:$C$152,0)),"",IF(ISBLANK(OFFSET('Mock Database'!$AE$2,MATCH($A50,'Mock Database'!$C$3:$C$152,0),0)),"",INDEX('Mock Database'!$AE$3:$AE$152,MATCH($A50,'Mock Database'!$C$3:$C$152,0))))</f>
        <v/>
      </c>
      <c r="K50" s="22" t="str">
        <f ca="1">IF(ISNA(MATCH($A50,'Mock Database'!$C$3:$C$152,0)),"",IF(ISBLANK(OFFSET('Mock Database'!$AF$2,MATCH($A50,'Mock Database'!$C$3:$C$152,0),0)),"",INDEX('Mock Database'!$AF$3:$AF$152,MATCH($A50,'Mock Database'!$C$3:$C$152,0))))</f>
        <v/>
      </c>
      <c r="N50" t="e">
        <f t="shared" si="0"/>
        <v>#N/A</v>
      </c>
      <c r="O50" s="89" t="e">
        <f t="shared" ca="1" si="1"/>
        <v>#N/A</v>
      </c>
      <c r="P50" s="22" t="e">
        <f t="shared" ca="1" si="2"/>
        <v>#N/A</v>
      </c>
      <c r="Q50" s="89" t="e">
        <f t="shared" ca="1" si="3"/>
        <v>#N/A</v>
      </c>
      <c r="R50" s="22" t="e">
        <f t="shared" ca="1" si="4"/>
        <v>#N/A</v>
      </c>
      <c r="S50" s="89" t="e">
        <f t="shared" ca="1" si="5"/>
        <v>#N/A</v>
      </c>
      <c r="T50" s="22" t="e">
        <f t="shared" ca="1" si="6"/>
        <v>#N/A</v>
      </c>
      <c r="U50" s="89" t="e">
        <f t="shared" ca="1" si="7"/>
        <v>#N/A</v>
      </c>
      <c r="V50" s="22" t="e">
        <f t="shared" ca="1" si="8"/>
        <v>#N/A</v>
      </c>
      <c r="AM50" t="e">
        <f t="shared" si="9"/>
        <v>#N/A</v>
      </c>
      <c r="AN50" t="e">
        <f t="shared" ca="1" si="10"/>
        <v>#N/A</v>
      </c>
    </row>
    <row r="51" spans="1:40" ht="15" customHeight="1" x14ac:dyDescent="0.3">
      <c r="A51" s="87">
        <v>50</v>
      </c>
      <c r="B51" t="str">
        <f>IFERROR(INDEX('Mock Database'!$D$3:$D$152,MATCH($A51,'Mock Database'!$C$3:$C$152,0)),"")</f>
        <v/>
      </c>
      <c r="C51" s="88" t="str">
        <f>IFERROR(INDEX('Mock Database'!$I$3:$I$152,MATCH($A51,'Mock Database'!$C$3:$C$152,0)),"")</f>
        <v/>
      </c>
      <c r="D51" s="89" t="str">
        <f ca="1">IF(ISNA(MATCH($A51,'Mock Database'!$C$3:$C$152,0)),"",IF(ISBLANK(OFFSET('Mock Database'!$M$2,MATCH($A51,'Mock Database'!$C$3:$C$152,0),0)),"",INDEX('Mock Database'!$M$3:$M$152,MATCH($A51,'Mock Database'!$C$3:$C$152,0))))</f>
        <v/>
      </c>
      <c r="E51" s="22" t="str">
        <f ca="1">IF(ISNA(MATCH($A51,'Mock Database'!$C$3:$C$152,0)),"",IF(ISBLANK(OFFSET('Mock Database'!$N$2,MATCH($A51,'Mock Database'!$C$3:$C$152,0),0)),"",INDEX('Mock Database'!$N$3:$N$152,MATCH($A51,'Mock Database'!$C$3:$C$152,0))))</f>
        <v/>
      </c>
      <c r="F51" s="89" t="str">
        <f ca="1">IF(ISNA(MATCH($A51,'Mock Database'!$C$3:$C$152,0)),"",IF(ISBLANK(OFFSET('Mock Database'!$S$2,MATCH($A51,'Mock Database'!$C$3:$C$152,0),0)),"",INDEX('Mock Database'!$S$3:$S$152,MATCH($A51,'Mock Database'!$C$3:$C$152,0))))</f>
        <v/>
      </c>
      <c r="G51" s="22" t="str">
        <f ca="1">IF(ISNA(MATCH($A51,'Mock Database'!$C$3:$C$152,0)),"",IF(ISBLANK(OFFSET('Mock Database'!$T$2,MATCH($A51,'Mock Database'!$C$3:$C$152,0),0)),"",INDEX('Mock Database'!$T$3:$T$152,MATCH($A51,'Mock Database'!$C$3:$C$152,0))))</f>
        <v/>
      </c>
      <c r="H51" s="89" t="str">
        <f ca="1">IF(ISNA(MATCH($A51,'Mock Database'!$C$3:$C$152,0)),"",IF(ISBLANK(OFFSET('Mock Database'!$Y$2,MATCH($A51,'Mock Database'!$C$3:$C$152,0),0)),"",INDEX('Mock Database'!$Y$3:$Y$152,MATCH($A51,'Mock Database'!$C$3:$C$152,0))))</f>
        <v/>
      </c>
      <c r="I51" s="22" t="str">
        <f ca="1">IF(ISNA(MATCH($A51,'Mock Database'!$C$3:$C$152,0)),"",IF(ISBLANK(OFFSET('Mock Database'!$Z$2,MATCH($A51,'Mock Database'!$C$3:$C$152,0),0)),"",INDEX('Mock Database'!$Z$3:$Z$152,MATCH($A51,'Mock Database'!$C$3:$C$152,0))))</f>
        <v/>
      </c>
      <c r="J51" s="89" t="str">
        <f ca="1">IF(ISNA(MATCH($A51,'Mock Database'!$C$3:$C$152,0)),"",IF(ISBLANK(OFFSET('Mock Database'!$AE$2,MATCH($A51,'Mock Database'!$C$3:$C$152,0),0)),"",INDEX('Mock Database'!$AE$3:$AE$152,MATCH($A51,'Mock Database'!$C$3:$C$152,0))))</f>
        <v/>
      </c>
      <c r="K51" s="22" t="str">
        <f ca="1">IF(ISNA(MATCH($A51,'Mock Database'!$C$3:$C$152,0)),"",IF(ISBLANK(OFFSET('Mock Database'!$AF$2,MATCH($A51,'Mock Database'!$C$3:$C$152,0),0)),"",INDEX('Mock Database'!$AF$3:$AF$152,MATCH($A51,'Mock Database'!$C$3:$C$152,0))))</f>
        <v/>
      </c>
      <c r="N51" t="e">
        <f t="shared" si="0"/>
        <v>#N/A</v>
      </c>
      <c r="O51" s="89" t="e">
        <f t="shared" ca="1" si="1"/>
        <v>#N/A</v>
      </c>
      <c r="P51" s="22" t="e">
        <f t="shared" ca="1" si="2"/>
        <v>#N/A</v>
      </c>
      <c r="Q51" s="89" t="e">
        <f t="shared" ca="1" si="3"/>
        <v>#N/A</v>
      </c>
      <c r="R51" s="22" t="e">
        <f t="shared" ca="1" si="4"/>
        <v>#N/A</v>
      </c>
      <c r="S51" s="89" t="e">
        <f t="shared" ca="1" si="5"/>
        <v>#N/A</v>
      </c>
      <c r="T51" s="22" t="e">
        <f t="shared" ca="1" si="6"/>
        <v>#N/A</v>
      </c>
      <c r="U51" s="89" t="e">
        <f t="shared" ca="1" si="7"/>
        <v>#N/A</v>
      </c>
      <c r="V51" s="22" t="e">
        <f t="shared" ca="1" si="8"/>
        <v>#N/A</v>
      </c>
      <c r="AM51" t="e">
        <f t="shared" si="9"/>
        <v>#N/A</v>
      </c>
      <c r="AN51" t="e">
        <f t="shared" ca="1" si="10"/>
        <v>#N/A</v>
      </c>
    </row>
    <row r="52" spans="1:40" ht="15" customHeight="1" x14ac:dyDescent="0.3">
      <c r="A52" s="87">
        <v>51</v>
      </c>
      <c r="B52" t="str">
        <f>IFERROR(INDEX('Mock Database'!$D$3:$D$152,MATCH($A52,'Mock Database'!$C$3:$C$152,0)),"")</f>
        <v/>
      </c>
      <c r="C52" s="88" t="str">
        <f>IFERROR(INDEX('Mock Database'!$I$3:$I$152,MATCH($A52,'Mock Database'!$C$3:$C$152,0)),"")</f>
        <v/>
      </c>
      <c r="D52" s="89" t="str">
        <f ca="1">IF(ISNA(MATCH($A52,'Mock Database'!$C$3:$C$152,0)),"",IF(ISBLANK(OFFSET('Mock Database'!$M$2,MATCH($A52,'Mock Database'!$C$3:$C$152,0),0)),"",INDEX('Mock Database'!$M$3:$M$152,MATCH($A52,'Mock Database'!$C$3:$C$152,0))))</f>
        <v/>
      </c>
      <c r="E52" s="22" t="str">
        <f ca="1">IF(ISNA(MATCH($A52,'Mock Database'!$C$3:$C$152,0)),"",IF(ISBLANK(OFFSET('Mock Database'!$N$2,MATCH($A52,'Mock Database'!$C$3:$C$152,0),0)),"",INDEX('Mock Database'!$N$3:$N$152,MATCH($A52,'Mock Database'!$C$3:$C$152,0))))</f>
        <v/>
      </c>
      <c r="F52" s="89" t="str">
        <f ca="1">IF(ISNA(MATCH($A52,'Mock Database'!$C$3:$C$152,0)),"",IF(ISBLANK(OFFSET('Mock Database'!$S$2,MATCH($A52,'Mock Database'!$C$3:$C$152,0),0)),"",INDEX('Mock Database'!$S$3:$S$152,MATCH($A52,'Mock Database'!$C$3:$C$152,0))))</f>
        <v/>
      </c>
      <c r="G52" s="22" t="str">
        <f ca="1">IF(ISNA(MATCH($A52,'Mock Database'!$C$3:$C$152,0)),"",IF(ISBLANK(OFFSET('Mock Database'!$T$2,MATCH($A52,'Mock Database'!$C$3:$C$152,0),0)),"",INDEX('Mock Database'!$T$3:$T$152,MATCH($A52,'Mock Database'!$C$3:$C$152,0))))</f>
        <v/>
      </c>
      <c r="H52" s="89" t="str">
        <f ca="1">IF(ISNA(MATCH($A52,'Mock Database'!$C$3:$C$152,0)),"",IF(ISBLANK(OFFSET('Mock Database'!$Y$2,MATCH($A52,'Mock Database'!$C$3:$C$152,0),0)),"",INDEX('Mock Database'!$Y$3:$Y$152,MATCH($A52,'Mock Database'!$C$3:$C$152,0))))</f>
        <v/>
      </c>
      <c r="I52" s="22" t="str">
        <f ca="1">IF(ISNA(MATCH($A52,'Mock Database'!$C$3:$C$152,0)),"",IF(ISBLANK(OFFSET('Mock Database'!$Z$2,MATCH($A52,'Mock Database'!$C$3:$C$152,0),0)),"",INDEX('Mock Database'!$Z$3:$Z$152,MATCH($A52,'Mock Database'!$C$3:$C$152,0))))</f>
        <v/>
      </c>
      <c r="J52" s="89" t="str">
        <f ca="1">IF(ISNA(MATCH($A52,'Mock Database'!$C$3:$C$152,0)),"",IF(ISBLANK(OFFSET('Mock Database'!$AE$2,MATCH($A52,'Mock Database'!$C$3:$C$152,0),0)),"",INDEX('Mock Database'!$AE$3:$AE$152,MATCH($A52,'Mock Database'!$C$3:$C$152,0))))</f>
        <v/>
      </c>
      <c r="K52" s="22" t="str">
        <f ca="1">IF(ISNA(MATCH($A52,'Mock Database'!$C$3:$C$152,0)),"",IF(ISBLANK(OFFSET('Mock Database'!$AF$2,MATCH($A52,'Mock Database'!$C$3:$C$152,0),0)),"",INDEX('Mock Database'!$AF$3:$AF$152,MATCH($A52,'Mock Database'!$C$3:$C$152,0))))</f>
        <v/>
      </c>
      <c r="N52" t="e">
        <f t="shared" si="0"/>
        <v>#N/A</v>
      </c>
      <c r="O52" s="89" t="e">
        <f t="shared" ca="1" si="1"/>
        <v>#N/A</v>
      </c>
      <c r="P52" s="22" t="e">
        <f t="shared" ca="1" si="2"/>
        <v>#N/A</v>
      </c>
      <c r="Q52" s="89" t="e">
        <f t="shared" ca="1" si="3"/>
        <v>#N/A</v>
      </c>
      <c r="R52" s="22" t="e">
        <f t="shared" ca="1" si="4"/>
        <v>#N/A</v>
      </c>
      <c r="S52" s="89" t="e">
        <f t="shared" ca="1" si="5"/>
        <v>#N/A</v>
      </c>
      <c r="T52" s="22" t="e">
        <f t="shared" ca="1" si="6"/>
        <v>#N/A</v>
      </c>
      <c r="U52" s="89" t="e">
        <f t="shared" ca="1" si="7"/>
        <v>#N/A</v>
      </c>
      <c r="V52" s="22" t="e">
        <f t="shared" ca="1" si="8"/>
        <v>#N/A</v>
      </c>
      <c r="AM52" t="e">
        <f t="shared" si="9"/>
        <v>#N/A</v>
      </c>
      <c r="AN52" t="e">
        <f t="shared" ca="1" si="10"/>
        <v>#N/A</v>
      </c>
    </row>
    <row r="53" spans="1:40" ht="15" customHeight="1" x14ac:dyDescent="0.3">
      <c r="A53" s="87">
        <v>52</v>
      </c>
      <c r="B53" t="str">
        <f>IFERROR(INDEX('Mock Database'!$D$3:$D$152,MATCH($A53,'Mock Database'!$C$3:$C$152,0)),"")</f>
        <v/>
      </c>
      <c r="C53" s="88" t="str">
        <f>IFERROR(INDEX('Mock Database'!$I$3:$I$152,MATCH($A53,'Mock Database'!$C$3:$C$152,0)),"")</f>
        <v/>
      </c>
      <c r="D53" s="89" t="str">
        <f ca="1">IF(ISNA(MATCH($A53,'Mock Database'!$C$3:$C$152,0)),"",IF(ISBLANK(OFFSET('Mock Database'!$M$2,MATCH($A53,'Mock Database'!$C$3:$C$152,0),0)),"",INDEX('Mock Database'!$M$3:$M$152,MATCH($A53,'Mock Database'!$C$3:$C$152,0))))</f>
        <v/>
      </c>
      <c r="E53" s="22" t="str">
        <f ca="1">IF(ISNA(MATCH($A53,'Mock Database'!$C$3:$C$152,0)),"",IF(ISBLANK(OFFSET('Mock Database'!$N$2,MATCH($A53,'Mock Database'!$C$3:$C$152,0),0)),"",INDEX('Mock Database'!$N$3:$N$152,MATCH($A53,'Mock Database'!$C$3:$C$152,0))))</f>
        <v/>
      </c>
      <c r="F53" s="89" t="str">
        <f ca="1">IF(ISNA(MATCH($A53,'Mock Database'!$C$3:$C$152,0)),"",IF(ISBLANK(OFFSET('Mock Database'!$S$2,MATCH($A53,'Mock Database'!$C$3:$C$152,0),0)),"",INDEX('Mock Database'!$S$3:$S$152,MATCH($A53,'Mock Database'!$C$3:$C$152,0))))</f>
        <v/>
      </c>
      <c r="G53" s="22" t="str">
        <f ca="1">IF(ISNA(MATCH($A53,'Mock Database'!$C$3:$C$152,0)),"",IF(ISBLANK(OFFSET('Mock Database'!$T$2,MATCH($A53,'Mock Database'!$C$3:$C$152,0),0)),"",INDEX('Mock Database'!$T$3:$T$152,MATCH($A53,'Mock Database'!$C$3:$C$152,0))))</f>
        <v/>
      </c>
      <c r="H53" s="89" t="str">
        <f ca="1">IF(ISNA(MATCH($A53,'Mock Database'!$C$3:$C$152,0)),"",IF(ISBLANK(OFFSET('Mock Database'!$Y$2,MATCH($A53,'Mock Database'!$C$3:$C$152,0),0)),"",INDEX('Mock Database'!$Y$3:$Y$152,MATCH($A53,'Mock Database'!$C$3:$C$152,0))))</f>
        <v/>
      </c>
      <c r="I53" s="22" t="str">
        <f ca="1">IF(ISNA(MATCH($A53,'Mock Database'!$C$3:$C$152,0)),"",IF(ISBLANK(OFFSET('Mock Database'!$Z$2,MATCH($A53,'Mock Database'!$C$3:$C$152,0),0)),"",INDEX('Mock Database'!$Z$3:$Z$152,MATCH($A53,'Mock Database'!$C$3:$C$152,0))))</f>
        <v/>
      </c>
      <c r="J53" s="89" t="str">
        <f ca="1">IF(ISNA(MATCH($A53,'Mock Database'!$C$3:$C$152,0)),"",IF(ISBLANK(OFFSET('Mock Database'!$AE$2,MATCH($A53,'Mock Database'!$C$3:$C$152,0),0)),"",INDEX('Mock Database'!$AE$3:$AE$152,MATCH($A53,'Mock Database'!$C$3:$C$152,0))))</f>
        <v/>
      </c>
      <c r="K53" s="22" t="str">
        <f ca="1">IF(ISNA(MATCH($A53,'Mock Database'!$C$3:$C$152,0)),"",IF(ISBLANK(OFFSET('Mock Database'!$AF$2,MATCH($A53,'Mock Database'!$C$3:$C$152,0),0)),"",INDEX('Mock Database'!$AF$3:$AF$152,MATCH($A53,'Mock Database'!$C$3:$C$152,0))))</f>
        <v/>
      </c>
      <c r="N53" t="e">
        <f t="shared" si="0"/>
        <v>#N/A</v>
      </c>
      <c r="O53" s="89" t="e">
        <f t="shared" ca="1" si="1"/>
        <v>#N/A</v>
      </c>
      <c r="P53" s="22" t="e">
        <f t="shared" ca="1" si="2"/>
        <v>#N/A</v>
      </c>
      <c r="Q53" s="89" t="e">
        <f t="shared" ca="1" si="3"/>
        <v>#N/A</v>
      </c>
      <c r="R53" s="22" t="e">
        <f t="shared" ca="1" si="4"/>
        <v>#N/A</v>
      </c>
      <c r="S53" s="89" t="e">
        <f t="shared" ca="1" si="5"/>
        <v>#N/A</v>
      </c>
      <c r="T53" s="22" t="e">
        <f t="shared" ca="1" si="6"/>
        <v>#N/A</v>
      </c>
      <c r="U53" s="89" t="e">
        <f t="shared" ca="1" si="7"/>
        <v>#N/A</v>
      </c>
      <c r="V53" s="22" t="e">
        <f t="shared" ca="1" si="8"/>
        <v>#N/A</v>
      </c>
      <c r="AM53" t="e">
        <f t="shared" si="9"/>
        <v>#N/A</v>
      </c>
      <c r="AN53" t="e">
        <f t="shared" ca="1" si="10"/>
        <v>#N/A</v>
      </c>
    </row>
    <row r="54" spans="1:40" ht="15" customHeight="1" x14ac:dyDescent="0.3">
      <c r="A54" s="87">
        <v>53</v>
      </c>
      <c r="B54" t="str">
        <f>IFERROR(INDEX('Mock Database'!$D$3:$D$152,MATCH($A54,'Mock Database'!$C$3:$C$152,0)),"")</f>
        <v/>
      </c>
      <c r="C54" s="88" t="str">
        <f>IFERROR(INDEX('Mock Database'!$I$3:$I$152,MATCH($A54,'Mock Database'!$C$3:$C$152,0)),"")</f>
        <v/>
      </c>
      <c r="D54" s="89" t="str">
        <f ca="1">IF(ISNA(MATCH($A54,'Mock Database'!$C$3:$C$152,0)),"",IF(ISBLANK(OFFSET('Mock Database'!$M$2,MATCH($A54,'Mock Database'!$C$3:$C$152,0),0)),"",INDEX('Mock Database'!$M$3:$M$152,MATCH($A54,'Mock Database'!$C$3:$C$152,0))))</f>
        <v/>
      </c>
      <c r="E54" s="22" t="str">
        <f ca="1">IF(ISNA(MATCH($A54,'Mock Database'!$C$3:$C$152,0)),"",IF(ISBLANK(OFFSET('Mock Database'!$N$2,MATCH($A54,'Mock Database'!$C$3:$C$152,0),0)),"",INDEX('Mock Database'!$N$3:$N$152,MATCH($A54,'Mock Database'!$C$3:$C$152,0))))</f>
        <v/>
      </c>
      <c r="F54" s="89" t="str">
        <f ca="1">IF(ISNA(MATCH($A54,'Mock Database'!$C$3:$C$152,0)),"",IF(ISBLANK(OFFSET('Mock Database'!$S$2,MATCH($A54,'Mock Database'!$C$3:$C$152,0),0)),"",INDEX('Mock Database'!$S$3:$S$152,MATCH($A54,'Mock Database'!$C$3:$C$152,0))))</f>
        <v/>
      </c>
      <c r="G54" s="22" t="str">
        <f ca="1">IF(ISNA(MATCH($A54,'Mock Database'!$C$3:$C$152,0)),"",IF(ISBLANK(OFFSET('Mock Database'!$T$2,MATCH($A54,'Mock Database'!$C$3:$C$152,0),0)),"",INDEX('Mock Database'!$T$3:$T$152,MATCH($A54,'Mock Database'!$C$3:$C$152,0))))</f>
        <v/>
      </c>
      <c r="H54" s="89" t="str">
        <f ca="1">IF(ISNA(MATCH($A54,'Mock Database'!$C$3:$C$152,0)),"",IF(ISBLANK(OFFSET('Mock Database'!$Y$2,MATCH($A54,'Mock Database'!$C$3:$C$152,0),0)),"",INDEX('Mock Database'!$Y$3:$Y$152,MATCH($A54,'Mock Database'!$C$3:$C$152,0))))</f>
        <v/>
      </c>
      <c r="I54" s="22" t="str">
        <f ca="1">IF(ISNA(MATCH($A54,'Mock Database'!$C$3:$C$152,0)),"",IF(ISBLANK(OFFSET('Mock Database'!$Z$2,MATCH($A54,'Mock Database'!$C$3:$C$152,0),0)),"",INDEX('Mock Database'!$Z$3:$Z$152,MATCH($A54,'Mock Database'!$C$3:$C$152,0))))</f>
        <v/>
      </c>
      <c r="J54" s="89" t="str">
        <f ca="1">IF(ISNA(MATCH($A54,'Mock Database'!$C$3:$C$152,0)),"",IF(ISBLANK(OFFSET('Mock Database'!$AE$2,MATCH($A54,'Mock Database'!$C$3:$C$152,0),0)),"",INDEX('Mock Database'!$AE$3:$AE$152,MATCH($A54,'Mock Database'!$C$3:$C$152,0))))</f>
        <v/>
      </c>
      <c r="K54" s="22" t="str">
        <f ca="1">IF(ISNA(MATCH($A54,'Mock Database'!$C$3:$C$152,0)),"",IF(ISBLANK(OFFSET('Mock Database'!$AF$2,MATCH($A54,'Mock Database'!$C$3:$C$152,0),0)),"",INDEX('Mock Database'!$AF$3:$AF$152,MATCH($A54,'Mock Database'!$C$3:$C$152,0))))</f>
        <v/>
      </c>
      <c r="N54" t="e">
        <f t="shared" si="0"/>
        <v>#N/A</v>
      </c>
      <c r="O54" s="89" t="e">
        <f t="shared" ca="1" si="1"/>
        <v>#N/A</v>
      </c>
      <c r="P54" s="22" t="e">
        <f t="shared" ca="1" si="2"/>
        <v>#N/A</v>
      </c>
      <c r="Q54" s="89" t="e">
        <f t="shared" ca="1" si="3"/>
        <v>#N/A</v>
      </c>
      <c r="R54" s="22" t="e">
        <f t="shared" ca="1" si="4"/>
        <v>#N/A</v>
      </c>
      <c r="S54" s="89" t="e">
        <f t="shared" ca="1" si="5"/>
        <v>#N/A</v>
      </c>
      <c r="T54" s="22" t="e">
        <f t="shared" ca="1" si="6"/>
        <v>#N/A</v>
      </c>
      <c r="U54" s="89" t="e">
        <f t="shared" ca="1" si="7"/>
        <v>#N/A</v>
      </c>
      <c r="V54" s="22" t="e">
        <f t="shared" ca="1" si="8"/>
        <v>#N/A</v>
      </c>
      <c r="AM54" t="e">
        <f t="shared" si="9"/>
        <v>#N/A</v>
      </c>
      <c r="AN54" t="e">
        <f t="shared" ca="1" si="10"/>
        <v>#N/A</v>
      </c>
    </row>
    <row r="55" spans="1:40" ht="15" customHeight="1" x14ac:dyDescent="0.3">
      <c r="A55" s="87">
        <v>54</v>
      </c>
      <c r="B55" t="str">
        <f>IFERROR(INDEX('Mock Database'!$D$3:$D$152,MATCH($A55,'Mock Database'!$C$3:$C$152,0)),"")</f>
        <v/>
      </c>
      <c r="C55" s="88" t="str">
        <f>IFERROR(INDEX('Mock Database'!$I$3:$I$152,MATCH($A55,'Mock Database'!$C$3:$C$152,0)),"")</f>
        <v/>
      </c>
      <c r="D55" s="89" t="str">
        <f ca="1">IF(ISNA(MATCH($A55,'Mock Database'!$C$3:$C$152,0)),"",IF(ISBLANK(OFFSET('Mock Database'!$M$2,MATCH($A55,'Mock Database'!$C$3:$C$152,0),0)),"",INDEX('Mock Database'!$M$3:$M$152,MATCH($A55,'Mock Database'!$C$3:$C$152,0))))</f>
        <v/>
      </c>
      <c r="E55" s="22" t="str">
        <f ca="1">IF(ISNA(MATCH($A55,'Mock Database'!$C$3:$C$152,0)),"",IF(ISBLANK(OFFSET('Mock Database'!$N$2,MATCH($A55,'Mock Database'!$C$3:$C$152,0),0)),"",INDEX('Mock Database'!$N$3:$N$152,MATCH($A55,'Mock Database'!$C$3:$C$152,0))))</f>
        <v/>
      </c>
      <c r="F55" s="89" t="str">
        <f ca="1">IF(ISNA(MATCH($A55,'Mock Database'!$C$3:$C$152,0)),"",IF(ISBLANK(OFFSET('Mock Database'!$S$2,MATCH($A55,'Mock Database'!$C$3:$C$152,0),0)),"",INDEX('Mock Database'!$S$3:$S$152,MATCH($A55,'Mock Database'!$C$3:$C$152,0))))</f>
        <v/>
      </c>
      <c r="G55" s="22" t="str">
        <f ca="1">IF(ISNA(MATCH($A55,'Mock Database'!$C$3:$C$152,0)),"",IF(ISBLANK(OFFSET('Mock Database'!$T$2,MATCH($A55,'Mock Database'!$C$3:$C$152,0),0)),"",INDEX('Mock Database'!$T$3:$T$152,MATCH($A55,'Mock Database'!$C$3:$C$152,0))))</f>
        <v/>
      </c>
      <c r="H55" s="89" t="str">
        <f ca="1">IF(ISNA(MATCH($A55,'Mock Database'!$C$3:$C$152,0)),"",IF(ISBLANK(OFFSET('Mock Database'!$Y$2,MATCH($A55,'Mock Database'!$C$3:$C$152,0),0)),"",INDEX('Mock Database'!$Y$3:$Y$152,MATCH($A55,'Mock Database'!$C$3:$C$152,0))))</f>
        <v/>
      </c>
      <c r="I55" s="22" t="str">
        <f ca="1">IF(ISNA(MATCH($A55,'Mock Database'!$C$3:$C$152,0)),"",IF(ISBLANK(OFFSET('Mock Database'!$Z$2,MATCH($A55,'Mock Database'!$C$3:$C$152,0),0)),"",INDEX('Mock Database'!$Z$3:$Z$152,MATCH($A55,'Mock Database'!$C$3:$C$152,0))))</f>
        <v/>
      </c>
      <c r="J55" s="89" t="str">
        <f ca="1">IF(ISNA(MATCH($A55,'Mock Database'!$C$3:$C$152,0)),"",IF(ISBLANK(OFFSET('Mock Database'!$AE$2,MATCH($A55,'Mock Database'!$C$3:$C$152,0),0)),"",INDEX('Mock Database'!$AE$3:$AE$152,MATCH($A55,'Mock Database'!$C$3:$C$152,0))))</f>
        <v/>
      </c>
      <c r="K55" s="22" t="str">
        <f ca="1">IF(ISNA(MATCH($A55,'Mock Database'!$C$3:$C$152,0)),"",IF(ISBLANK(OFFSET('Mock Database'!$AF$2,MATCH($A55,'Mock Database'!$C$3:$C$152,0),0)),"",INDEX('Mock Database'!$AF$3:$AF$152,MATCH($A55,'Mock Database'!$C$3:$C$152,0))))</f>
        <v/>
      </c>
      <c r="N55" t="e">
        <f t="shared" si="0"/>
        <v>#N/A</v>
      </c>
      <c r="O55" s="89" t="e">
        <f t="shared" ca="1" si="1"/>
        <v>#N/A</v>
      </c>
      <c r="P55" s="22" t="e">
        <f t="shared" ca="1" si="2"/>
        <v>#N/A</v>
      </c>
      <c r="Q55" s="89" t="e">
        <f t="shared" ca="1" si="3"/>
        <v>#N/A</v>
      </c>
      <c r="R55" s="22" t="e">
        <f t="shared" ca="1" si="4"/>
        <v>#N/A</v>
      </c>
      <c r="S55" s="89" t="e">
        <f t="shared" ca="1" si="5"/>
        <v>#N/A</v>
      </c>
      <c r="T55" s="22" t="e">
        <f t="shared" ca="1" si="6"/>
        <v>#N/A</v>
      </c>
      <c r="U55" s="89" t="e">
        <f t="shared" ca="1" si="7"/>
        <v>#N/A</v>
      </c>
      <c r="V55" s="22" t="e">
        <f t="shared" ca="1" si="8"/>
        <v>#N/A</v>
      </c>
      <c r="AM55" t="e">
        <f t="shared" si="9"/>
        <v>#N/A</v>
      </c>
      <c r="AN55" t="e">
        <f t="shared" ca="1" si="10"/>
        <v>#N/A</v>
      </c>
    </row>
    <row r="56" spans="1:40" ht="15" customHeight="1" x14ac:dyDescent="0.3">
      <c r="A56" s="87">
        <v>55</v>
      </c>
      <c r="B56" t="str">
        <f>IFERROR(INDEX('Mock Database'!$D$3:$D$152,MATCH($A56,'Mock Database'!$C$3:$C$152,0)),"")</f>
        <v/>
      </c>
      <c r="C56" s="88" t="str">
        <f>IFERROR(INDEX('Mock Database'!$I$3:$I$152,MATCH($A56,'Mock Database'!$C$3:$C$152,0)),"")</f>
        <v/>
      </c>
      <c r="D56" s="89" t="str">
        <f ca="1">IF(ISNA(MATCH($A56,'Mock Database'!$C$3:$C$152,0)),"",IF(ISBLANK(OFFSET('Mock Database'!$M$2,MATCH($A56,'Mock Database'!$C$3:$C$152,0),0)),"",INDEX('Mock Database'!$M$3:$M$152,MATCH($A56,'Mock Database'!$C$3:$C$152,0))))</f>
        <v/>
      </c>
      <c r="E56" s="22" t="str">
        <f ca="1">IF(ISNA(MATCH($A56,'Mock Database'!$C$3:$C$152,0)),"",IF(ISBLANK(OFFSET('Mock Database'!$N$2,MATCH($A56,'Mock Database'!$C$3:$C$152,0),0)),"",INDEX('Mock Database'!$N$3:$N$152,MATCH($A56,'Mock Database'!$C$3:$C$152,0))))</f>
        <v/>
      </c>
      <c r="F56" s="89" t="str">
        <f ca="1">IF(ISNA(MATCH($A56,'Mock Database'!$C$3:$C$152,0)),"",IF(ISBLANK(OFFSET('Mock Database'!$S$2,MATCH($A56,'Mock Database'!$C$3:$C$152,0),0)),"",INDEX('Mock Database'!$S$3:$S$152,MATCH($A56,'Mock Database'!$C$3:$C$152,0))))</f>
        <v/>
      </c>
      <c r="G56" s="22" t="str">
        <f ca="1">IF(ISNA(MATCH($A56,'Mock Database'!$C$3:$C$152,0)),"",IF(ISBLANK(OFFSET('Mock Database'!$T$2,MATCH($A56,'Mock Database'!$C$3:$C$152,0),0)),"",INDEX('Mock Database'!$T$3:$T$152,MATCH($A56,'Mock Database'!$C$3:$C$152,0))))</f>
        <v/>
      </c>
      <c r="H56" s="89" t="str">
        <f ca="1">IF(ISNA(MATCH($A56,'Mock Database'!$C$3:$C$152,0)),"",IF(ISBLANK(OFFSET('Mock Database'!$Y$2,MATCH($A56,'Mock Database'!$C$3:$C$152,0),0)),"",INDEX('Mock Database'!$Y$3:$Y$152,MATCH($A56,'Mock Database'!$C$3:$C$152,0))))</f>
        <v/>
      </c>
      <c r="I56" s="22" t="str">
        <f ca="1">IF(ISNA(MATCH($A56,'Mock Database'!$C$3:$C$152,0)),"",IF(ISBLANK(OFFSET('Mock Database'!$Z$2,MATCH($A56,'Mock Database'!$C$3:$C$152,0),0)),"",INDEX('Mock Database'!$Z$3:$Z$152,MATCH($A56,'Mock Database'!$C$3:$C$152,0))))</f>
        <v/>
      </c>
      <c r="J56" s="89" t="str">
        <f ca="1">IF(ISNA(MATCH($A56,'Mock Database'!$C$3:$C$152,0)),"",IF(ISBLANK(OFFSET('Mock Database'!$AE$2,MATCH($A56,'Mock Database'!$C$3:$C$152,0),0)),"",INDEX('Mock Database'!$AE$3:$AE$152,MATCH($A56,'Mock Database'!$C$3:$C$152,0))))</f>
        <v/>
      </c>
      <c r="K56" s="22" t="str">
        <f ca="1">IF(ISNA(MATCH($A56,'Mock Database'!$C$3:$C$152,0)),"",IF(ISBLANK(OFFSET('Mock Database'!$AF$2,MATCH($A56,'Mock Database'!$C$3:$C$152,0),0)),"",INDEX('Mock Database'!$AF$3:$AF$152,MATCH($A56,'Mock Database'!$C$3:$C$152,0))))</f>
        <v/>
      </c>
      <c r="N56" t="e">
        <f t="shared" si="0"/>
        <v>#N/A</v>
      </c>
      <c r="O56" s="89" t="e">
        <f t="shared" ca="1" si="1"/>
        <v>#N/A</v>
      </c>
      <c r="P56" s="22" t="e">
        <f t="shared" ca="1" si="2"/>
        <v>#N/A</v>
      </c>
      <c r="Q56" s="89" t="e">
        <f t="shared" ca="1" si="3"/>
        <v>#N/A</v>
      </c>
      <c r="R56" s="22" t="e">
        <f t="shared" ca="1" si="4"/>
        <v>#N/A</v>
      </c>
      <c r="S56" s="89" t="e">
        <f t="shared" ca="1" si="5"/>
        <v>#N/A</v>
      </c>
      <c r="T56" s="22" t="e">
        <f t="shared" ca="1" si="6"/>
        <v>#N/A</v>
      </c>
      <c r="U56" s="89" t="e">
        <f t="shared" ca="1" si="7"/>
        <v>#N/A</v>
      </c>
      <c r="V56" s="22" t="e">
        <f t="shared" ca="1" si="8"/>
        <v>#N/A</v>
      </c>
      <c r="AM56" t="e">
        <f t="shared" si="9"/>
        <v>#N/A</v>
      </c>
      <c r="AN56" t="e">
        <f t="shared" ca="1" si="10"/>
        <v>#N/A</v>
      </c>
    </row>
    <row r="57" spans="1:40" ht="15" customHeight="1" x14ac:dyDescent="0.3">
      <c r="A57" s="87">
        <v>56</v>
      </c>
      <c r="B57" t="str">
        <f>IFERROR(INDEX('Mock Database'!$D$3:$D$152,MATCH($A57,'Mock Database'!$C$3:$C$152,0)),"")</f>
        <v/>
      </c>
      <c r="C57" s="88" t="str">
        <f>IFERROR(INDEX('Mock Database'!$I$3:$I$152,MATCH($A57,'Mock Database'!$C$3:$C$152,0)),"")</f>
        <v/>
      </c>
      <c r="D57" s="89" t="str">
        <f ca="1">IF(ISNA(MATCH($A57,'Mock Database'!$C$3:$C$152,0)),"",IF(ISBLANK(OFFSET('Mock Database'!$M$2,MATCH($A57,'Mock Database'!$C$3:$C$152,0),0)),"",INDEX('Mock Database'!$M$3:$M$152,MATCH($A57,'Mock Database'!$C$3:$C$152,0))))</f>
        <v/>
      </c>
      <c r="E57" s="22" t="str">
        <f ca="1">IF(ISNA(MATCH($A57,'Mock Database'!$C$3:$C$152,0)),"",IF(ISBLANK(OFFSET('Mock Database'!$N$2,MATCH($A57,'Mock Database'!$C$3:$C$152,0),0)),"",INDEX('Mock Database'!$N$3:$N$152,MATCH($A57,'Mock Database'!$C$3:$C$152,0))))</f>
        <v/>
      </c>
      <c r="F57" s="89" t="str">
        <f ca="1">IF(ISNA(MATCH($A57,'Mock Database'!$C$3:$C$152,0)),"",IF(ISBLANK(OFFSET('Mock Database'!$S$2,MATCH($A57,'Mock Database'!$C$3:$C$152,0),0)),"",INDEX('Mock Database'!$S$3:$S$152,MATCH($A57,'Mock Database'!$C$3:$C$152,0))))</f>
        <v/>
      </c>
      <c r="G57" s="22" t="str">
        <f ca="1">IF(ISNA(MATCH($A57,'Mock Database'!$C$3:$C$152,0)),"",IF(ISBLANK(OFFSET('Mock Database'!$T$2,MATCH($A57,'Mock Database'!$C$3:$C$152,0),0)),"",INDEX('Mock Database'!$T$3:$T$152,MATCH($A57,'Mock Database'!$C$3:$C$152,0))))</f>
        <v/>
      </c>
      <c r="H57" s="89" t="str">
        <f ca="1">IF(ISNA(MATCH($A57,'Mock Database'!$C$3:$C$152,0)),"",IF(ISBLANK(OFFSET('Mock Database'!$Y$2,MATCH($A57,'Mock Database'!$C$3:$C$152,0),0)),"",INDEX('Mock Database'!$Y$3:$Y$152,MATCH($A57,'Mock Database'!$C$3:$C$152,0))))</f>
        <v/>
      </c>
      <c r="I57" s="22" t="str">
        <f ca="1">IF(ISNA(MATCH($A57,'Mock Database'!$C$3:$C$152,0)),"",IF(ISBLANK(OFFSET('Mock Database'!$Z$2,MATCH($A57,'Mock Database'!$C$3:$C$152,0),0)),"",INDEX('Mock Database'!$Z$3:$Z$152,MATCH($A57,'Mock Database'!$C$3:$C$152,0))))</f>
        <v/>
      </c>
      <c r="J57" s="89" t="str">
        <f ca="1">IF(ISNA(MATCH($A57,'Mock Database'!$C$3:$C$152,0)),"",IF(ISBLANK(OFFSET('Mock Database'!$AE$2,MATCH($A57,'Mock Database'!$C$3:$C$152,0),0)),"",INDEX('Mock Database'!$AE$3:$AE$152,MATCH($A57,'Mock Database'!$C$3:$C$152,0))))</f>
        <v/>
      </c>
      <c r="K57" s="22" t="str">
        <f ca="1">IF(ISNA(MATCH($A57,'Mock Database'!$C$3:$C$152,0)),"",IF(ISBLANK(OFFSET('Mock Database'!$AF$2,MATCH($A57,'Mock Database'!$C$3:$C$152,0),0)),"",INDEX('Mock Database'!$AF$3:$AF$152,MATCH($A57,'Mock Database'!$C$3:$C$152,0))))</f>
        <v/>
      </c>
      <c r="N57" t="e">
        <f t="shared" si="0"/>
        <v>#N/A</v>
      </c>
      <c r="O57" s="89" t="e">
        <f t="shared" ca="1" si="1"/>
        <v>#N/A</v>
      </c>
      <c r="P57" s="22" t="e">
        <f t="shared" ca="1" si="2"/>
        <v>#N/A</v>
      </c>
      <c r="Q57" s="89" t="e">
        <f t="shared" ca="1" si="3"/>
        <v>#N/A</v>
      </c>
      <c r="R57" s="22" t="e">
        <f t="shared" ca="1" si="4"/>
        <v>#N/A</v>
      </c>
      <c r="S57" s="89" t="e">
        <f t="shared" ca="1" si="5"/>
        <v>#N/A</v>
      </c>
      <c r="T57" s="22" t="e">
        <f t="shared" ca="1" si="6"/>
        <v>#N/A</v>
      </c>
      <c r="U57" s="89" t="e">
        <f t="shared" ca="1" si="7"/>
        <v>#N/A</v>
      </c>
      <c r="V57" s="22" t="e">
        <f t="shared" ca="1" si="8"/>
        <v>#N/A</v>
      </c>
      <c r="AM57" t="e">
        <f t="shared" si="9"/>
        <v>#N/A</v>
      </c>
      <c r="AN57" t="e">
        <f t="shared" ca="1" si="10"/>
        <v>#N/A</v>
      </c>
    </row>
    <row r="58" spans="1:40" ht="15" customHeight="1" x14ac:dyDescent="0.3">
      <c r="A58" s="87">
        <v>57</v>
      </c>
      <c r="B58" t="str">
        <f>IFERROR(INDEX('Mock Database'!$D$3:$D$152,MATCH($A58,'Mock Database'!$C$3:$C$152,0)),"")</f>
        <v/>
      </c>
      <c r="C58" s="88" t="str">
        <f>IFERROR(INDEX('Mock Database'!$I$3:$I$152,MATCH($A58,'Mock Database'!$C$3:$C$152,0)),"")</f>
        <v/>
      </c>
      <c r="D58" s="89" t="str">
        <f ca="1">IF(ISNA(MATCH($A58,'Mock Database'!$C$3:$C$152,0)),"",IF(ISBLANK(OFFSET('Mock Database'!$M$2,MATCH($A58,'Mock Database'!$C$3:$C$152,0),0)),"",INDEX('Mock Database'!$M$3:$M$152,MATCH($A58,'Mock Database'!$C$3:$C$152,0))))</f>
        <v/>
      </c>
      <c r="E58" s="22" t="str">
        <f ca="1">IF(ISNA(MATCH($A58,'Mock Database'!$C$3:$C$152,0)),"",IF(ISBLANK(OFFSET('Mock Database'!$N$2,MATCH($A58,'Mock Database'!$C$3:$C$152,0),0)),"",INDEX('Mock Database'!$N$3:$N$152,MATCH($A58,'Mock Database'!$C$3:$C$152,0))))</f>
        <v/>
      </c>
      <c r="F58" s="89" t="str">
        <f ca="1">IF(ISNA(MATCH($A58,'Mock Database'!$C$3:$C$152,0)),"",IF(ISBLANK(OFFSET('Mock Database'!$S$2,MATCH($A58,'Mock Database'!$C$3:$C$152,0),0)),"",INDEX('Mock Database'!$S$3:$S$152,MATCH($A58,'Mock Database'!$C$3:$C$152,0))))</f>
        <v/>
      </c>
      <c r="G58" s="22" t="str">
        <f ca="1">IF(ISNA(MATCH($A58,'Mock Database'!$C$3:$C$152,0)),"",IF(ISBLANK(OFFSET('Mock Database'!$T$2,MATCH($A58,'Mock Database'!$C$3:$C$152,0),0)),"",INDEX('Mock Database'!$T$3:$T$152,MATCH($A58,'Mock Database'!$C$3:$C$152,0))))</f>
        <v/>
      </c>
      <c r="H58" s="89" t="str">
        <f ca="1">IF(ISNA(MATCH($A58,'Mock Database'!$C$3:$C$152,0)),"",IF(ISBLANK(OFFSET('Mock Database'!$Y$2,MATCH($A58,'Mock Database'!$C$3:$C$152,0),0)),"",INDEX('Mock Database'!$Y$3:$Y$152,MATCH($A58,'Mock Database'!$C$3:$C$152,0))))</f>
        <v/>
      </c>
      <c r="I58" s="22" t="str">
        <f ca="1">IF(ISNA(MATCH($A58,'Mock Database'!$C$3:$C$152,0)),"",IF(ISBLANK(OFFSET('Mock Database'!$Z$2,MATCH($A58,'Mock Database'!$C$3:$C$152,0),0)),"",INDEX('Mock Database'!$Z$3:$Z$152,MATCH($A58,'Mock Database'!$C$3:$C$152,0))))</f>
        <v/>
      </c>
      <c r="J58" s="89" t="str">
        <f ca="1">IF(ISNA(MATCH($A58,'Mock Database'!$C$3:$C$152,0)),"",IF(ISBLANK(OFFSET('Mock Database'!$AE$2,MATCH($A58,'Mock Database'!$C$3:$C$152,0),0)),"",INDEX('Mock Database'!$AE$3:$AE$152,MATCH($A58,'Mock Database'!$C$3:$C$152,0))))</f>
        <v/>
      </c>
      <c r="K58" s="22" t="str">
        <f ca="1">IF(ISNA(MATCH($A58,'Mock Database'!$C$3:$C$152,0)),"",IF(ISBLANK(OFFSET('Mock Database'!$AF$2,MATCH($A58,'Mock Database'!$C$3:$C$152,0),0)),"",INDEX('Mock Database'!$AF$3:$AF$152,MATCH($A58,'Mock Database'!$C$3:$C$152,0))))</f>
        <v/>
      </c>
      <c r="N58" t="e">
        <f t="shared" si="0"/>
        <v>#N/A</v>
      </c>
      <c r="O58" s="89" t="e">
        <f t="shared" ca="1" si="1"/>
        <v>#N/A</v>
      </c>
      <c r="P58" s="22" t="e">
        <f t="shared" ca="1" si="2"/>
        <v>#N/A</v>
      </c>
      <c r="Q58" s="89" t="e">
        <f t="shared" ca="1" si="3"/>
        <v>#N/A</v>
      </c>
      <c r="R58" s="22" t="e">
        <f t="shared" ca="1" si="4"/>
        <v>#N/A</v>
      </c>
      <c r="S58" s="89" t="e">
        <f t="shared" ca="1" si="5"/>
        <v>#N/A</v>
      </c>
      <c r="T58" s="22" t="e">
        <f t="shared" ca="1" si="6"/>
        <v>#N/A</v>
      </c>
      <c r="U58" s="89" t="e">
        <f t="shared" ca="1" si="7"/>
        <v>#N/A</v>
      </c>
      <c r="V58" s="22" t="e">
        <f t="shared" ca="1" si="8"/>
        <v>#N/A</v>
      </c>
      <c r="AM58" t="e">
        <f t="shared" si="9"/>
        <v>#N/A</v>
      </c>
      <c r="AN58" t="e">
        <f t="shared" ca="1" si="10"/>
        <v>#N/A</v>
      </c>
    </row>
    <row r="59" spans="1:40" ht="15" customHeight="1" x14ac:dyDescent="0.3">
      <c r="A59" s="87">
        <v>58</v>
      </c>
      <c r="B59" t="str">
        <f>IFERROR(INDEX('Mock Database'!$D$3:$D$152,MATCH($A59,'Mock Database'!$C$3:$C$152,0)),"")</f>
        <v/>
      </c>
      <c r="C59" s="88" t="str">
        <f>IFERROR(INDEX('Mock Database'!$I$3:$I$152,MATCH($A59,'Mock Database'!$C$3:$C$152,0)),"")</f>
        <v/>
      </c>
      <c r="D59" s="89" t="str">
        <f ca="1">IF(ISNA(MATCH($A59,'Mock Database'!$C$3:$C$152,0)),"",IF(ISBLANK(OFFSET('Mock Database'!$M$2,MATCH($A59,'Mock Database'!$C$3:$C$152,0),0)),"",INDEX('Mock Database'!$M$3:$M$152,MATCH($A59,'Mock Database'!$C$3:$C$152,0))))</f>
        <v/>
      </c>
      <c r="E59" s="22" t="str">
        <f ca="1">IF(ISNA(MATCH($A59,'Mock Database'!$C$3:$C$152,0)),"",IF(ISBLANK(OFFSET('Mock Database'!$N$2,MATCH($A59,'Mock Database'!$C$3:$C$152,0),0)),"",INDEX('Mock Database'!$N$3:$N$152,MATCH($A59,'Mock Database'!$C$3:$C$152,0))))</f>
        <v/>
      </c>
      <c r="F59" s="89" t="str">
        <f ca="1">IF(ISNA(MATCH($A59,'Mock Database'!$C$3:$C$152,0)),"",IF(ISBLANK(OFFSET('Mock Database'!$S$2,MATCH($A59,'Mock Database'!$C$3:$C$152,0),0)),"",INDEX('Mock Database'!$S$3:$S$152,MATCH($A59,'Mock Database'!$C$3:$C$152,0))))</f>
        <v/>
      </c>
      <c r="G59" s="22" t="str">
        <f ca="1">IF(ISNA(MATCH($A59,'Mock Database'!$C$3:$C$152,0)),"",IF(ISBLANK(OFFSET('Mock Database'!$T$2,MATCH($A59,'Mock Database'!$C$3:$C$152,0),0)),"",INDEX('Mock Database'!$T$3:$T$152,MATCH($A59,'Mock Database'!$C$3:$C$152,0))))</f>
        <v/>
      </c>
      <c r="H59" s="89" t="str">
        <f ca="1">IF(ISNA(MATCH($A59,'Mock Database'!$C$3:$C$152,0)),"",IF(ISBLANK(OFFSET('Mock Database'!$Y$2,MATCH($A59,'Mock Database'!$C$3:$C$152,0),0)),"",INDEX('Mock Database'!$Y$3:$Y$152,MATCH($A59,'Mock Database'!$C$3:$C$152,0))))</f>
        <v/>
      </c>
      <c r="I59" s="22" t="str">
        <f ca="1">IF(ISNA(MATCH($A59,'Mock Database'!$C$3:$C$152,0)),"",IF(ISBLANK(OFFSET('Mock Database'!$Z$2,MATCH($A59,'Mock Database'!$C$3:$C$152,0),0)),"",INDEX('Mock Database'!$Z$3:$Z$152,MATCH($A59,'Mock Database'!$C$3:$C$152,0))))</f>
        <v/>
      </c>
      <c r="J59" s="89" t="str">
        <f ca="1">IF(ISNA(MATCH($A59,'Mock Database'!$C$3:$C$152,0)),"",IF(ISBLANK(OFFSET('Mock Database'!$AE$2,MATCH($A59,'Mock Database'!$C$3:$C$152,0),0)),"",INDEX('Mock Database'!$AE$3:$AE$152,MATCH($A59,'Mock Database'!$C$3:$C$152,0))))</f>
        <v/>
      </c>
      <c r="K59" s="22" t="str">
        <f ca="1">IF(ISNA(MATCH($A59,'Mock Database'!$C$3:$C$152,0)),"",IF(ISBLANK(OFFSET('Mock Database'!$AF$2,MATCH($A59,'Mock Database'!$C$3:$C$152,0),0)),"",INDEX('Mock Database'!$AF$3:$AF$152,MATCH($A59,'Mock Database'!$C$3:$C$152,0))))</f>
        <v/>
      </c>
      <c r="N59" t="e">
        <f t="shared" si="0"/>
        <v>#N/A</v>
      </c>
      <c r="O59" s="89" t="e">
        <f t="shared" ca="1" si="1"/>
        <v>#N/A</v>
      </c>
      <c r="P59" s="22" t="e">
        <f t="shared" ca="1" si="2"/>
        <v>#N/A</v>
      </c>
      <c r="Q59" s="89" t="e">
        <f t="shared" ca="1" si="3"/>
        <v>#N/A</v>
      </c>
      <c r="R59" s="22" t="e">
        <f t="shared" ca="1" si="4"/>
        <v>#N/A</v>
      </c>
      <c r="S59" s="89" t="e">
        <f t="shared" ca="1" si="5"/>
        <v>#N/A</v>
      </c>
      <c r="T59" s="22" t="e">
        <f t="shared" ca="1" si="6"/>
        <v>#N/A</v>
      </c>
      <c r="U59" s="89" t="e">
        <f t="shared" ca="1" si="7"/>
        <v>#N/A</v>
      </c>
      <c r="V59" s="22" t="e">
        <f t="shared" ca="1" si="8"/>
        <v>#N/A</v>
      </c>
      <c r="AM59" t="e">
        <f t="shared" si="9"/>
        <v>#N/A</v>
      </c>
      <c r="AN59" t="e">
        <f t="shared" ca="1" si="10"/>
        <v>#N/A</v>
      </c>
    </row>
    <row r="60" spans="1:40" ht="15" customHeight="1" x14ac:dyDescent="0.3">
      <c r="A60" s="87">
        <v>59</v>
      </c>
      <c r="B60" t="str">
        <f>IFERROR(INDEX('Mock Database'!$D$3:$D$152,MATCH($A60,'Mock Database'!$C$3:$C$152,0)),"")</f>
        <v/>
      </c>
      <c r="C60" s="88" t="str">
        <f>IFERROR(INDEX('Mock Database'!$I$3:$I$152,MATCH($A60,'Mock Database'!$C$3:$C$152,0)),"")</f>
        <v/>
      </c>
      <c r="D60" s="89" t="str">
        <f ca="1">IF(ISNA(MATCH($A60,'Mock Database'!$C$3:$C$152,0)),"",IF(ISBLANK(OFFSET('Mock Database'!$M$2,MATCH($A60,'Mock Database'!$C$3:$C$152,0),0)),"",INDEX('Mock Database'!$M$3:$M$152,MATCH($A60,'Mock Database'!$C$3:$C$152,0))))</f>
        <v/>
      </c>
      <c r="E60" s="22" t="str">
        <f ca="1">IF(ISNA(MATCH($A60,'Mock Database'!$C$3:$C$152,0)),"",IF(ISBLANK(OFFSET('Mock Database'!$N$2,MATCH($A60,'Mock Database'!$C$3:$C$152,0),0)),"",INDEX('Mock Database'!$N$3:$N$152,MATCH($A60,'Mock Database'!$C$3:$C$152,0))))</f>
        <v/>
      </c>
      <c r="F60" s="89" t="str">
        <f ca="1">IF(ISNA(MATCH($A60,'Mock Database'!$C$3:$C$152,0)),"",IF(ISBLANK(OFFSET('Mock Database'!$S$2,MATCH($A60,'Mock Database'!$C$3:$C$152,0),0)),"",INDEX('Mock Database'!$S$3:$S$152,MATCH($A60,'Mock Database'!$C$3:$C$152,0))))</f>
        <v/>
      </c>
      <c r="G60" s="22" t="str">
        <f ca="1">IF(ISNA(MATCH($A60,'Mock Database'!$C$3:$C$152,0)),"",IF(ISBLANK(OFFSET('Mock Database'!$T$2,MATCH($A60,'Mock Database'!$C$3:$C$152,0),0)),"",INDEX('Mock Database'!$T$3:$T$152,MATCH($A60,'Mock Database'!$C$3:$C$152,0))))</f>
        <v/>
      </c>
      <c r="H60" s="89" t="str">
        <f ca="1">IF(ISNA(MATCH($A60,'Mock Database'!$C$3:$C$152,0)),"",IF(ISBLANK(OFFSET('Mock Database'!$Y$2,MATCH($A60,'Mock Database'!$C$3:$C$152,0),0)),"",INDEX('Mock Database'!$Y$3:$Y$152,MATCH($A60,'Mock Database'!$C$3:$C$152,0))))</f>
        <v/>
      </c>
      <c r="I60" s="22" t="str">
        <f ca="1">IF(ISNA(MATCH($A60,'Mock Database'!$C$3:$C$152,0)),"",IF(ISBLANK(OFFSET('Mock Database'!$Z$2,MATCH($A60,'Mock Database'!$C$3:$C$152,0),0)),"",INDEX('Mock Database'!$Z$3:$Z$152,MATCH($A60,'Mock Database'!$C$3:$C$152,0))))</f>
        <v/>
      </c>
      <c r="J60" s="89" t="str">
        <f ca="1">IF(ISNA(MATCH($A60,'Mock Database'!$C$3:$C$152,0)),"",IF(ISBLANK(OFFSET('Mock Database'!$AE$2,MATCH($A60,'Mock Database'!$C$3:$C$152,0),0)),"",INDEX('Mock Database'!$AE$3:$AE$152,MATCH($A60,'Mock Database'!$C$3:$C$152,0))))</f>
        <v/>
      </c>
      <c r="K60" s="22" t="str">
        <f ca="1">IF(ISNA(MATCH($A60,'Mock Database'!$C$3:$C$152,0)),"",IF(ISBLANK(OFFSET('Mock Database'!$AF$2,MATCH($A60,'Mock Database'!$C$3:$C$152,0),0)),"",INDEX('Mock Database'!$AF$3:$AF$152,MATCH($A60,'Mock Database'!$C$3:$C$152,0))))</f>
        <v/>
      </c>
      <c r="N60" t="e">
        <f t="shared" si="0"/>
        <v>#N/A</v>
      </c>
      <c r="O60" s="89" t="e">
        <f t="shared" ca="1" si="1"/>
        <v>#N/A</v>
      </c>
      <c r="P60" s="22" t="e">
        <f t="shared" ca="1" si="2"/>
        <v>#N/A</v>
      </c>
      <c r="Q60" s="89" t="e">
        <f t="shared" ca="1" si="3"/>
        <v>#N/A</v>
      </c>
      <c r="R60" s="22" t="e">
        <f t="shared" ca="1" si="4"/>
        <v>#N/A</v>
      </c>
      <c r="S60" s="89" t="e">
        <f t="shared" ca="1" si="5"/>
        <v>#N/A</v>
      </c>
      <c r="T60" s="22" t="e">
        <f t="shared" ca="1" si="6"/>
        <v>#N/A</v>
      </c>
      <c r="U60" s="89" t="e">
        <f t="shared" ca="1" si="7"/>
        <v>#N/A</v>
      </c>
      <c r="V60" s="22" t="e">
        <f t="shared" ca="1" si="8"/>
        <v>#N/A</v>
      </c>
      <c r="AM60" t="e">
        <f t="shared" si="9"/>
        <v>#N/A</v>
      </c>
      <c r="AN60" t="e">
        <f t="shared" ca="1" si="10"/>
        <v>#N/A</v>
      </c>
    </row>
    <row r="61" spans="1:40" ht="15" customHeight="1" x14ac:dyDescent="0.3">
      <c r="A61" s="87">
        <v>60</v>
      </c>
      <c r="B61" t="str">
        <f>IFERROR(INDEX('Mock Database'!$D$3:$D$152,MATCH($A61,'Mock Database'!$C$3:$C$152,0)),"")</f>
        <v/>
      </c>
      <c r="C61" s="88" t="str">
        <f>IFERROR(INDEX('Mock Database'!$I$3:$I$152,MATCH($A61,'Mock Database'!$C$3:$C$152,0)),"")</f>
        <v/>
      </c>
      <c r="D61" s="89" t="str">
        <f ca="1">IF(ISNA(MATCH($A61,'Mock Database'!$C$3:$C$152,0)),"",IF(ISBLANK(OFFSET('Mock Database'!$M$2,MATCH($A61,'Mock Database'!$C$3:$C$152,0),0)),"",INDEX('Mock Database'!$M$3:$M$152,MATCH($A61,'Mock Database'!$C$3:$C$152,0))))</f>
        <v/>
      </c>
      <c r="E61" s="22" t="str">
        <f ca="1">IF(ISNA(MATCH($A61,'Mock Database'!$C$3:$C$152,0)),"",IF(ISBLANK(OFFSET('Mock Database'!$N$2,MATCH($A61,'Mock Database'!$C$3:$C$152,0),0)),"",INDEX('Mock Database'!$N$3:$N$152,MATCH($A61,'Mock Database'!$C$3:$C$152,0))))</f>
        <v/>
      </c>
      <c r="F61" s="89" t="str">
        <f ca="1">IF(ISNA(MATCH($A61,'Mock Database'!$C$3:$C$152,0)),"",IF(ISBLANK(OFFSET('Mock Database'!$S$2,MATCH($A61,'Mock Database'!$C$3:$C$152,0),0)),"",INDEX('Mock Database'!$S$3:$S$152,MATCH($A61,'Mock Database'!$C$3:$C$152,0))))</f>
        <v/>
      </c>
      <c r="G61" s="22" t="str">
        <f ca="1">IF(ISNA(MATCH($A61,'Mock Database'!$C$3:$C$152,0)),"",IF(ISBLANK(OFFSET('Mock Database'!$T$2,MATCH($A61,'Mock Database'!$C$3:$C$152,0),0)),"",INDEX('Mock Database'!$T$3:$T$152,MATCH($A61,'Mock Database'!$C$3:$C$152,0))))</f>
        <v/>
      </c>
      <c r="H61" s="89" t="str">
        <f ca="1">IF(ISNA(MATCH($A61,'Mock Database'!$C$3:$C$152,0)),"",IF(ISBLANK(OFFSET('Mock Database'!$Y$2,MATCH($A61,'Mock Database'!$C$3:$C$152,0),0)),"",INDEX('Mock Database'!$Y$3:$Y$152,MATCH($A61,'Mock Database'!$C$3:$C$152,0))))</f>
        <v/>
      </c>
      <c r="I61" s="22" t="str">
        <f ca="1">IF(ISNA(MATCH($A61,'Mock Database'!$C$3:$C$152,0)),"",IF(ISBLANK(OFFSET('Mock Database'!$Z$2,MATCH($A61,'Mock Database'!$C$3:$C$152,0),0)),"",INDEX('Mock Database'!$Z$3:$Z$152,MATCH($A61,'Mock Database'!$C$3:$C$152,0))))</f>
        <v/>
      </c>
      <c r="J61" s="89" t="str">
        <f ca="1">IF(ISNA(MATCH($A61,'Mock Database'!$C$3:$C$152,0)),"",IF(ISBLANK(OFFSET('Mock Database'!$AE$2,MATCH($A61,'Mock Database'!$C$3:$C$152,0),0)),"",INDEX('Mock Database'!$AE$3:$AE$152,MATCH($A61,'Mock Database'!$C$3:$C$152,0))))</f>
        <v/>
      </c>
      <c r="K61" s="22" t="str">
        <f ca="1">IF(ISNA(MATCH($A61,'Mock Database'!$C$3:$C$152,0)),"",IF(ISBLANK(OFFSET('Mock Database'!$AF$2,MATCH($A61,'Mock Database'!$C$3:$C$152,0),0)),"",INDEX('Mock Database'!$AF$3:$AF$152,MATCH($A61,'Mock Database'!$C$3:$C$152,0))))</f>
        <v/>
      </c>
      <c r="N61" t="e">
        <f t="shared" si="0"/>
        <v>#N/A</v>
      </c>
      <c r="O61" s="89" t="e">
        <f t="shared" ca="1" si="1"/>
        <v>#N/A</v>
      </c>
      <c r="P61" s="22" t="e">
        <f t="shared" ca="1" si="2"/>
        <v>#N/A</v>
      </c>
      <c r="Q61" s="89" t="e">
        <f t="shared" ca="1" si="3"/>
        <v>#N/A</v>
      </c>
      <c r="R61" s="22" t="e">
        <f t="shared" ca="1" si="4"/>
        <v>#N/A</v>
      </c>
      <c r="S61" s="89" t="e">
        <f t="shared" ca="1" si="5"/>
        <v>#N/A</v>
      </c>
      <c r="T61" s="22" t="e">
        <f t="shared" ca="1" si="6"/>
        <v>#N/A</v>
      </c>
      <c r="U61" s="89" t="e">
        <f t="shared" ca="1" si="7"/>
        <v>#N/A</v>
      </c>
      <c r="V61" s="22" t="e">
        <f t="shared" ca="1" si="8"/>
        <v>#N/A</v>
      </c>
      <c r="AM61" t="e">
        <f t="shared" si="9"/>
        <v>#N/A</v>
      </c>
      <c r="AN61" t="e">
        <f t="shared" ca="1" si="10"/>
        <v>#N/A</v>
      </c>
    </row>
    <row r="62" spans="1:40" ht="15" customHeight="1" x14ac:dyDescent="0.3">
      <c r="A62" s="87">
        <v>61</v>
      </c>
      <c r="B62" t="str">
        <f>IFERROR(INDEX('Mock Database'!$D$3:$D$152,MATCH($A62,'Mock Database'!$C$3:$C$152,0)),"")</f>
        <v/>
      </c>
      <c r="C62" s="88" t="str">
        <f>IFERROR(INDEX('Mock Database'!$I$3:$I$152,MATCH($A62,'Mock Database'!$C$3:$C$152,0)),"")</f>
        <v/>
      </c>
      <c r="D62" s="89" t="str">
        <f ca="1">IF(ISNA(MATCH($A62,'Mock Database'!$C$3:$C$152,0)),"",IF(ISBLANK(OFFSET('Mock Database'!$M$2,MATCH($A62,'Mock Database'!$C$3:$C$152,0),0)),"",INDEX('Mock Database'!$M$3:$M$152,MATCH($A62,'Mock Database'!$C$3:$C$152,0))))</f>
        <v/>
      </c>
      <c r="E62" s="22" t="str">
        <f ca="1">IF(ISNA(MATCH($A62,'Mock Database'!$C$3:$C$152,0)),"",IF(ISBLANK(OFFSET('Mock Database'!$N$2,MATCH($A62,'Mock Database'!$C$3:$C$152,0),0)),"",INDEX('Mock Database'!$N$3:$N$152,MATCH($A62,'Mock Database'!$C$3:$C$152,0))))</f>
        <v/>
      </c>
      <c r="F62" s="89" t="str">
        <f ca="1">IF(ISNA(MATCH($A62,'Mock Database'!$C$3:$C$152,0)),"",IF(ISBLANK(OFFSET('Mock Database'!$S$2,MATCH($A62,'Mock Database'!$C$3:$C$152,0),0)),"",INDEX('Mock Database'!$S$3:$S$152,MATCH($A62,'Mock Database'!$C$3:$C$152,0))))</f>
        <v/>
      </c>
      <c r="G62" s="22" t="str">
        <f ca="1">IF(ISNA(MATCH($A62,'Mock Database'!$C$3:$C$152,0)),"",IF(ISBLANK(OFFSET('Mock Database'!$T$2,MATCH($A62,'Mock Database'!$C$3:$C$152,0),0)),"",INDEX('Mock Database'!$T$3:$T$152,MATCH($A62,'Mock Database'!$C$3:$C$152,0))))</f>
        <v/>
      </c>
      <c r="H62" s="89" t="str">
        <f ca="1">IF(ISNA(MATCH($A62,'Mock Database'!$C$3:$C$152,0)),"",IF(ISBLANK(OFFSET('Mock Database'!$Y$2,MATCH($A62,'Mock Database'!$C$3:$C$152,0),0)),"",INDEX('Mock Database'!$Y$3:$Y$152,MATCH($A62,'Mock Database'!$C$3:$C$152,0))))</f>
        <v/>
      </c>
      <c r="I62" s="22" t="str">
        <f ca="1">IF(ISNA(MATCH($A62,'Mock Database'!$C$3:$C$152,0)),"",IF(ISBLANK(OFFSET('Mock Database'!$Z$2,MATCH($A62,'Mock Database'!$C$3:$C$152,0),0)),"",INDEX('Mock Database'!$Z$3:$Z$152,MATCH($A62,'Mock Database'!$C$3:$C$152,0))))</f>
        <v/>
      </c>
      <c r="J62" s="89" t="str">
        <f ca="1">IF(ISNA(MATCH($A62,'Mock Database'!$C$3:$C$152,0)),"",IF(ISBLANK(OFFSET('Mock Database'!$AE$2,MATCH($A62,'Mock Database'!$C$3:$C$152,0),0)),"",INDEX('Mock Database'!$AE$3:$AE$152,MATCH($A62,'Mock Database'!$C$3:$C$152,0))))</f>
        <v/>
      </c>
      <c r="K62" s="22" t="str">
        <f ca="1">IF(ISNA(MATCH($A62,'Mock Database'!$C$3:$C$152,0)),"",IF(ISBLANK(OFFSET('Mock Database'!$AF$2,MATCH($A62,'Mock Database'!$C$3:$C$152,0),0)),"",INDEX('Mock Database'!$AF$3:$AF$152,MATCH($A62,'Mock Database'!$C$3:$C$152,0))))</f>
        <v/>
      </c>
      <c r="N62" t="e">
        <f t="shared" si="0"/>
        <v>#N/A</v>
      </c>
      <c r="O62" s="89" t="e">
        <f t="shared" ca="1" si="1"/>
        <v>#N/A</v>
      </c>
      <c r="P62" s="22" t="e">
        <f t="shared" ca="1" si="2"/>
        <v>#N/A</v>
      </c>
      <c r="Q62" s="89" t="e">
        <f t="shared" ca="1" si="3"/>
        <v>#N/A</v>
      </c>
      <c r="R62" s="22" t="e">
        <f t="shared" ca="1" si="4"/>
        <v>#N/A</v>
      </c>
      <c r="S62" s="89" t="e">
        <f t="shared" ca="1" si="5"/>
        <v>#N/A</v>
      </c>
      <c r="T62" s="22" t="e">
        <f t="shared" ca="1" si="6"/>
        <v>#N/A</v>
      </c>
      <c r="U62" s="89" t="e">
        <f t="shared" ca="1" si="7"/>
        <v>#N/A</v>
      </c>
      <c r="V62" s="22" t="e">
        <f t="shared" ca="1" si="8"/>
        <v>#N/A</v>
      </c>
      <c r="AM62" t="e">
        <f t="shared" si="9"/>
        <v>#N/A</v>
      </c>
      <c r="AN62" t="e">
        <f t="shared" ca="1" si="10"/>
        <v>#N/A</v>
      </c>
    </row>
    <row r="63" spans="1:40" ht="15" customHeight="1" x14ac:dyDescent="0.3">
      <c r="A63" s="87">
        <v>62</v>
      </c>
      <c r="B63" t="str">
        <f>IFERROR(INDEX('Mock Database'!$D$3:$D$152,MATCH($A63,'Mock Database'!$C$3:$C$152,0)),"")</f>
        <v/>
      </c>
      <c r="C63" s="88" t="str">
        <f>IFERROR(INDEX('Mock Database'!$I$3:$I$152,MATCH($A63,'Mock Database'!$C$3:$C$152,0)),"")</f>
        <v/>
      </c>
      <c r="D63" s="89" t="str">
        <f ca="1">IF(ISNA(MATCH($A63,'Mock Database'!$C$3:$C$152,0)),"",IF(ISBLANK(OFFSET('Mock Database'!$M$2,MATCH($A63,'Mock Database'!$C$3:$C$152,0),0)),"",INDEX('Mock Database'!$M$3:$M$152,MATCH($A63,'Mock Database'!$C$3:$C$152,0))))</f>
        <v/>
      </c>
      <c r="E63" s="22" t="str">
        <f ca="1">IF(ISNA(MATCH($A63,'Mock Database'!$C$3:$C$152,0)),"",IF(ISBLANK(OFFSET('Mock Database'!$N$2,MATCH($A63,'Mock Database'!$C$3:$C$152,0),0)),"",INDEX('Mock Database'!$N$3:$N$152,MATCH($A63,'Mock Database'!$C$3:$C$152,0))))</f>
        <v/>
      </c>
      <c r="F63" s="89" t="str">
        <f ca="1">IF(ISNA(MATCH($A63,'Mock Database'!$C$3:$C$152,0)),"",IF(ISBLANK(OFFSET('Mock Database'!$S$2,MATCH($A63,'Mock Database'!$C$3:$C$152,0),0)),"",INDEX('Mock Database'!$S$3:$S$152,MATCH($A63,'Mock Database'!$C$3:$C$152,0))))</f>
        <v/>
      </c>
      <c r="G63" s="22" t="str">
        <f ca="1">IF(ISNA(MATCH($A63,'Mock Database'!$C$3:$C$152,0)),"",IF(ISBLANK(OFFSET('Mock Database'!$T$2,MATCH($A63,'Mock Database'!$C$3:$C$152,0),0)),"",INDEX('Mock Database'!$T$3:$T$152,MATCH($A63,'Mock Database'!$C$3:$C$152,0))))</f>
        <v/>
      </c>
      <c r="H63" s="89" t="str">
        <f ca="1">IF(ISNA(MATCH($A63,'Mock Database'!$C$3:$C$152,0)),"",IF(ISBLANK(OFFSET('Mock Database'!$Y$2,MATCH($A63,'Mock Database'!$C$3:$C$152,0),0)),"",INDEX('Mock Database'!$Y$3:$Y$152,MATCH($A63,'Mock Database'!$C$3:$C$152,0))))</f>
        <v/>
      </c>
      <c r="I63" s="22" t="str">
        <f ca="1">IF(ISNA(MATCH($A63,'Mock Database'!$C$3:$C$152,0)),"",IF(ISBLANK(OFFSET('Mock Database'!$Z$2,MATCH($A63,'Mock Database'!$C$3:$C$152,0),0)),"",INDEX('Mock Database'!$Z$3:$Z$152,MATCH($A63,'Mock Database'!$C$3:$C$152,0))))</f>
        <v/>
      </c>
      <c r="J63" s="89" t="str">
        <f ca="1">IF(ISNA(MATCH($A63,'Mock Database'!$C$3:$C$152,0)),"",IF(ISBLANK(OFFSET('Mock Database'!$AE$2,MATCH($A63,'Mock Database'!$C$3:$C$152,0),0)),"",INDEX('Mock Database'!$AE$3:$AE$152,MATCH($A63,'Mock Database'!$C$3:$C$152,0))))</f>
        <v/>
      </c>
      <c r="K63" s="22" t="str">
        <f ca="1">IF(ISNA(MATCH($A63,'Mock Database'!$C$3:$C$152,0)),"",IF(ISBLANK(OFFSET('Mock Database'!$AF$2,MATCH($A63,'Mock Database'!$C$3:$C$152,0),0)),"",INDEX('Mock Database'!$AF$3:$AF$152,MATCH($A63,'Mock Database'!$C$3:$C$152,0))))</f>
        <v/>
      </c>
      <c r="N63" t="e">
        <f t="shared" si="0"/>
        <v>#N/A</v>
      </c>
      <c r="O63" s="89" t="e">
        <f t="shared" ca="1" si="1"/>
        <v>#N/A</v>
      </c>
      <c r="P63" s="22" t="e">
        <f t="shared" ca="1" si="2"/>
        <v>#N/A</v>
      </c>
      <c r="Q63" s="89" t="e">
        <f t="shared" ca="1" si="3"/>
        <v>#N/A</v>
      </c>
      <c r="R63" s="22" t="e">
        <f t="shared" ca="1" si="4"/>
        <v>#N/A</v>
      </c>
      <c r="S63" s="89" t="e">
        <f t="shared" ca="1" si="5"/>
        <v>#N/A</v>
      </c>
      <c r="T63" s="22" t="e">
        <f t="shared" ca="1" si="6"/>
        <v>#N/A</v>
      </c>
      <c r="U63" s="89" t="e">
        <f t="shared" ca="1" si="7"/>
        <v>#N/A</v>
      </c>
      <c r="V63" s="22" t="e">
        <f t="shared" ca="1" si="8"/>
        <v>#N/A</v>
      </c>
      <c r="AM63" t="e">
        <f t="shared" si="9"/>
        <v>#N/A</v>
      </c>
      <c r="AN63" t="e">
        <f t="shared" ca="1" si="10"/>
        <v>#N/A</v>
      </c>
    </row>
    <row r="64" spans="1:40" ht="15" customHeight="1" x14ac:dyDescent="0.3">
      <c r="A64" s="87">
        <v>63</v>
      </c>
      <c r="B64" t="str">
        <f>IFERROR(INDEX('Mock Database'!$D$3:$D$152,MATCH($A64,'Mock Database'!$C$3:$C$152,0)),"")</f>
        <v/>
      </c>
      <c r="C64" s="88" t="str">
        <f>IFERROR(INDEX('Mock Database'!$I$3:$I$152,MATCH($A64,'Mock Database'!$C$3:$C$152,0)),"")</f>
        <v/>
      </c>
      <c r="D64" s="89" t="str">
        <f ca="1">IF(ISNA(MATCH($A64,'Mock Database'!$C$3:$C$152,0)),"",IF(ISBLANK(OFFSET('Mock Database'!$M$2,MATCH($A64,'Mock Database'!$C$3:$C$152,0),0)),"",INDEX('Mock Database'!$M$3:$M$152,MATCH($A64,'Mock Database'!$C$3:$C$152,0))))</f>
        <v/>
      </c>
      <c r="E64" s="22" t="str">
        <f ca="1">IF(ISNA(MATCH($A64,'Mock Database'!$C$3:$C$152,0)),"",IF(ISBLANK(OFFSET('Mock Database'!$N$2,MATCH($A64,'Mock Database'!$C$3:$C$152,0),0)),"",INDEX('Mock Database'!$N$3:$N$152,MATCH($A64,'Mock Database'!$C$3:$C$152,0))))</f>
        <v/>
      </c>
      <c r="F64" s="89" t="str">
        <f ca="1">IF(ISNA(MATCH($A64,'Mock Database'!$C$3:$C$152,0)),"",IF(ISBLANK(OFFSET('Mock Database'!$S$2,MATCH($A64,'Mock Database'!$C$3:$C$152,0),0)),"",INDEX('Mock Database'!$S$3:$S$152,MATCH($A64,'Mock Database'!$C$3:$C$152,0))))</f>
        <v/>
      </c>
      <c r="G64" s="22" t="str">
        <f ca="1">IF(ISNA(MATCH($A64,'Mock Database'!$C$3:$C$152,0)),"",IF(ISBLANK(OFFSET('Mock Database'!$T$2,MATCH($A64,'Mock Database'!$C$3:$C$152,0),0)),"",INDEX('Mock Database'!$T$3:$T$152,MATCH($A64,'Mock Database'!$C$3:$C$152,0))))</f>
        <v/>
      </c>
      <c r="H64" s="89" t="str">
        <f ca="1">IF(ISNA(MATCH($A64,'Mock Database'!$C$3:$C$152,0)),"",IF(ISBLANK(OFFSET('Mock Database'!$Y$2,MATCH($A64,'Mock Database'!$C$3:$C$152,0),0)),"",INDEX('Mock Database'!$Y$3:$Y$152,MATCH($A64,'Mock Database'!$C$3:$C$152,0))))</f>
        <v/>
      </c>
      <c r="I64" s="22" t="str">
        <f ca="1">IF(ISNA(MATCH($A64,'Mock Database'!$C$3:$C$152,0)),"",IF(ISBLANK(OFFSET('Mock Database'!$Z$2,MATCH($A64,'Mock Database'!$C$3:$C$152,0),0)),"",INDEX('Mock Database'!$Z$3:$Z$152,MATCH($A64,'Mock Database'!$C$3:$C$152,0))))</f>
        <v/>
      </c>
      <c r="J64" s="89" t="str">
        <f ca="1">IF(ISNA(MATCH($A64,'Mock Database'!$C$3:$C$152,0)),"",IF(ISBLANK(OFFSET('Mock Database'!$AE$2,MATCH($A64,'Mock Database'!$C$3:$C$152,0),0)),"",INDEX('Mock Database'!$AE$3:$AE$152,MATCH($A64,'Mock Database'!$C$3:$C$152,0))))</f>
        <v/>
      </c>
      <c r="K64" s="22" t="str">
        <f ca="1">IF(ISNA(MATCH($A64,'Mock Database'!$C$3:$C$152,0)),"",IF(ISBLANK(OFFSET('Mock Database'!$AF$2,MATCH($A64,'Mock Database'!$C$3:$C$152,0),0)),"",INDEX('Mock Database'!$AF$3:$AF$152,MATCH($A64,'Mock Database'!$C$3:$C$152,0))))</f>
        <v/>
      </c>
      <c r="N64" t="e">
        <f t="shared" si="0"/>
        <v>#N/A</v>
      </c>
      <c r="O64" s="89" t="e">
        <f t="shared" ca="1" si="1"/>
        <v>#N/A</v>
      </c>
      <c r="P64" s="22" t="e">
        <f t="shared" ca="1" si="2"/>
        <v>#N/A</v>
      </c>
      <c r="Q64" s="89" t="e">
        <f t="shared" ca="1" si="3"/>
        <v>#N/A</v>
      </c>
      <c r="R64" s="22" t="e">
        <f t="shared" ca="1" si="4"/>
        <v>#N/A</v>
      </c>
      <c r="S64" s="89" t="e">
        <f t="shared" ca="1" si="5"/>
        <v>#N/A</v>
      </c>
      <c r="T64" s="22" t="e">
        <f t="shared" ca="1" si="6"/>
        <v>#N/A</v>
      </c>
      <c r="U64" s="89" t="e">
        <f t="shared" ca="1" si="7"/>
        <v>#N/A</v>
      </c>
      <c r="V64" s="22" t="e">
        <f t="shared" ca="1" si="8"/>
        <v>#N/A</v>
      </c>
      <c r="AM64" t="e">
        <f t="shared" si="9"/>
        <v>#N/A</v>
      </c>
      <c r="AN64" t="e">
        <f t="shared" ca="1" si="10"/>
        <v>#N/A</v>
      </c>
    </row>
    <row r="65" spans="1:40" ht="15" customHeight="1" x14ac:dyDescent="0.3">
      <c r="A65" s="87">
        <v>64</v>
      </c>
      <c r="B65" t="str">
        <f>IFERROR(INDEX('Mock Database'!$D$3:$D$152,MATCH($A65,'Mock Database'!$C$3:$C$152,0)),"")</f>
        <v/>
      </c>
      <c r="C65" s="88" t="str">
        <f>IFERROR(INDEX('Mock Database'!$I$3:$I$152,MATCH($A65,'Mock Database'!$C$3:$C$152,0)),"")</f>
        <v/>
      </c>
      <c r="D65" s="89" t="str">
        <f ca="1">IF(ISNA(MATCH($A65,'Mock Database'!$C$3:$C$152,0)),"",IF(ISBLANK(OFFSET('Mock Database'!$M$2,MATCH($A65,'Mock Database'!$C$3:$C$152,0),0)),"",INDEX('Mock Database'!$M$3:$M$152,MATCH($A65,'Mock Database'!$C$3:$C$152,0))))</f>
        <v/>
      </c>
      <c r="E65" s="22" t="str">
        <f ca="1">IF(ISNA(MATCH($A65,'Mock Database'!$C$3:$C$152,0)),"",IF(ISBLANK(OFFSET('Mock Database'!$N$2,MATCH($A65,'Mock Database'!$C$3:$C$152,0),0)),"",INDEX('Mock Database'!$N$3:$N$152,MATCH($A65,'Mock Database'!$C$3:$C$152,0))))</f>
        <v/>
      </c>
      <c r="F65" s="89" t="str">
        <f ca="1">IF(ISNA(MATCH($A65,'Mock Database'!$C$3:$C$152,0)),"",IF(ISBLANK(OFFSET('Mock Database'!$S$2,MATCH($A65,'Mock Database'!$C$3:$C$152,0),0)),"",INDEX('Mock Database'!$S$3:$S$152,MATCH($A65,'Mock Database'!$C$3:$C$152,0))))</f>
        <v/>
      </c>
      <c r="G65" s="22" t="str">
        <f ca="1">IF(ISNA(MATCH($A65,'Mock Database'!$C$3:$C$152,0)),"",IF(ISBLANK(OFFSET('Mock Database'!$T$2,MATCH($A65,'Mock Database'!$C$3:$C$152,0),0)),"",INDEX('Mock Database'!$T$3:$T$152,MATCH($A65,'Mock Database'!$C$3:$C$152,0))))</f>
        <v/>
      </c>
      <c r="H65" s="89" t="str">
        <f ca="1">IF(ISNA(MATCH($A65,'Mock Database'!$C$3:$C$152,0)),"",IF(ISBLANK(OFFSET('Mock Database'!$Y$2,MATCH($A65,'Mock Database'!$C$3:$C$152,0),0)),"",INDEX('Mock Database'!$Y$3:$Y$152,MATCH($A65,'Mock Database'!$C$3:$C$152,0))))</f>
        <v/>
      </c>
      <c r="I65" s="22" t="str">
        <f ca="1">IF(ISNA(MATCH($A65,'Mock Database'!$C$3:$C$152,0)),"",IF(ISBLANK(OFFSET('Mock Database'!$Z$2,MATCH($A65,'Mock Database'!$C$3:$C$152,0),0)),"",INDEX('Mock Database'!$Z$3:$Z$152,MATCH($A65,'Mock Database'!$C$3:$C$152,0))))</f>
        <v/>
      </c>
      <c r="J65" s="89" t="str">
        <f ca="1">IF(ISNA(MATCH($A65,'Mock Database'!$C$3:$C$152,0)),"",IF(ISBLANK(OFFSET('Mock Database'!$AE$2,MATCH($A65,'Mock Database'!$C$3:$C$152,0),0)),"",INDEX('Mock Database'!$AE$3:$AE$152,MATCH($A65,'Mock Database'!$C$3:$C$152,0))))</f>
        <v/>
      </c>
      <c r="K65" s="22" t="str">
        <f ca="1">IF(ISNA(MATCH($A65,'Mock Database'!$C$3:$C$152,0)),"",IF(ISBLANK(OFFSET('Mock Database'!$AF$2,MATCH($A65,'Mock Database'!$C$3:$C$152,0),0)),"",INDEX('Mock Database'!$AF$3:$AF$152,MATCH($A65,'Mock Database'!$C$3:$C$152,0))))</f>
        <v/>
      </c>
      <c r="N65" t="e">
        <f t="shared" si="0"/>
        <v>#N/A</v>
      </c>
      <c r="O65" s="89" t="e">
        <f t="shared" ca="1" si="1"/>
        <v>#N/A</v>
      </c>
      <c r="P65" s="22" t="e">
        <f t="shared" ca="1" si="2"/>
        <v>#N/A</v>
      </c>
      <c r="Q65" s="89" t="e">
        <f t="shared" ca="1" si="3"/>
        <v>#N/A</v>
      </c>
      <c r="R65" s="22" t="e">
        <f t="shared" ca="1" si="4"/>
        <v>#N/A</v>
      </c>
      <c r="S65" s="89" t="e">
        <f t="shared" ca="1" si="5"/>
        <v>#N/A</v>
      </c>
      <c r="T65" s="22" t="e">
        <f t="shared" ca="1" si="6"/>
        <v>#N/A</v>
      </c>
      <c r="U65" s="89" t="e">
        <f t="shared" ca="1" si="7"/>
        <v>#N/A</v>
      </c>
      <c r="V65" s="22" t="e">
        <f t="shared" ca="1" si="8"/>
        <v>#N/A</v>
      </c>
      <c r="AM65" t="e">
        <f t="shared" si="9"/>
        <v>#N/A</v>
      </c>
      <c r="AN65" t="e">
        <f t="shared" ca="1" si="10"/>
        <v>#N/A</v>
      </c>
    </row>
    <row r="66" spans="1:40" ht="15" customHeight="1" x14ac:dyDescent="0.3">
      <c r="A66" s="87">
        <v>65</v>
      </c>
      <c r="B66" t="str">
        <f>IFERROR(INDEX('Mock Database'!$D$3:$D$152,MATCH($A66,'Mock Database'!$C$3:$C$152,0)),"")</f>
        <v/>
      </c>
      <c r="C66" s="88" t="str">
        <f>IFERROR(INDEX('Mock Database'!$I$3:$I$152,MATCH($A66,'Mock Database'!$C$3:$C$152,0)),"")</f>
        <v/>
      </c>
      <c r="D66" s="89" t="str">
        <f ca="1">IF(ISNA(MATCH($A66,'Mock Database'!$C$3:$C$152,0)),"",IF(ISBLANK(OFFSET('Mock Database'!$M$2,MATCH($A66,'Mock Database'!$C$3:$C$152,0),0)),"",INDEX('Mock Database'!$M$3:$M$152,MATCH($A66,'Mock Database'!$C$3:$C$152,0))))</f>
        <v/>
      </c>
      <c r="E66" s="22" t="str">
        <f ca="1">IF(ISNA(MATCH($A66,'Mock Database'!$C$3:$C$152,0)),"",IF(ISBLANK(OFFSET('Mock Database'!$N$2,MATCH($A66,'Mock Database'!$C$3:$C$152,0),0)),"",INDEX('Mock Database'!$N$3:$N$152,MATCH($A66,'Mock Database'!$C$3:$C$152,0))))</f>
        <v/>
      </c>
      <c r="F66" s="89" t="str">
        <f ca="1">IF(ISNA(MATCH($A66,'Mock Database'!$C$3:$C$152,0)),"",IF(ISBLANK(OFFSET('Mock Database'!$S$2,MATCH($A66,'Mock Database'!$C$3:$C$152,0),0)),"",INDEX('Mock Database'!$S$3:$S$152,MATCH($A66,'Mock Database'!$C$3:$C$152,0))))</f>
        <v/>
      </c>
      <c r="G66" s="22" t="str">
        <f ca="1">IF(ISNA(MATCH($A66,'Mock Database'!$C$3:$C$152,0)),"",IF(ISBLANK(OFFSET('Mock Database'!$T$2,MATCH($A66,'Mock Database'!$C$3:$C$152,0),0)),"",INDEX('Mock Database'!$T$3:$T$152,MATCH($A66,'Mock Database'!$C$3:$C$152,0))))</f>
        <v/>
      </c>
      <c r="H66" s="89" t="str">
        <f ca="1">IF(ISNA(MATCH($A66,'Mock Database'!$C$3:$C$152,0)),"",IF(ISBLANK(OFFSET('Mock Database'!$Y$2,MATCH($A66,'Mock Database'!$C$3:$C$152,0),0)),"",INDEX('Mock Database'!$Y$3:$Y$152,MATCH($A66,'Mock Database'!$C$3:$C$152,0))))</f>
        <v/>
      </c>
      <c r="I66" s="22" t="str">
        <f ca="1">IF(ISNA(MATCH($A66,'Mock Database'!$C$3:$C$152,0)),"",IF(ISBLANK(OFFSET('Mock Database'!$Z$2,MATCH($A66,'Mock Database'!$C$3:$C$152,0),0)),"",INDEX('Mock Database'!$Z$3:$Z$152,MATCH($A66,'Mock Database'!$C$3:$C$152,0))))</f>
        <v/>
      </c>
      <c r="J66" s="89" t="str">
        <f ca="1">IF(ISNA(MATCH($A66,'Mock Database'!$C$3:$C$152,0)),"",IF(ISBLANK(OFFSET('Mock Database'!$AE$2,MATCH($A66,'Mock Database'!$C$3:$C$152,0),0)),"",INDEX('Mock Database'!$AE$3:$AE$152,MATCH($A66,'Mock Database'!$C$3:$C$152,0))))</f>
        <v/>
      </c>
      <c r="K66" s="22" t="str">
        <f ca="1">IF(ISNA(MATCH($A66,'Mock Database'!$C$3:$C$152,0)),"",IF(ISBLANK(OFFSET('Mock Database'!$AF$2,MATCH($A66,'Mock Database'!$C$3:$C$152,0),0)),"",INDEX('Mock Database'!$AF$3:$AF$152,MATCH($A66,'Mock Database'!$C$3:$C$152,0))))</f>
        <v/>
      </c>
      <c r="N66" t="e">
        <f t="shared" si="0"/>
        <v>#N/A</v>
      </c>
      <c r="O66" s="89" t="e">
        <f t="shared" ca="1" si="1"/>
        <v>#N/A</v>
      </c>
      <c r="P66" s="22" t="e">
        <f t="shared" ca="1" si="2"/>
        <v>#N/A</v>
      </c>
      <c r="Q66" s="89" t="e">
        <f t="shared" ca="1" si="3"/>
        <v>#N/A</v>
      </c>
      <c r="R66" s="22" t="e">
        <f t="shared" ca="1" si="4"/>
        <v>#N/A</v>
      </c>
      <c r="S66" s="89" t="e">
        <f t="shared" ca="1" si="5"/>
        <v>#N/A</v>
      </c>
      <c r="T66" s="22" t="e">
        <f t="shared" ca="1" si="6"/>
        <v>#N/A</v>
      </c>
      <c r="U66" s="89" t="e">
        <f t="shared" ca="1" si="7"/>
        <v>#N/A</v>
      </c>
      <c r="V66" s="22" t="e">
        <f t="shared" ca="1" si="8"/>
        <v>#N/A</v>
      </c>
      <c r="AM66" t="e">
        <f t="shared" si="9"/>
        <v>#N/A</v>
      </c>
      <c r="AN66" t="e">
        <f t="shared" ca="1" si="10"/>
        <v>#N/A</v>
      </c>
    </row>
    <row r="67" spans="1:40" ht="15" customHeight="1" x14ac:dyDescent="0.3">
      <c r="A67" s="87">
        <v>66</v>
      </c>
      <c r="B67" t="str">
        <f>IFERROR(INDEX('Mock Database'!$D$3:$D$152,MATCH($A67,'Mock Database'!$C$3:$C$152,0)),"")</f>
        <v/>
      </c>
      <c r="C67" s="88" t="str">
        <f>IFERROR(INDEX('Mock Database'!$I$3:$I$152,MATCH($A67,'Mock Database'!$C$3:$C$152,0)),"")</f>
        <v/>
      </c>
      <c r="D67" s="89" t="str">
        <f ca="1">IF(ISNA(MATCH($A67,'Mock Database'!$C$3:$C$152,0)),"",IF(ISBLANK(OFFSET('Mock Database'!$M$2,MATCH($A67,'Mock Database'!$C$3:$C$152,0),0)),"",INDEX('Mock Database'!$M$3:$M$152,MATCH($A67,'Mock Database'!$C$3:$C$152,0))))</f>
        <v/>
      </c>
      <c r="E67" s="22" t="str">
        <f ca="1">IF(ISNA(MATCH($A67,'Mock Database'!$C$3:$C$152,0)),"",IF(ISBLANK(OFFSET('Mock Database'!$N$2,MATCH($A67,'Mock Database'!$C$3:$C$152,0),0)),"",INDEX('Mock Database'!$N$3:$N$152,MATCH($A67,'Mock Database'!$C$3:$C$152,0))))</f>
        <v/>
      </c>
      <c r="F67" s="89" t="str">
        <f ca="1">IF(ISNA(MATCH($A67,'Mock Database'!$C$3:$C$152,0)),"",IF(ISBLANK(OFFSET('Mock Database'!$S$2,MATCH($A67,'Mock Database'!$C$3:$C$152,0),0)),"",INDEX('Mock Database'!$S$3:$S$152,MATCH($A67,'Mock Database'!$C$3:$C$152,0))))</f>
        <v/>
      </c>
      <c r="G67" s="22" t="str">
        <f ca="1">IF(ISNA(MATCH($A67,'Mock Database'!$C$3:$C$152,0)),"",IF(ISBLANK(OFFSET('Mock Database'!$T$2,MATCH($A67,'Mock Database'!$C$3:$C$152,0),0)),"",INDEX('Mock Database'!$T$3:$T$152,MATCH($A67,'Mock Database'!$C$3:$C$152,0))))</f>
        <v/>
      </c>
      <c r="H67" s="89" t="str">
        <f ca="1">IF(ISNA(MATCH($A67,'Mock Database'!$C$3:$C$152,0)),"",IF(ISBLANK(OFFSET('Mock Database'!$Y$2,MATCH($A67,'Mock Database'!$C$3:$C$152,0),0)),"",INDEX('Mock Database'!$Y$3:$Y$152,MATCH($A67,'Mock Database'!$C$3:$C$152,0))))</f>
        <v/>
      </c>
      <c r="I67" s="22" t="str">
        <f ca="1">IF(ISNA(MATCH($A67,'Mock Database'!$C$3:$C$152,0)),"",IF(ISBLANK(OFFSET('Mock Database'!$Z$2,MATCH($A67,'Mock Database'!$C$3:$C$152,0),0)),"",INDEX('Mock Database'!$Z$3:$Z$152,MATCH($A67,'Mock Database'!$C$3:$C$152,0))))</f>
        <v/>
      </c>
      <c r="J67" s="89" t="str">
        <f ca="1">IF(ISNA(MATCH($A67,'Mock Database'!$C$3:$C$152,0)),"",IF(ISBLANK(OFFSET('Mock Database'!$AE$2,MATCH($A67,'Mock Database'!$C$3:$C$152,0),0)),"",INDEX('Mock Database'!$AE$3:$AE$152,MATCH($A67,'Mock Database'!$C$3:$C$152,0))))</f>
        <v/>
      </c>
      <c r="K67" s="22" t="str">
        <f ca="1">IF(ISNA(MATCH($A67,'Mock Database'!$C$3:$C$152,0)),"",IF(ISBLANK(OFFSET('Mock Database'!$AF$2,MATCH($A67,'Mock Database'!$C$3:$C$152,0),0)),"",INDEX('Mock Database'!$AF$3:$AF$152,MATCH($A67,'Mock Database'!$C$3:$C$152,0))))</f>
        <v/>
      </c>
      <c r="N67" t="e">
        <f t="shared" ref="N67:N130" si="11">IF($B67="",NA(),$B67)</f>
        <v>#N/A</v>
      </c>
      <c r="O67" s="89" t="e">
        <f t="shared" ref="O67:O130" ca="1" si="12">IF($D67="",NA(),$D67)</f>
        <v>#N/A</v>
      </c>
      <c r="P67" s="22" t="e">
        <f t="shared" ref="P67:P130" ca="1" si="13">IF($E67="",NA(),$E67)</f>
        <v>#N/A</v>
      </c>
      <c r="Q67" s="89" t="e">
        <f t="shared" ref="Q67:Q130" ca="1" si="14">IF($F67="",NA(),$F67)</f>
        <v>#N/A</v>
      </c>
      <c r="R67" s="22" t="e">
        <f t="shared" ref="R67:R130" ca="1" si="15">IF($G67="",NA(),$G67)</f>
        <v>#N/A</v>
      </c>
      <c r="S67" s="89" t="e">
        <f t="shared" ref="S67:S130" ca="1" si="16">IF($H67="",NA(),$H67)</f>
        <v>#N/A</v>
      </c>
      <c r="T67" s="22" t="e">
        <f t="shared" ref="T67:T130" ca="1" si="17">IF($I67="",NA(),$I67)</f>
        <v>#N/A</v>
      </c>
      <c r="U67" s="89" t="e">
        <f t="shared" ref="U67:U130" ca="1" si="18">IF($J67="",NA(),$J67)</f>
        <v>#N/A</v>
      </c>
      <c r="V67" s="22" t="e">
        <f t="shared" ref="V67:V130" ca="1" si="19">IF($K67="",NA(),$K67)</f>
        <v>#N/A</v>
      </c>
      <c r="AM67" t="e">
        <f t="shared" ref="AM67:AM130" si="20">IF($B67="",NA(),$A67)</f>
        <v>#N/A</v>
      </c>
      <c r="AN67" t="e">
        <f t="shared" ref="AN67:AN130" ca="1" si="21">$U67</f>
        <v>#N/A</v>
      </c>
    </row>
    <row r="68" spans="1:40" ht="15" customHeight="1" x14ac:dyDescent="0.3">
      <c r="A68" s="87">
        <v>67</v>
      </c>
      <c r="B68" t="str">
        <f>IFERROR(INDEX('Mock Database'!$D$3:$D$152,MATCH($A68,'Mock Database'!$C$3:$C$152,0)),"")</f>
        <v/>
      </c>
      <c r="C68" s="88" t="str">
        <f>IFERROR(INDEX('Mock Database'!$I$3:$I$152,MATCH($A68,'Mock Database'!$C$3:$C$152,0)),"")</f>
        <v/>
      </c>
      <c r="D68" s="89" t="str">
        <f ca="1">IF(ISNA(MATCH($A68,'Mock Database'!$C$3:$C$152,0)),"",IF(ISBLANK(OFFSET('Mock Database'!$M$2,MATCH($A68,'Mock Database'!$C$3:$C$152,0),0)),"",INDEX('Mock Database'!$M$3:$M$152,MATCH($A68,'Mock Database'!$C$3:$C$152,0))))</f>
        <v/>
      </c>
      <c r="E68" s="22" t="str">
        <f ca="1">IF(ISNA(MATCH($A68,'Mock Database'!$C$3:$C$152,0)),"",IF(ISBLANK(OFFSET('Mock Database'!$N$2,MATCH($A68,'Mock Database'!$C$3:$C$152,0),0)),"",INDEX('Mock Database'!$N$3:$N$152,MATCH($A68,'Mock Database'!$C$3:$C$152,0))))</f>
        <v/>
      </c>
      <c r="F68" s="89" t="str">
        <f ca="1">IF(ISNA(MATCH($A68,'Mock Database'!$C$3:$C$152,0)),"",IF(ISBLANK(OFFSET('Mock Database'!$S$2,MATCH($A68,'Mock Database'!$C$3:$C$152,0),0)),"",INDEX('Mock Database'!$S$3:$S$152,MATCH($A68,'Mock Database'!$C$3:$C$152,0))))</f>
        <v/>
      </c>
      <c r="G68" s="22" t="str">
        <f ca="1">IF(ISNA(MATCH($A68,'Mock Database'!$C$3:$C$152,0)),"",IF(ISBLANK(OFFSET('Mock Database'!$T$2,MATCH($A68,'Mock Database'!$C$3:$C$152,0),0)),"",INDEX('Mock Database'!$T$3:$T$152,MATCH($A68,'Mock Database'!$C$3:$C$152,0))))</f>
        <v/>
      </c>
      <c r="H68" s="89" t="str">
        <f ca="1">IF(ISNA(MATCH($A68,'Mock Database'!$C$3:$C$152,0)),"",IF(ISBLANK(OFFSET('Mock Database'!$Y$2,MATCH($A68,'Mock Database'!$C$3:$C$152,0),0)),"",INDEX('Mock Database'!$Y$3:$Y$152,MATCH($A68,'Mock Database'!$C$3:$C$152,0))))</f>
        <v/>
      </c>
      <c r="I68" s="22" t="str">
        <f ca="1">IF(ISNA(MATCH($A68,'Mock Database'!$C$3:$C$152,0)),"",IF(ISBLANK(OFFSET('Mock Database'!$Z$2,MATCH($A68,'Mock Database'!$C$3:$C$152,0),0)),"",INDEX('Mock Database'!$Z$3:$Z$152,MATCH($A68,'Mock Database'!$C$3:$C$152,0))))</f>
        <v/>
      </c>
      <c r="J68" s="89" t="str">
        <f ca="1">IF(ISNA(MATCH($A68,'Mock Database'!$C$3:$C$152,0)),"",IF(ISBLANK(OFFSET('Mock Database'!$AE$2,MATCH($A68,'Mock Database'!$C$3:$C$152,0),0)),"",INDEX('Mock Database'!$AE$3:$AE$152,MATCH($A68,'Mock Database'!$C$3:$C$152,0))))</f>
        <v/>
      </c>
      <c r="K68" s="22" t="str">
        <f ca="1">IF(ISNA(MATCH($A68,'Mock Database'!$C$3:$C$152,0)),"",IF(ISBLANK(OFFSET('Mock Database'!$AF$2,MATCH($A68,'Mock Database'!$C$3:$C$152,0),0)),"",INDEX('Mock Database'!$AF$3:$AF$152,MATCH($A68,'Mock Database'!$C$3:$C$152,0))))</f>
        <v/>
      </c>
      <c r="N68" t="e">
        <f t="shared" si="11"/>
        <v>#N/A</v>
      </c>
      <c r="O68" s="89" t="e">
        <f t="shared" ca="1" si="12"/>
        <v>#N/A</v>
      </c>
      <c r="P68" s="22" t="e">
        <f t="shared" ca="1" si="13"/>
        <v>#N/A</v>
      </c>
      <c r="Q68" s="89" t="e">
        <f t="shared" ca="1" si="14"/>
        <v>#N/A</v>
      </c>
      <c r="R68" s="22" t="e">
        <f t="shared" ca="1" si="15"/>
        <v>#N/A</v>
      </c>
      <c r="S68" s="89" t="e">
        <f t="shared" ca="1" si="16"/>
        <v>#N/A</v>
      </c>
      <c r="T68" s="22" t="e">
        <f t="shared" ca="1" si="17"/>
        <v>#N/A</v>
      </c>
      <c r="U68" s="89" t="e">
        <f t="shared" ca="1" si="18"/>
        <v>#N/A</v>
      </c>
      <c r="V68" s="22" t="e">
        <f t="shared" ca="1" si="19"/>
        <v>#N/A</v>
      </c>
      <c r="AM68" t="e">
        <f t="shared" si="20"/>
        <v>#N/A</v>
      </c>
      <c r="AN68" t="e">
        <f t="shared" ca="1" si="21"/>
        <v>#N/A</v>
      </c>
    </row>
    <row r="69" spans="1:40" ht="15" customHeight="1" x14ac:dyDescent="0.3">
      <c r="A69" s="87">
        <v>68</v>
      </c>
      <c r="B69" t="str">
        <f>IFERROR(INDEX('Mock Database'!$D$3:$D$152,MATCH($A69,'Mock Database'!$C$3:$C$152,0)),"")</f>
        <v/>
      </c>
      <c r="C69" s="88" t="str">
        <f>IFERROR(INDEX('Mock Database'!$I$3:$I$152,MATCH($A69,'Mock Database'!$C$3:$C$152,0)),"")</f>
        <v/>
      </c>
      <c r="D69" s="89" t="str">
        <f ca="1">IF(ISNA(MATCH($A69,'Mock Database'!$C$3:$C$152,0)),"",IF(ISBLANK(OFFSET('Mock Database'!$M$2,MATCH($A69,'Mock Database'!$C$3:$C$152,0),0)),"",INDEX('Mock Database'!$M$3:$M$152,MATCH($A69,'Mock Database'!$C$3:$C$152,0))))</f>
        <v/>
      </c>
      <c r="E69" s="22" t="str">
        <f ca="1">IF(ISNA(MATCH($A69,'Mock Database'!$C$3:$C$152,0)),"",IF(ISBLANK(OFFSET('Mock Database'!$N$2,MATCH($A69,'Mock Database'!$C$3:$C$152,0),0)),"",INDEX('Mock Database'!$N$3:$N$152,MATCH($A69,'Mock Database'!$C$3:$C$152,0))))</f>
        <v/>
      </c>
      <c r="F69" s="89" t="str">
        <f ca="1">IF(ISNA(MATCH($A69,'Mock Database'!$C$3:$C$152,0)),"",IF(ISBLANK(OFFSET('Mock Database'!$S$2,MATCH($A69,'Mock Database'!$C$3:$C$152,0),0)),"",INDEX('Mock Database'!$S$3:$S$152,MATCH($A69,'Mock Database'!$C$3:$C$152,0))))</f>
        <v/>
      </c>
      <c r="G69" s="22" t="str">
        <f ca="1">IF(ISNA(MATCH($A69,'Mock Database'!$C$3:$C$152,0)),"",IF(ISBLANK(OFFSET('Mock Database'!$T$2,MATCH($A69,'Mock Database'!$C$3:$C$152,0),0)),"",INDEX('Mock Database'!$T$3:$T$152,MATCH($A69,'Mock Database'!$C$3:$C$152,0))))</f>
        <v/>
      </c>
      <c r="H69" s="89" t="str">
        <f ca="1">IF(ISNA(MATCH($A69,'Mock Database'!$C$3:$C$152,0)),"",IF(ISBLANK(OFFSET('Mock Database'!$Y$2,MATCH($A69,'Mock Database'!$C$3:$C$152,0),0)),"",INDEX('Mock Database'!$Y$3:$Y$152,MATCH($A69,'Mock Database'!$C$3:$C$152,0))))</f>
        <v/>
      </c>
      <c r="I69" s="22" t="str">
        <f ca="1">IF(ISNA(MATCH($A69,'Mock Database'!$C$3:$C$152,0)),"",IF(ISBLANK(OFFSET('Mock Database'!$Z$2,MATCH($A69,'Mock Database'!$C$3:$C$152,0),0)),"",INDEX('Mock Database'!$Z$3:$Z$152,MATCH($A69,'Mock Database'!$C$3:$C$152,0))))</f>
        <v/>
      </c>
      <c r="J69" s="89" t="str">
        <f ca="1">IF(ISNA(MATCH($A69,'Mock Database'!$C$3:$C$152,0)),"",IF(ISBLANK(OFFSET('Mock Database'!$AE$2,MATCH($A69,'Mock Database'!$C$3:$C$152,0),0)),"",INDEX('Mock Database'!$AE$3:$AE$152,MATCH($A69,'Mock Database'!$C$3:$C$152,0))))</f>
        <v/>
      </c>
      <c r="K69" s="22" t="str">
        <f ca="1">IF(ISNA(MATCH($A69,'Mock Database'!$C$3:$C$152,0)),"",IF(ISBLANK(OFFSET('Mock Database'!$AF$2,MATCH($A69,'Mock Database'!$C$3:$C$152,0),0)),"",INDEX('Mock Database'!$AF$3:$AF$152,MATCH($A69,'Mock Database'!$C$3:$C$152,0))))</f>
        <v/>
      </c>
      <c r="N69" t="e">
        <f t="shared" si="11"/>
        <v>#N/A</v>
      </c>
      <c r="O69" s="89" t="e">
        <f t="shared" ca="1" si="12"/>
        <v>#N/A</v>
      </c>
      <c r="P69" s="22" t="e">
        <f t="shared" ca="1" si="13"/>
        <v>#N/A</v>
      </c>
      <c r="Q69" s="89" t="e">
        <f t="shared" ca="1" si="14"/>
        <v>#N/A</v>
      </c>
      <c r="R69" s="22" t="e">
        <f t="shared" ca="1" si="15"/>
        <v>#N/A</v>
      </c>
      <c r="S69" s="89" t="e">
        <f t="shared" ca="1" si="16"/>
        <v>#N/A</v>
      </c>
      <c r="T69" s="22" t="e">
        <f t="shared" ca="1" si="17"/>
        <v>#N/A</v>
      </c>
      <c r="U69" s="89" t="e">
        <f t="shared" ca="1" si="18"/>
        <v>#N/A</v>
      </c>
      <c r="V69" s="22" t="e">
        <f t="shared" ca="1" si="19"/>
        <v>#N/A</v>
      </c>
      <c r="AM69" t="e">
        <f t="shared" si="20"/>
        <v>#N/A</v>
      </c>
      <c r="AN69" t="e">
        <f t="shared" ca="1" si="21"/>
        <v>#N/A</v>
      </c>
    </row>
    <row r="70" spans="1:40" ht="15" customHeight="1" x14ac:dyDescent="0.3">
      <c r="A70" s="87">
        <v>69</v>
      </c>
      <c r="B70" t="str">
        <f>IFERROR(INDEX('Mock Database'!$D$3:$D$152,MATCH($A70,'Mock Database'!$C$3:$C$152,0)),"")</f>
        <v/>
      </c>
      <c r="C70" s="88" t="str">
        <f>IFERROR(INDEX('Mock Database'!$I$3:$I$152,MATCH($A70,'Mock Database'!$C$3:$C$152,0)),"")</f>
        <v/>
      </c>
      <c r="D70" s="89" t="str">
        <f ca="1">IF(ISNA(MATCH($A70,'Mock Database'!$C$3:$C$152,0)),"",IF(ISBLANK(OFFSET('Mock Database'!$M$2,MATCH($A70,'Mock Database'!$C$3:$C$152,0),0)),"",INDEX('Mock Database'!$M$3:$M$152,MATCH($A70,'Mock Database'!$C$3:$C$152,0))))</f>
        <v/>
      </c>
      <c r="E70" s="22" t="str">
        <f ca="1">IF(ISNA(MATCH($A70,'Mock Database'!$C$3:$C$152,0)),"",IF(ISBLANK(OFFSET('Mock Database'!$N$2,MATCH($A70,'Mock Database'!$C$3:$C$152,0),0)),"",INDEX('Mock Database'!$N$3:$N$152,MATCH($A70,'Mock Database'!$C$3:$C$152,0))))</f>
        <v/>
      </c>
      <c r="F70" s="89" t="str">
        <f ca="1">IF(ISNA(MATCH($A70,'Mock Database'!$C$3:$C$152,0)),"",IF(ISBLANK(OFFSET('Mock Database'!$S$2,MATCH($A70,'Mock Database'!$C$3:$C$152,0),0)),"",INDEX('Mock Database'!$S$3:$S$152,MATCH($A70,'Mock Database'!$C$3:$C$152,0))))</f>
        <v/>
      </c>
      <c r="G70" s="22" t="str">
        <f ca="1">IF(ISNA(MATCH($A70,'Mock Database'!$C$3:$C$152,0)),"",IF(ISBLANK(OFFSET('Mock Database'!$T$2,MATCH($A70,'Mock Database'!$C$3:$C$152,0),0)),"",INDEX('Mock Database'!$T$3:$T$152,MATCH($A70,'Mock Database'!$C$3:$C$152,0))))</f>
        <v/>
      </c>
      <c r="H70" s="89" t="str">
        <f ca="1">IF(ISNA(MATCH($A70,'Mock Database'!$C$3:$C$152,0)),"",IF(ISBLANK(OFFSET('Mock Database'!$Y$2,MATCH($A70,'Mock Database'!$C$3:$C$152,0),0)),"",INDEX('Mock Database'!$Y$3:$Y$152,MATCH($A70,'Mock Database'!$C$3:$C$152,0))))</f>
        <v/>
      </c>
      <c r="I70" s="22" t="str">
        <f ca="1">IF(ISNA(MATCH($A70,'Mock Database'!$C$3:$C$152,0)),"",IF(ISBLANK(OFFSET('Mock Database'!$Z$2,MATCH($A70,'Mock Database'!$C$3:$C$152,0),0)),"",INDEX('Mock Database'!$Z$3:$Z$152,MATCH($A70,'Mock Database'!$C$3:$C$152,0))))</f>
        <v/>
      </c>
      <c r="J70" s="89" t="str">
        <f ca="1">IF(ISNA(MATCH($A70,'Mock Database'!$C$3:$C$152,0)),"",IF(ISBLANK(OFFSET('Mock Database'!$AE$2,MATCH($A70,'Mock Database'!$C$3:$C$152,0),0)),"",INDEX('Mock Database'!$AE$3:$AE$152,MATCH($A70,'Mock Database'!$C$3:$C$152,0))))</f>
        <v/>
      </c>
      <c r="K70" s="22" t="str">
        <f ca="1">IF(ISNA(MATCH($A70,'Mock Database'!$C$3:$C$152,0)),"",IF(ISBLANK(OFFSET('Mock Database'!$AF$2,MATCH($A70,'Mock Database'!$C$3:$C$152,0),0)),"",INDEX('Mock Database'!$AF$3:$AF$152,MATCH($A70,'Mock Database'!$C$3:$C$152,0))))</f>
        <v/>
      </c>
      <c r="N70" t="e">
        <f t="shared" si="11"/>
        <v>#N/A</v>
      </c>
      <c r="O70" s="89" t="e">
        <f t="shared" ca="1" si="12"/>
        <v>#N/A</v>
      </c>
      <c r="P70" s="22" t="e">
        <f t="shared" ca="1" si="13"/>
        <v>#N/A</v>
      </c>
      <c r="Q70" s="89" t="e">
        <f t="shared" ca="1" si="14"/>
        <v>#N/A</v>
      </c>
      <c r="R70" s="22" t="e">
        <f t="shared" ca="1" si="15"/>
        <v>#N/A</v>
      </c>
      <c r="S70" s="89" t="e">
        <f t="shared" ca="1" si="16"/>
        <v>#N/A</v>
      </c>
      <c r="T70" s="22" t="e">
        <f t="shared" ca="1" si="17"/>
        <v>#N/A</v>
      </c>
      <c r="U70" s="89" t="e">
        <f t="shared" ca="1" si="18"/>
        <v>#N/A</v>
      </c>
      <c r="V70" s="22" t="e">
        <f t="shared" ca="1" si="19"/>
        <v>#N/A</v>
      </c>
      <c r="AM70" t="e">
        <f t="shared" si="20"/>
        <v>#N/A</v>
      </c>
      <c r="AN70" t="e">
        <f t="shared" ca="1" si="21"/>
        <v>#N/A</v>
      </c>
    </row>
    <row r="71" spans="1:40" ht="15" customHeight="1" x14ac:dyDescent="0.3">
      <c r="A71" s="87">
        <v>70</v>
      </c>
      <c r="B71" t="str">
        <f>IFERROR(INDEX('Mock Database'!$D$3:$D$152,MATCH($A71,'Mock Database'!$C$3:$C$152,0)),"")</f>
        <v/>
      </c>
      <c r="C71" s="88" t="str">
        <f>IFERROR(INDEX('Mock Database'!$I$3:$I$152,MATCH($A71,'Mock Database'!$C$3:$C$152,0)),"")</f>
        <v/>
      </c>
      <c r="D71" s="89" t="str">
        <f ca="1">IF(ISNA(MATCH($A71,'Mock Database'!$C$3:$C$152,0)),"",IF(ISBLANK(OFFSET('Mock Database'!$M$2,MATCH($A71,'Mock Database'!$C$3:$C$152,0),0)),"",INDEX('Mock Database'!$M$3:$M$152,MATCH($A71,'Mock Database'!$C$3:$C$152,0))))</f>
        <v/>
      </c>
      <c r="E71" s="22" t="str">
        <f ca="1">IF(ISNA(MATCH($A71,'Mock Database'!$C$3:$C$152,0)),"",IF(ISBLANK(OFFSET('Mock Database'!$N$2,MATCH($A71,'Mock Database'!$C$3:$C$152,0),0)),"",INDEX('Mock Database'!$N$3:$N$152,MATCH($A71,'Mock Database'!$C$3:$C$152,0))))</f>
        <v/>
      </c>
      <c r="F71" s="89" t="str">
        <f ca="1">IF(ISNA(MATCH($A71,'Mock Database'!$C$3:$C$152,0)),"",IF(ISBLANK(OFFSET('Mock Database'!$S$2,MATCH($A71,'Mock Database'!$C$3:$C$152,0),0)),"",INDEX('Mock Database'!$S$3:$S$152,MATCH($A71,'Mock Database'!$C$3:$C$152,0))))</f>
        <v/>
      </c>
      <c r="G71" s="22" t="str">
        <f ca="1">IF(ISNA(MATCH($A71,'Mock Database'!$C$3:$C$152,0)),"",IF(ISBLANK(OFFSET('Mock Database'!$T$2,MATCH($A71,'Mock Database'!$C$3:$C$152,0),0)),"",INDEX('Mock Database'!$T$3:$T$152,MATCH($A71,'Mock Database'!$C$3:$C$152,0))))</f>
        <v/>
      </c>
      <c r="H71" s="89" t="str">
        <f ca="1">IF(ISNA(MATCH($A71,'Mock Database'!$C$3:$C$152,0)),"",IF(ISBLANK(OFFSET('Mock Database'!$Y$2,MATCH($A71,'Mock Database'!$C$3:$C$152,0),0)),"",INDEX('Mock Database'!$Y$3:$Y$152,MATCH($A71,'Mock Database'!$C$3:$C$152,0))))</f>
        <v/>
      </c>
      <c r="I71" s="22" t="str">
        <f ca="1">IF(ISNA(MATCH($A71,'Mock Database'!$C$3:$C$152,0)),"",IF(ISBLANK(OFFSET('Mock Database'!$Z$2,MATCH($A71,'Mock Database'!$C$3:$C$152,0),0)),"",INDEX('Mock Database'!$Z$3:$Z$152,MATCH($A71,'Mock Database'!$C$3:$C$152,0))))</f>
        <v/>
      </c>
      <c r="J71" s="89" t="str">
        <f ca="1">IF(ISNA(MATCH($A71,'Mock Database'!$C$3:$C$152,0)),"",IF(ISBLANK(OFFSET('Mock Database'!$AE$2,MATCH($A71,'Mock Database'!$C$3:$C$152,0),0)),"",INDEX('Mock Database'!$AE$3:$AE$152,MATCH($A71,'Mock Database'!$C$3:$C$152,0))))</f>
        <v/>
      </c>
      <c r="K71" s="22" t="str">
        <f ca="1">IF(ISNA(MATCH($A71,'Mock Database'!$C$3:$C$152,0)),"",IF(ISBLANK(OFFSET('Mock Database'!$AF$2,MATCH($A71,'Mock Database'!$C$3:$C$152,0),0)),"",INDEX('Mock Database'!$AF$3:$AF$152,MATCH($A71,'Mock Database'!$C$3:$C$152,0))))</f>
        <v/>
      </c>
      <c r="N71" t="e">
        <f t="shared" si="11"/>
        <v>#N/A</v>
      </c>
      <c r="O71" s="89" t="e">
        <f t="shared" ca="1" si="12"/>
        <v>#N/A</v>
      </c>
      <c r="P71" s="22" t="e">
        <f t="shared" ca="1" si="13"/>
        <v>#N/A</v>
      </c>
      <c r="Q71" s="89" t="e">
        <f t="shared" ca="1" si="14"/>
        <v>#N/A</v>
      </c>
      <c r="R71" s="22" t="e">
        <f t="shared" ca="1" si="15"/>
        <v>#N/A</v>
      </c>
      <c r="S71" s="89" t="e">
        <f t="shared" ca="1" si="16"/>
        <v>#N/A</v>
      </c>
      <c r="T71" s="22" t="e">
        <f t="shared" ca="1" si="17"/>
        <v>#N/A</v>
      </c>
      <c r="U71" s="89" t="e">
        <f t="shared" ca="1" si="18"/>
        <v>#N/A</v>
      </c>
      <c r="V71" s="22" t="e">
        <f t="shared" ca="1" si="19"/>
        <v>#N/A</v>
      </c>
      <c r="AM71" t="e">
        <f t="shared" si="20"/>
        <v>#N/A</v>
      </c>
      <c r="AN71" t="e">
        <f t="shared" ca="1" si="21"/>
        <v>#N/A</v>
      </c>
    </row>
    <row r="72" spans="1:40" ht="15" customHeight="1" x14ac:dyDescent="0.3">
      <c r="A72" s="87">
        <v>71</v>
      </c>
      <c r="B72" t="str">
        <f>IFERROR(INDEX('Mock Database'!$D$3:$D$152,MATCH($A72,'Mock Database'!$C$3:$C$152,0)),"")</f>
        <v/>
      </c>
      <c r="C72" s="88" t="str">
        <f>IFERROR(INDEX('Mock Database'!$I$3:$I$152,MATCH($A72,'Mock Database'!$C$3:$C$152,0)),"")</f>
        <v/>
      </c>
      <c r="D72" s="89" t="str">
        <f ca="1">IF(ISNA(MATCH($A72,'Mock Database'!$C$3:$C$152,0)),"",IF(ISBLANK(OFFSET('Mock Database'!$M$2,MATCH($A72,'Mock Database'!$C$3:$C$152,0),0)),"",INDEX('Mock Database'!$M$3:$M$152,MATCH($A72,'Mock Database'!$C$3:$C$152,0))))</f>
        <v/>
      </c>
      <c r="E72" s="22" t="str">
        <f ca="1">IF(ISNA(MATCH($A72,'Mock Database'!$C$3:$C$152,0)),"",IF(ISBLANK(OFFSET('Mock Database'!$N$2,MATCH($A72,'Mock Database'!$C$3:$C$152,0),0)),"",INDEX('Mock Database'!$N$3:$N$152,MATCH($A72,'Mock Database'!$C$3:$C$152,0))))</f>
        <v/>
      </c>
      <c r="F72" s="89" t="str">
        <f ca="1">IF(ISNA(MATCH($A72,'Mock Database'!$C$3:$C$152,0)),"",IF(ISBLANK(OFFSET('Mock Database'!$S$2,MATCH($A72,'Mock Database'!$C$3:$C$152,0),0)),"",INDEX('Mock Database'!$S$3:$S$152,MATCH($A72,'Mock Database'!$C$3:$C$152,0))))</f>
        <v/>
      </c>
      <c r="G72" s="22" t="str">
        <f ca="1">IF(ISNA(MATCH($A72,'Mock Database'!$C$3:$C$152,0)),"",IF(ISBLANK(OFFSET('Mock Database'!$T$2,MATCH($A72,'Mock Database'!$C$3:$C$152,0),0)),"",INDEX('Mock Database'!$T$3:$T$152,MATCH($A72,'Mock Database'!$C$3:$C$152,0))))</f>
        <v/>
      </c>
      <c r="H72" s="89" t="str">
        <f ca="1">IF(ISNA(MATCH($A72,'Mock Database'!$C$3:$C$152,0)),"",IF(ISBLANK(OFFSET('Mock Database'!$Y$2,MATCH($A72,'Mock Database'!$C$3:$C$152,0),0)),"",INDEX('Mock Database'!$Y$3:$Y$152,MATCH($A72,'Mock Database'!$C$3:$C$152,0))))</f>
        <v/>
      </c>
      <c r="I72" s="22" t="str">
        <f ca="1">IF(ISNA(MATCH($A72,'Mock Database'!$C$3:$C$152,0)),"",IF(ISBLANK(OFFSET('Mock Database'!$Z$2,MATCH($A72,'Mock Database'!$C$3:$C$152,0),0)),"",INDEX('Mock Database'!$Z$3:$Z$152,MATCH($A72,'Mock Database'!$C$3:$C$152,0))))</f>
        <v/>
      </c>
      <c r="J72" s="89" t="str">
        <f ca="1">IF(ISNA(MATCH($A72,'Mock Database'!$C$3:$C$152,0)),"",IF(ISBLANK(OFFSET('Mock Database'!$AE$2,MATCH($A72,'Mock Database'!$C$3:$C$152,0),0)),"",INDEX('Mock Database'!$AE$3:$AE$152,MATCH($A72,'Mock Database'!$C$3:$C$152,0))))</f>
        <v/>
      </c>
      <c r="K72" s="22" t="str">
        <f ca="1">IF(ISNA(MATCH($A72,'Mock Database'!$C$3:$C$152,0)),"",IF(ISBLANK(OFFSET('Mock Database'!$AF$2,MATCH($A72,'Mock Database'!$C$3:$C$152,0),0)),"",INDEX('Mock Database'!$AF$3:$AF$152,MATCH($A72,'Mock Database'!$C$3:$C$152,0))))</f>
        <v/>
      </c>
      <c r="N72" t="e">
        <f t="shared" si="11"/>
        <v>#N/A</v>
      </c>
      <c r="O72" s="89" t="e">
        <f t="shared" ca="1" si="12"/>
        <v>#N/A</v>
      </c>
      <c r="P72" s="22" t="e">
        <f t="shared" ca="1" si="13"/>
        <v>#N/A</v>
      </c>
      <c r="Q72" s="89" t="e">
        <f t="shared" ca="1" si="14"/>
        <v>#N/A</v>
      </c>
      <c r="R72" s="22" t="e">
        <f t="shared" ca="1" si="15"/>
        <v>#N/A</v>
      </c>
      <c r="S72" s="89" t="e">
        <f t="shared" ca="1" si="16"/>
        <v>#N/A</v>
      </c>
      <c r="T72" s="22" t="e">
        <f t="shared" ca="1" si="17"/>
        <v>#N/A</v>
      </c>
      <c r="U72" s="89" t="e">
        <f t="shared" ca="1" si="18"/>
        <v>#N/A</v>
      </c>
      <c r="V72" s="22" t="e">
        <f t="shared" ca="1" si="19"/>
        <v>#N/A</v>
      </c>
      <c r="AM72" t="e">
        <f t="shared" si="20"/>
        <v>#N/A</v>
      </c>
      <c r="AN72" t="e">
        <f t="shared" ca="1" si="21"/>
        <v>#N/A</v>
      </c>
    </row>
    <row r="73" spans="1:40" ht="15" customHeight="1" x14ac:dyDescent="0.3">
      <c r="A73" s="87">
        <v>72</v>
      </c>
      <c r="B73" t="str">
        <f>IFERROR(INDEX('Mock Database'!$D$3:$D$152,MATCH($A73,'Mock Database'!$C$3:$C$152,0)),"")</f>
        <v/>
      </c>
      <c r="C73" s="88" t="str">
        <f>IFERROR(INDEX('Mock Database'!$I$3:$I$152,MATCH($A73,'Mock Database'!$C$3:$C$152,0)),"")</f>
        <v/>
      </c>
      <c r="D73" s="89" t="str">
        <f ca="1">IF(ISNA(MATCH($A73,'Mock Database'!$C$3:$C$152,0)),"",IF(ISBLANK(OFFSET('Mock Database'!$M$2,MATCH($A73,'Mock Database'!$C$3:$C$152,0),0)),"",INDEX('Mock Database'!$M$3:$M$152,MATCH($A73,'Mock Database'!$C$3:$C$152,0))))</f>
        <v/>
      </c>
      <c r="E73" s="22" t="str">
        <f ca="1">IF(ISNA(MATCH($A73,'Mock Database'!$C$3:$C$152,0)),"",IF(ISBLANK(OFFSET('Mock Database'!$N$2,MATCH($A73,'Mock Database'!$C$3:$C$152,0),0)),"",INDEX('Mock Database'!$N$3:$N$152,MATCH($A73,'Mock Database'!$C$3:$C$152,0))))</f>
        <v/>
      </c>
      <c r="F73" s="89" t="str">
        <f ca="1">IF(ISNA(MATCH($A73,'Mock Database'!$C$3:$C$152,0)),"",IF(ISBLANK(OFFSET('Mock Database'!$S$2,MATCH($A73,'Mock Database'!$C$3:$C$152,0),0)),"",INDEX('Mock Database'!$S$3:$S$152,MATCH($A73,'Mock Database'!$C$3:$C$152,0))))</f>
        <v/>
      </c>
      <c r="G73" s="22" t="str">
        <f ca="1">IF(ISNA(MATCH($A73,'Mock Database'!$C$3:$C$152,0)),"",IF(ISBLANK(OFFSET('Mock Database'!$T$2,MATCH($A73,'Mock Database'!$C$3:$C$152,0),0)),"",INDEX('Mock Database'!$T$3:$T$152,MATCH($A73,'Mock Database'!$C$3:$C$152,0))))</f>
        <v/>
      </c>
      <c r="H73" s="89" t="str">
        <f ca="1">IF(ISNA(MATCH($A73,'Mock Database'!$C$3:$C$152,0)),"",IF(ISBLANK(OFFSET('Mock Database'!$Y$2,MATCH($A73,'Mock Database'!$C$3:$C$152,0),0)),"",INDEX('Mock Database'!$Y$3:$Y$152,MATCH($A73,'Mock Database'!$C$3:$C$152,0))))</f>
        <v/>
      </c>
      <c r="I73" s="22" t="str">
        <f ca="1">IF(ISNA(MATCH($A73,'Mock Database'!$C$3:$C$152,0)),"",IF(ISBLANK(OFFSET('Mock Database'!$Z$2,MATCH($A73,'Mock Database'!$C$3:$C$152,0),0)),"",INDEX('Mock Database'!$Z$3:$Z$152,MATCH($A73,'Mock Database'!$C$3:$C$152,0))))</f>
        <v/>
      </c>
      <c r="J73" s="89" t="str">
        <f ca="1">IF(ISNA(MATCH($A73,'Mock Database'!$C$3:$C$152,0)),"",IF(ISBLANK(OFFSET('Mock Database'!$AE$2,MATCH($A73,'Mock Database'!$C$3:$C$152,0),0)),"",INDEX('Mock Database'!$AE$3:$AE$152,MATCH($A73,'Mock Database'!$C$3:$C$152,0))))</f>
        <v/>
      </c>
      <c r="K73" s="22" t="str">
        <f ca="1">IF(ISNA(MATCH($A73,'Mock Database'!$C$3:$C$152,0)),"",IF(ISBLANK(OFFSET('Mock Database'!$AF$2,MATCH($A73,'Mock Database'!$C$3:$C$152,0),0)),"",INDEX('Mock Database'!$AF$3:$AF$152,MATCH($A73,'Mock Database'!$C$3:$C$152,0))))</f>
        <v/>
      </c>
      <c r="N73" t="e">
        <f t="shared" si="11"/>
        <v>#N/A</v>
      </c>
      <c r="O73" s="89" t="e">
        <f t="shared" ca="1" si="12"/>
        <v>#N/A</v>
      </c>
      <c r="P73" s="22" t="e">
        <f t="shared" ca="1" si="13"/>
        <v>#N/A</v>
      </c>
      <c r="Q73" s="89" t="e">
        <f t="shared" ca="1" si="14"/>
        <v>#N/A</v>
      </c>
      <c r="R73" s="22" t="e">
        <f t="shared" ca="1" si="15"/>
        <v>#N/A</v>
      </c>
      <c r="S73" s="89" t="e">
        <f t="shared" ca="1" si="16"/>
        <v>#N/A</v>
      </c>
      <c r="T73" s="22" t="e">
        <f t="shared" ca="1" si="17"/>
        <v>#N/A</v>
      </c>
      <c r="U73" s="89" t="e">
        <f t="shared" ca="1" si="18"/>
        <v>#N/A</v>
      </c>
      <c r="V73" s="22" t="e">
        <f t="shared" ca="1" si="19"/>
        <v>#N/A</v>
      </c>
      <c r="AM73" t="e">
        <f t="shared" si="20"/>
        <v>#N/A</v>
      </c>
      <c r="AN73" t="e">
        <f t="shared" ca="1" si="21"/>
        <v>#N/A</v>
      </c>
    </row>
    <row r="74" spans="1:40" ht="15" customHeight="1" x14ac:dyDescent="0.3">
      <c r="A74" s="87">
        <v>73</v>
      </c>
      <c r="B74" t="str">
        <f>IFERROR(INDEX('Mock Database'!$D$3:$D$152,MATCH($A74,'Mock Database'!$C$3:$C$152,0)),"")</f>
        <v/>
      </c>
      <c r="C74" s="88" t="str">
        <f>IFERROR(INDEX('Mock Database'!$I$3:$I$152,MATCH($A74,'Mock Database'!$C$3:$C$152,0)),"")</f>
        <v/>
      </c>
      <c r="D74" s="89" t="str">
        <f ca="1">IF(ISNA(MATCH($A74,'Mock Database'!$C$3:$C$152,0)),"",IF(ISBLANK(OFFSET('Mock Database'!$M$2,MATCH($A74,'Mock Database'!$C$3:$C$152,0),0)),"",INDEX('Mock Database'!$M$3:$M$152,MATCH($A74,'Mock Database'!$C$3:$C$152,0))))</f>
        <v/>
      </c>
      <c r="E74" s="22" t="str">
        <f ca="1">IF(ISNA(MATCH($A74,'Mock Database'!$C$3:$C$152,0)),"",IF(ISBLANK(OFFSET('Mock Database'!$N$2,MATCH($A74,'Mock Database'!$C$3:$C$152,0),0)),"",INDEX('Mock Database'!$N$3:$N$152,MATCH($A74,'Mock Database'!$C$3:$C$152,0))))</f>
        <v/>
      </c>
      <c r="F74" s="89" t="str">
        <f ca="1">IF(ISNA(MATCH($A74,'Mock Database'!$C$3:$C$152,0)),"",IF(ISBLANK(OFFSET('Mock Database'!$S$2,MATCH($A74,'Mock Database'!$C$3:$C$152,0),0)),"",INDEX('Mock Database'!$S$3:$S$152,MATCH($A74,'Mock Database'!$C$3:$C$152,0))))</f>
        <v/>
      </c>
      <c r="G74" s="22" t="str">
        <f ca="1">IF(ISNA(MATCH($A74,'Mock Database'!$C$3:$C$152,0)),"",IF(ISBLANK(OFFSET('Mock Database'!$T$2,MATCH($A74,'Mock Database'!$C$3:$C$152,0),0)),"",INDEX('Mock Database'!$T$3:$T$152,MATCH($A74,'Mock Database'!$C$3:$C$152,0))))</f>
        <v/>
      </c>
      <c r="H74" s="89" t="str">
        <f ca="1">IF(ISNA(MATCH($A74,'Mock Database'!$C$3:$C$152,0)),"",IF(ISBLANK(OFFSET('Mock Database'!$Y$2,MATCH($A74,'Mock Database'!$C$3:$C$152,0),0)),"",INDEX('Mock Database'!$Y$3:$Y$152,MATCH($A74,'Mock Database'!$C$3:$C$152,0))))</f>
        <v/>
      </c>
      <c r="I74" s="22" t="str">
        <f ca="1">IF(ISNA(MATCH($A74,'Mock Database'!$C$3:$C$152,0)),"",IF(ISBLANK(OFFSET('Mock Database'!$Z$2,MATCH($A74,'Mock Database'!$C$3:$C$152,0),0)),"",INDEX('Mock Database'!$Z$3:$Z$152,MATCH($A74,'Mock Database'!$C$3:$C$152,0))))</f>
        <v/>
      </c>
      <c r="J74" s="89" t="str">
        <f ca="1">IF(ISNA(MATCH($A74,'Mock Database'!$C$3:$C$152,0)),"",IF(ISBLANK(OFFSET('Mock Database'!$AE$2,MATCH($A74,'Mock Database'!$C$3:$C$152,0),0)),"",INDEX('Mock Database'!$AE$3:$AE$152,MATCH($A74,'Mock Database'!$C$3:$C$152,0))))</f>
        <v/>
      </c>
      <c r="K74" s="22" t="str">
        <f ca="1">IF(ISNA(MATCH($A74,'Mock Database'!$C$3:$C$152,0)),"",IF(ISBLANK(OFFSET('Mock Database'!$AF$2,MATCH($A74,'Mock Database'!$C$3:$C$152,0),0)),"",INDEX('Mock Database'!$AF$3:$AF$152,MATCH($A74,'Mock Database'!$C$3:$C$152,0))))</f>
        <v/>
      </c>
      <c r="N74" t="e">
        <f t="shared" si="11"/>
        <v>#N/A</v>
      </c>
      <c r="O74" s="89" t="e">
        <f t="shared" ca="1" si="12"/>
        <v>#N/A</v>
      </c>
      <c r="P74" s="22" t="e">
        <f t="shared" ca="1" si="13"/>
        <v>#N/A</v>
      </c>
      <c r="Q74" s="89" t="e">
        <f t="shared" ca="1" si="14"/>
        <v>#N/A</v>
      </c>
      <c r="R74" s="22" t="e">
        <f t="shared" ca="1" si="15"/>
        <v>#N/A</v>
      </c>
      <c r="S74" s="89" t="e">
        <f t="shared" ca="1" si="16"/>
        <v>#N/A</v>
      </c>
      <c r="T74" s="22" t="e">
        <f t="shared" ca="1" si="17"/>
        <v>#N/A</v>
      </c>
      <c r="U74" s="89" t="e">
        <f t="shared" ca="1" si="18"/>
        <v>#N/A</v>
      </c>
      <c r="V74" s="22" t="e">
        <f t="shared" ca="1" si="19"/>
        <v>#N/A</v>
      </c>
      <c r="AM74" t="e">
        <f t="shared" si="20"/>
        <v>#N/A</v>
      </c>
      <c r="AN74" t="e">
        <f t="shared" ca="1" si="21"/>
        <v>#N/A</v>
      </c>
    </row>
    <row r="75" spans="1:40" ht="15" customHeight="1" x14ac:dyDescent="0.3">
      <c r="A75" s="87">
        <v>74</v>
      </c>
      <c r="B75" t="str">
        <f>IFERROR(INDEX('Mock Database'!$D$3:$D$152,MATCH($A75,'Mock Database'!$C$3:$C$152,0)),"")</f>
        <v/>
      </c>
      <c r="C75" s="88" t="str">
        <f>IFERROR(INDEX('Mock Database'!$I$3:$I$152,MATCH($A75,'Mock Database'!$C$3:$C$152,0)),"")</f>
        <v/>
      </c>
      <c r="D75" s="89" t="str">
        <f ca="1">IF(ISNA(MATCH($A75,'Mock Database'!$C$3:$C$152,0)),"",IF(ISBLANK(OFFSET('Mock Database'!$M$2,MATCH($A75,'Mock Database'!$C$3:$C$152,0),0)),"",INDEX('Mock Database'!$M$3:$M$152,MATCH($A75,'Mock Database'!$C$3:$C$152,0))))</f>
        <v/>
      </c>
      <c r="E75" s="22" t="str">
        <f ca="1">IF(ISNA(MATCH($A75,'Mock Database'!$C$3:$C$152,0)),"",IF(ISBLANK(OFFSET('Mock Database'!$N$2,MATCH($A75,'Mock Database'!$C$3:$C$152,0),0)),"",INDEX('Mock Database'!$N$3:$N$152,MATCH($A75,'Mock Database'!$C$3:$C$152,0))))</f>
        <v/>
      </c>
      <c r="F75" s="89" t="str">
        <f ca="1">IF(ISNA(MATCH($A75,'Mock Database'!$C$3:$C$152,0)),"",IF(ISBLANK(OFFSET('Mock Database'!$S$2,MATCH($A75,'Mock Database'!$C$3:$C$152,0),0)),"",INDEX('Mock Database'!$S$3:$S$152,MATCH($A75,'Mock Database'!$C$3:$C$152,0))))</f>
        <v/>
      </c>
      <c r="G75" s="22" t="str">
        <f ca="1">IF(ISNA(MATCH($A75,'Mock Database'!$C$3:$C$152,0)),"",IF(ISBLANK(OFFSET('Mock Database'!$T$2,MATCH($A75,'Mock Database'!$C$3:$C$152,0),0)),"",INDEX('Mock Database'!$T$3:$T$152,MATCH($A75,'Mock Database'!$C$3:$C$152,0))))</f>
        <v/>
      </c>
      <c r="H75" s="89" t="str">
        <f ca="1">IF(ISNA(MATCH($A75,'Mock Database'!$C$3:$C$152,0)),"",IF(ISBLANK(OFFSET('Mock Database'!$Y$2,MATCH($A75,'Mock Database'!$C$3:$C$152,0),0)),"",INDEX('Mock Database'!$Y$3:$Y$152,MATCH($A75,'Mock Database'!$C$3:$C$152,0))))</f>
        <v/>
      </c>
      <c r="I75" s="22" t="str">
        <f ca="1">IF(ISNA(MATCH($A75,'Mock Database'!$C$3:$C$152,0)),"",IF(ISBLANK(OFFSET('Mock Database'!$Z$2,MATCH($A75,'Mock Database'!$C$3:$C$152,0),0)),"",INDEX('Mock Database'!$Z$3:$Z$152,MATCH($A75,'Mock Database'!$C$3:$C$152,0))))</f>
        <v/>
      </c>
      <c r="J75" s="89" t="str">
        <f ca="1">IF(ISNA(MATCH($A75,'Mock Database'!$C$3:$C$152,0)),"",IF(ISBLANK(OFFSET('Mock Database'!$AE$2,MATCH($A75,'Mock Database'!$C$3:$C$152,0),0)),"",INDEX('Mock Database'!$AE$3:$AE$152,MATCH($A75,'Mock Database'!$C$3:$C$152,0))))</f>
        <v/>
      </c>
      <c r="K75" s="22" t="str">
        <f ca="1">IF(ISNA(MATCH($A75,'Mock Database'!$C$3:$C$152,0)),"",IF(ISBLANK(OFFSET('Mock Database'!$AF$2,MATCH($A75,'Mock Database'!$C$3:$C$152,0),0)),"",INDEX('Mock Database'!$AF$3:$AF$152,MATCH($A75,'Mock Database'!$C$3:$C$152,0))))</f>
        <v/>
      </c>
      <c r="N75" t="e">
        <f t="shared" si="11"/>
        <v>#N/A</v>
      </c>
      <c r="O75" s="89" t="e">
        <f t="shared" ca="1" si="12"/>
        <v>#N/A</v>
      </c>
      <c r="P75" s="22" t="e">
        <f t="shared" ca="1" si="13"/>
        <v>#N/A</v>
      </c>
      <c r="Q75" s="89" t="e">
        <f t="shared" ca="1" si="14"/>
        <v>#N/A</v>
      </c>
      <c r="R75" s="22" t="e">
        <f t="shared" ca="1" si="15"/>
        <v>#N/A</v>
      </c>
      <c r="S75" s="89" t="e">
        <f t="shared" ca="1" si="16"/>
        <v>#N/A</v>
      </c>
      <c r="T75" s="22" t="e">
        <f t="shared" ca="1" si="17"/>
        <v>#N/A</v>
      </c>
      <c r="U75" s="89" t="e">
        <f t="shared" ca="1" si="18"/>
        <v>#N/A</v>
      </c>
      <c r="V75" s="22" t="e">
        <f t="shared" ca="1" si="19"/>
        <v>#N/A</v>
      </c>
      <c r="AM75" t="e">
        <f t="shared" si="20"/>
        <v>#N/A</v>
      </c>
      <c r="AN75" t="e">
        <f t="shared" ca="1" si="21"/>
        <v>#N/A</v>
      </c>
    </row>
    <row r="76" spans="1:40" ht="15" customHeight="1" x14ac:dyDescent="0.3">
      <c r="A76" s="87">
        <v>75</v>
      </c>
      <c r="B76" t="str">
        <f>IFERROR(INDEX('Mock Database'!$D$3:$D$152,MATCH($A76,'Mock Database'!$C$3:$C$152,0)),"")</f>
        <v/>
      </c>
      <c r="C76" s="88" t="str">
        <f>IFERROR(INDEX('Mock Database'!$I$3:$I$152,MATCH($A76,'Mock Database'!$C$3:$C$152,0)),"")</f>
        <v/>
      </c>
      <c r="D76" s="89" t="str">
        <f ca="1">IF(ISNA(MATCH($A76,'Mock Database'!$C$3:$C$152,0)),"",IF(ISBLANK(OFFSET('Mock Database'!$M$2,MATCH($A76,'Mock Database'!$C$3:$C$152,0),0)),"",INDEX('Mock Database'!$M$3:$M$152,MATCH($A76,'Mock Database'!$C$3:$C$152,0))))</f>
        <v/>
      </c>
      <c r="E76" s="22" t="str">
        <f ca="1">IF(ISNA(MATCH($A76,'Mock Database'!$C$3:$C$152,0)),"",IF(ISBLANK(OFFSET('Mock Database'!$N$2,MATCH($A76,'Mock Database'!$C$3:$C$152,0),0)),"",INDEX('Mock Database'!$N$3:$N$152,MATCH($A76,'Mock Database'!$C$3:$C$152,0))))</f>
        <v/>
      </c>
      <c r="F76" s="89" t="str">
        <f ca="1">IF(ISNA(MATCH($A76,'Mock Database'!$C$3:$C$152,0)),"",IF(ISBLANK(OFFSET('Mock Database'!$S$2,MATCH($A76,'Mock Database'!$C$3:$C$152,0),0)),"",INDEX('Mock Database'!$S$3:$S$152,MATCH($A76,'Mock Database'!$C$3:$C$152,0))))</f>
        <v/>
      </c>
      <c r="G76" s="22" t="str">
        <f ca="1">IF(ISNA(MATCH($A76,'Mock Database'!$C$3:$C$152,0)),"",IF(ISBLANK(OFFSET('Mock Database'!$T$2,MATCH($A76,'Mock Database'!$C$3:$C$152,0),0)),"",INDEX('Mock Database'!$T$3:$T$152,MATCH($A76,'Mock Database'!$C$3:$C$152,0))))</f>
        <v/>
      </c>
      <c r="H76" s="89" t="str">
        <f ca="1">IF(ISNA(MATCH($A76,'Mock Database'!$C$3:$C$152,0)),"",IF(ISBLANK(OFFSET('Mock Database'!$Y$2,MATCH($A76,'Mock Database'!$C$3:$C$152,0),0)),"",INDEX('Mock Database'!$Y$3:$Y$152,MATCH($A76,'Mock Database'!$C$3:$C$152,0))))</f>
        <v/>
      </c>
      <c r="I76" s="22" t="str">
        <f ca="1">IF(ISNA(MATCH($A76,'Mock Database'!$C$3:$C$152,0)),"",IF(ISBLANK(OFFSET('Mock Database'!$Z$2,MATCH($A76,'Mock Database'!$C$3:$C$152,0),0)),"",INDEX('Mock Database'!$Z$3:$Z$152,MATCH($A76,'Mock Database'!$C$3:$C$152,0))))</f>
        <v/>
      </c>
      <c r="J76" s="89" t="str">
        <f ca="1">IF(ISNA(MATCH($A76,'Mock Database'!$C$3:$C$152,0)),"",IF(ISBLANK(OFFSET('Mock Database'!$AE$2,MATCH($A76,'Mock Database'!$C$3:$C$152,0),0)),"",INDEX('Mock Database'!$AE$3:$AE$152,MATCH($A76,'Mock Database'!$C$3:$C$152,0))))</f>
        <v/>
      </c>
      <c r="K76" s="22" t="str">
        <f ca="1">IF(ISNA(MATCH($A76,'Mock Database'!$C$3:$C$152,0)),"",IF(ISBLANK(OFFSET('Mock Database'!$AF$2,MATCH($A76,'Mock Database'!$C$3:$C$152,0),0)),"",INDEX('Mock Database'!$AF$3:$AF$152,MATCH($A76,'Mock Database'!$C$3:$C$152,0))))</f>
        <v/>
      </c>
      <c r="N76" t="e">
        <f t="shared" si="11"/>
        <v>#N/A</v>
      </c>
      <c r="O76" s="89" t="e">
        <f t="shared" ca="1" si="12"/>
        <v>#N/A</v>
      </c>
      <c r="P76" s="22" t="e">
        <f t="shared" ca="1" si="13"/>
        <v>#N/A</v>
      </c>
      <c r="Q76" s="89" t="e">
        <f t="shared" ca="1" si="14"/>
        <v>#N/A</v>
      </c>
      <c r="R76" s="22" t="e">
        <f t="shared" ca="1" si="15"/>
        <v>#N/A</v>
      </c>
      <c r="S76" s="89" t="e">
        <f t="shared" ca="1" si="16"/>
        <v>#N/A</v>
      </c>
      <c r="T76" s="22" t="e">
        <f t="shared" ca="1" si="17"/>
        <v>#N/A</v>
      </c>
      <c r="U76" s="89" t="e">
        <f t="shared" ca="1" si="18"/>
        <v>#N/A</v>
      </c>
      <c r="V76" s="22" t="e">
        <f t="shared" ca="1" si="19"/>
        <v>#N/A</v>
      </c>
      <c r="AM76" t="e">
        <f t="shared" si="20"/>
        <v>#N/A</v>
      </c>
      <c r="AN76" t="e">
        <f t="shared" ca="1" si="21"/>
        <v>#N/A</v>
      </c>
    </row>
    <row r="77" spans="1:40" ht="15" customHeight="1" x14ac:dyDescent="0.3">
      <c r="A77" s="87">
        <v>76</v>
      </c>
      <c r="B77" t="str">
        <f>IFERROR(INDEX('Mock Database'!$D$3:$D$152,MATCH($A77,'Mock Database'!$C$3:$C$152,0)),"")</f>
        <v/>
      </c>
      <c r="C77" s="88" t="str">
        <f>IFERROR(INDEX('Mock Database'!$I$3:$I$152,MATCH($A77,'Mock Database'!$C$3:$C$152,0)),"")</f>
        <v/>
      </c>
      <c r="D77" s="89" t="str">
        <f ca="1">IF(ISNA(MATCH($A77,'Mock Database'!$C$3:$C$152,0)),"",IF(ISBLANK(OFFSET('Mock Database'!$M$2,MATCH($A77,'Mock Database'!$C$3:$C$152,0),0)),"",INDEX('Mock Database'!$M$3:$M$152,MATCH($A77,'Mock Database'!$C$3:$C$152,0))))</f>
        <v/>
      </c>
      <c r="E77" s="22" t="str">
        <f ca="1">IF(ISNA(MATCH($A77,'Mock Database'!$C$3:$C$152,0)),"",IF(ISBLANK(OFFSET('Mock Database'!$N$2,MATCH($A77,'Mock Database'!$C$3:$C$152,0),0)),"",INDEX('Mock Database'!$N$3:$N$152,MATCH($A77,'Mock Database'!$C$3:$C$152,0))))</f>
        <v/>
      </c>
      <c r="F77" s="89" t="str">
        <f ca="1">IF(ISNA(MATCH($A77,'Mock Database'!$C$3:$C$152,0)),"",IF(ISBLANK(OFFSET('Mock Database'!$S$2,MATCH($A77,'Mock Database'!$C$3:$C$152,0),0)),"",INDEX('Mock Database'!$S$3:$S$152,MATCH($A77,'Mock Database'!$C$3:$C$152,0))))</f>
        <v/>
      </c>
      <c r="G77" s="22" t="str">
        <f ca="1">IF(ISNA(MATCH($A77,'Mock Database'!$C$3:$C$152,0)),"",IF(ISBLANK(OFFSET('Mock Database'!$T$2,MATCH($A77,'Mock Database'!$C$3:$C$152,0),0)),"",INDEX('Mock Database'!$T$3:$T$152,MATCH($A77,'Mock Database'!$C$3:$C$152,0))))</f>
        <v/>
      </c>
      <c r="H77" s="89" t="str">
        <f ca="1">IF(ISNA(MATCH($A77,'Mock Database'!$C$3:$C$152,0)),"",IF(ISBLANK(OFFSET('Mock Database'!$Y$2,MATCH($A77,'Mock Database'!$C$3:$C$152,0),0)),"",INDEX('Mock Database'!$Y$3:$Y$152,MATCH($A77,'Mock Database'!$C$3:$C$152,0))))</f>
        <v/>
      </c>
      <c r="I77" s="22" t="str">
        <f ca="1">IF(ISNA(MATCH($A77,'Mock Database'!$C$3:$C$152,0)),"",IF(ISBLANK(OFFSET('Mock Database'!$Z$2,MATCH($A77,'Mock Database'!$C$3:$C$152,0),0)),"",INDEX('Mock Database'!$Z$3:$Z$152,MATCH($A77,'Mock Database'!$C$3:$C$152,0))))</f>
        <v/>
      </c>
      <c r="J77" s="89" t="str">
        <f ca="1">IF(ISNA(MATCH($A77,'Mock Database'!$C$3:$C$152,0)),"",IF(ISBLANK(OFFSET('Mock Database'!$AE$2,MATCH($A77,'Mock Database'!$C$3:$C$152,0),0)),"",INDEX('Mock Database'!$AE$3:$AE$152,MATCH($A77,'Mock Database'!$C$3:$C$152,0))))</f>
        <v/>
      </c>
      <c r="K77" s="22" t="str">
        <f ca="1">IF(ISNA(MATCH($A77,'Mock Database'!$C$3:$C$152,0)),"",IF(ISBLANK(OFFSET('Mock Database'!$AF$2,MATCH($A77,'Mock Database'!$C$3:$C$152,0),0)),"",INDEX('Mock Database'!$AF$3:$AF$152,MATCH($A77,'Mock Database'!$C$3:$C$152,0))))</f>
        <v/>
      </c>
      <c r="N77" t="e">
        <f t="shared" si="11"/>
        <v>#N/A</v>
      </c>
      <c r="O77" s="89" t="e">
        <f t="shared" ca="1" si="12"/>
        <v>#N/A</v>
      </c>
      <c r="P77" s="22" t="e">
        <f t="shared" ca="1" si="13"/>
        <v>#N/A</v>
      </c>
      <c r="Q77" s="89" t="e">
        <f t="shared" ca="1" si="14"/>
        <v>#N/A</v>
      </c>
      <c r="R77" s="22" t="e">
        <f t="shared" ca="1" si="15"/>
        <v>#N/A</v>
      </c>
      <c r="S77" s="89" t="e">
        <f t="shared" ca="1" si="16"/>
        <v>#N/A</v>
      </c>
      <c r="T77" s="22" t="e">
        <f t="shared" ca="1" si="17"/>
        <v>#N/A</v>
      </c>
      <c r="U77" s="89" t="e">
        <f t="shared" ca="1" si="18"/>
        <v>#N/A</v>
      </c>
      <c r="V77" s="22" t="e">
        <f t="shared" ca="1" si="19"/>
        <v>#N/A</v>
      </c>
      <c r="AM77" t="e">
        <f t="shared" si="20"/>
        <v>#N/A</v>
      </c>
      <c r="AN77" t="e">
        <f t="shared" ca="1" si="21"/>
        <v>#N/A</v>
      </c>
    </row>
    <row r="78" spans="1:40" ht="15" customHeight="1" x14ac:dyDescent="0.3">
      <c r="A78" s="87">
        <v>77</v>
      </c>
      <c r="B78" t="str">
        <f>IFERROR(INDEX('Mock Database'!$D$3:$D$152,MATCH($A78,'Mock Database'!$C$3:$C$152,0)),"")</f>
        <v/>
      </c>
      <c r="C78" s="88" t="str">
        <f>IFERROR(INDEX('Mock Database'!$I$3:$I$152,MATCH($A78,'Mock Database'!$C$3:$C$152,0)),"")</f>
        <v/>
      </c>
      <c r="D78" s="89" t="str">
        <f ca="1">IF(ISNA(MATCH($A78,'Mock Database'!$C$3:$C$152,0)),"",IF(ISBLANK(OFFSET('Mock Database'!$M$2,MATCH($A78,'Mock Database'!$C$3:$C$152,0),0)),"",INDEX('Mock Database'!$M$3:$M$152,MATCH($A78,'Mock Database'!$C$3:$C$152,0))))</f>
        <v/>
      </c>
      <c r="E78" s="22" t="str">
        <f ca="1">IF(ISNA(MATCH($A78,'Mock Database'!$C$3:$C$152,0)),"",IF(ISBLANK(OFFSET('Mock Database'!$N$2,MATCH($A78,'Mock Database'!$C$3:$C$152,0),0)),"",INDEX('Mock Database'!$N$3:$N$152,MATCH($A78,'Mock Database'!$C$3:$C$152,0))))</f>
        <v/>
      </c>
      <c r="F78" s="89" t="str">
        <f ca="1">IF(ISNA(MATCH($A78,'Mock Database'!$C$3:$C$152,0)),"",IF(ISBLANK(OFFSET('Mock Database'!$S$2,MATCH($A78,'Mock Database'!$C$3:$C$152,0),0)),"",INDEX('Mock Database'!$S$3:$S$152,MATCH($A78,'Mock Database'!$C$3:$C$152,0))))</f>
        <v/>
      </c>
      <c r="G78" s="22" t="str">
        <f ca="1">IF(ISNA(MATCH($A78,'Mock Database'!$C$3:$C$152,0)),"",IF(ISBLANK(OFFSET('Mock Database'!$T$2,MATCH($A78,'Mock Database'!$C$3:$C$152,0),0)),"",INDEX('Mock Database'!$T$3:$T$152,MATCH($A78,'Mock Database'!$C$3:$C$152,0))))</f>
        <v/>
      </c>
      <c r="H78" s="89" t="str">
        <f ca="1">IF(ISNA(MATCH($A78,'Mock Database'!$C$3:$C$152,0)),"",IF(ISBLANK(OFFSET('Mock Database'!$Y$2,MATCH($A78,'Mock Database'!$C$3:$C$152,0),0)),"",INDEX('Mock Database'!$Y$3:$Y$152,MATCH($A78,'Mock Database'!$C$3:$C$152,0))))</f>
        <v/>
      </c>
      <c r="I78" s="22" t="str">
        <f ca="1">IF(ISNA(MATCH($A78,'Mock Database'!$C$3:$C$152,0)),"",IF(ISBLANK(OFFSET('Mock Database'!$Z$2,MATCH($A78,'Mock Database'!$C$3:$C$152,0),0)),"",INDEX('Mock Database'!$Z$3:$Z$152,MATCH($A78,'Mock Database'!$C$3:$C$152,0))))</f>
        <v/>
      </c>
      <c r="J78" s="89" t="str">
        <f ca="1">IF(ISNA(MATCH($A78,'Mock Database'!$C$3:$C$152,0)),"",IF(ISBLANK(OFFSET('Mock Database'!$AE$2,MATCH($A78,'Mock Database'!$C$3:$C$152,0),0)),"",INDEX('Mock Database'!$AE$3:$AE$152,MATCH($A78,'Mock Database'!$C$3:$C$152,0))))</f>
        <v/>
      </c>
      <c r="K78" s="22" t="str">
        <f ca="1">IF(ISNA(MATCH($A78,'Mock Database'!$C$3:$C$152,0)),"",IF(ISBLANK(OFFSET('Mock Database'!$AF$2,MATCH($A78,'Mock Database'!$C$3:$C$152,0),0)),"",INDEX('Mock Database'!$AF$3:$AF$152,MATCH($A78,'Mock Database'!$C$3:$C$152,0))))</f>
        <v/>
      </c>
      <c r="N78" t="e">
        <f t="shared" si="11"/>
        <v>#N/A</v>
      </c>
      <c r="O78" s="89" t="e">
        <f t="shared" ca="1" si="12"/>
        <v>#N/A</v>
      </c>
      <c r="P78" s="22" t="e">
        <f t="shared" ca="1" si="13"/>
        <v>#N/A</v>
      </c>
      <c r="Q78" s="89" t="e">
        <f t="shared" ca="1" si="14"/>
        <v>#N/A</v>
      </c>
      <c r="R78" s="22" t="e">
        <f t="shared" ca="1" si="15"/>
        <v>#N/A</v>
      </c>
      <c r="S78" s="89" t="e">
        <f t="shared" ca="1" si="16"/>
        <v>#N/A</v>
      </c>
      <c r="T78" s="22" t="e">
        <f t="shared" ca="1" si="17"/>
        <v>#N/A</v>
      </c>
      <c r="U78" s="89" t="e">
        <f t="shared" ca="1" si="18"/>
        <v>#N/A</v>
      </c>
      <c r="V78" s="22" t="e">
        <f t="shared" ca="1" si="19"/>
        <v>#N/A</v>
      </c>
      <c r="AM78" t="e">
        <f t="shared" si="20"/>
        <v>#N/A</v>
      </c>
      <c r="AN78" t="e">
        <f t="shared" ca="1" si="21"/>
        <v>#N/A</v>
      </c>
    </row>
    <row r="79" spans="1:40" ht="15" customHeight="1" x14ac:dyDescent="0.3">
      <c r="A79" s="87">
        <v>78</v>
      </c>
      <c r="B79" t="str">
        <f>IFERROR(INDEX('Mock Database'!$D$3:$D$152,MATCH($A79,'Mock Database'!$C$3:$C$152,0)),"")</f>
        <v/>
      </c>
      <c r="C79" s="88" t="str">
        <f>IFERROR(INDEX('Mock Database'!$I$3:$I$152,MATCH($A79,'Mock Database'!$C$3:$C$152,0)),"")</f>
        <v/>
      </c>
      <c r="D79" s="89" t="str">
        <f ca="1">IF(ISNA(MATCH($A79,'Mock Database'!$C$3:$C$152,0)),"",IF(ISBLANK(OFFSET('Mock Database'!$M$2,MATCH($A79,'Mock Database'!$C$3:$C$152,0),0)),"",INDEX('Mock Database'!$M$3:$M$152,MATCH($A79,'Mock Database'!$C$3:$C$152,0))))</f>
        <v/>
      </c>
      <c r="E79" s="22" t="str">
        <f ca="1">IF(ISNA(MATCH($A79,'Mock Database'!$C$3:$C$152,0)),"",IF(ISBLANK(OFFSET('Mock Database'!$N$2,MATCH($A79,'Mock Database'!$C$3:$C$152,0),0)),"",INDEX('Mock Database'!$N$3:$N$152,MATCH($A79,'Mock Database'!$C$3:$C$152,0))))</f>
        <v/>
      </c>
      <c r="F79" s="89" t="str">
        <f ca="1">IF(ISNA(MATCH($A79,'Mock Database'!$C$3:$C$152,0)),"",IF(ISBLANK(OFFSET('Mock Database'!$S$2,MATCH($A79,'Mock Database'!$C$3:$C$152,0),0)),"",INDEX('Mock Database'!$S$3:$S$152,MATCH($A79,'Mock Database'!$C$3:$C$152,0))))</f>
        <v/>
      </c>
      <c r="G79" s="22" t="str">
        <f ca="1">IF(ISNA(MATCH($A79,'Mock Database'!$C$3:$C$152,0)),"",IF(ISBLANK(OFFSET('Mock Database'!$T$2,MATCH($A79,'Mock Database'!$C$3:$C$152,0),0)),"",INDEX('Mock Database'!$T$3:$T$152,MATCH($A79,'Mock Database'!$C$3:$C$152,0))))</f>
        <v/>
      </c>
      <c r="H79" s="89" t="str">
        <f ca="1">IF(ISNA(MATCH($A79,'Mock Database'!$C$3:$C$152,0)),"",IF(ISBLANK(OFFSET('Mock Database'!$Y$2,MATCH($A79,'Mock Database'!$C$3:$C$152,0),0)),"",INDEX('Mock Database'!$Y$3:$Y$152,MATCH($A79,'Mock Database'!$C$3:$C$152,0))))</f>
        <v/>
      </c>
      <c r="I79" s="22" t="str">
        <f ca="1">IF(ISNA(MATCH($A79,'Mock Database'!$C$3:$C$152,0)),"",IF(ISBLANK(OFFSET('Mock Database'!$Z$2,MATCH($A79,'Mock Database'!$C$3:$C$152,0),0)),"",INDEX('Mock Database'!$Z$3:$Z$152,MATCH($A79,'Mock Database'!$C$3:$C$152,0))))</f>
        <v/>
      </c>
      <c r="J79" s="89" t="str">
        <f ca="1">IF(ISNA(MATCH($A79,'Mock Database'!$C$3:$C$152,0)),"",IF(ISBLANK(OFFSET('Mock Database'!$AE$2,MATCH($A79,'Mock Database'!$C$3:$C$152,0),0)),"",INDEX('Mock Database'!$AE$3:$AE$152,MATCH($A79,'Mock Database'!$C$3:$C$152,0))))</f>
        <v/>
      </c>
      <c r="K79" s="22" t="str">
        <f ca="1">IF(ISNA(MATCH($A79,'Mock Database'!$C$3:$C$152,0)),"",IF(ISBLANK(OFFSET('Mock Database'!$AF$2,MATCH($A79,'Mock Database'!$C$3:$C$152,0),0)),"",INDEX('Mock Database'!$AF$3:$AF$152,MATCH($A79,'Mock Database'!$C$3:$C$152,0))))</f>
        <v/>
      </c>
      <c r="N79" t="e">
        <f t="shared" si="11"/>
        <v>#N/A</v>
      </c>
      <c r="O79" s="89" t="e">
        <f t="shared" ca="1" si="12"/>
        <v>#N/A</v>
      </c>
      <c r="P79" s="22" t="e">
        <f t="shared" ca="1" si="13"/>
        <v>#N/A</v>
      </c>
      <c r="Q79" s="89" t="e">
        <f t="shared" ca="1" si="14"/>
        <v>#N/A</v>
      </c>
      <c r="R79" s="22" t="e">
        <f t="shared" ca="1" si="15"/>
        <v>#N/A</v>
      </c>
      <c r="S79" s="89" t="e">
        <f t="shared" ca="1" si="16"/>
        <v>#N/A</v>
      </c>
      <c r="T79" s="22" t="e">
        <f t="shared" ca="1" si="17"/>
        <v>#N/A</v>
      </c>
      <c r="U79" s="89" t="e">
        <f t="shared" ca="1" si="18"/>
        <v>#N/A</v>
      </c>
      <c r="V79" s="22" t="e">
        <f t="shared" ca="1" si="19"/>
        <v>#N/A</v>
      </c>
      <c r="AM79" t="e">
        <f t="shared" si="20"/>
        <v>#N/A</v>
      </c>
      <c r="AN79" t="e">
        <f t="shared" ca="1" si="21"/>
        <v>#N/A</v>
      </c>
    </row>
    <row r="80" spans="1:40" ht="15" customHeight="1" x14ac:dyDescent="0.3">
      <c r="A80" s="87">
        <v>79</v>
      </c>
      <c r="B80" t="str">
        <f>IFERROR(INDEX('Mock Database'!$D$3:$D$152,MATCH($A80,'Mock Database'!$C$3:$C$152,0)),"")</f>
        <v/>
      </c>
      <c r="C80" s="88" t="str">
        <f>IFERROR(INDEX('Mock Database'!$I$3:$I$152,MATCH($A80,'Mock Database'!$C$3:$C$152,0)),"")</f>
        <v/>
      </c>
      <c r="D80" s="89" t="str">
        <f ca="1">IF(ISNA(MATCH($A80,'Mock Database'!$C$3:$C$152,0)),"",IF(ISBLANK(OFFSET('Mock Database'!$M$2,MATCH($A80,'Mock Database'!$C$3:$C$152,0),0)),"",INDEX('Mock Database'!$M$3:$M$152,MATCH($A80,'Mock Database'!$C$3:$C$152,0))))</f>
        <v/>
      </c>
      <c r="E80" s="22" t="str">
        <f ca="1">IF(ISNA(MATCH($A80,'Mock Database'!$C$3:$C$152,0)),"",IF(ISBLANK(OFFSET('Mock Database'!$N$2,MATCH($A80,'Mock Database'!$C$3:$C$152,0),0)),"",INDEX('Mock Database'!$N$3:$N$152,MATCH($A80,'Mock Database'!$C$3:$C$152,0))))</f>
        <v/>
      </c>
      <c r="F80" s="89" t="str">
        <f ca="1">IF(ISNA(MATCH($A80,'Mock Database'!$C$3:$C$152,0)),"",IF(ISBLANK(OFFSET('Mock Database'!$S$2,MATCH($A80,'Mock Database'!$C$3:$C$152,0),0)),"",INDEX('Mock Database'!$S$3:$S$152,MATCH($A80,'Mock Database'!$C$3:$C$152,0))))</f>
        <v/>
      </c>
      <c r="G80" s="22" t="str">
        <f ca="1">IF(ISNA(MATCH($A80,'Mock Database'!$C$3:$C$152,0)),"",IF(ISBLANK(OFFSET('Mock Database'!$T$2,MATCH($A80,'Mock Database'!$C$3:$C$152,0),0)),"",INDEX('Mock Database'!$T$3:$T$152,MATCH($A80,'Mock Database'!$C$3:$C$152,0))))</f>
        <v/>
      </c>
      <c r="H80" s="89" t="str">
        <f ca="1">IF(ISNA(MATCH($A80,'Mock Database'!$C$3:$C$152,0)),"",IF(ISBLANK(OFFSET('Mock Database'!$Y$2,MATCH($A80,'Mock Database'!$C$3:$C$152,0),0)),"",INDEX('Mock Database'!$Y$3:$Y$152,MATCH($A80,'Mock Database'!$C$3:$C$152,0))))</f>
        <v/>
      </c>
      <c r="I80" s="22" t="str">
        <f ca="1">IF(ISNA(MATCH($A80,'Mock Database'!$C$3:$C$152,0)),"",IF(ISBLANK(OFFSET('Mock Database'!$Z$2,MATCH($A80,'Mock Database'!$C$3:$C$152,0),0)),"",INDEX('Mock Database'!$Z$3:$Z$152,MATCH($A80,'Mock Database'!$C$3:$C$152,0))))</f>
        <v/>
      </c>
      <c r="J80" s="89" t="str">
        <f ca="1">IF(ISNA(MATCH($A80,'Mock Database'!$C$3:$C$152,0)),"",IF(ISBLANK(OFFSET('Mock Database'!$AE$2,MATCH($A80,'Mock Database'!$C$3:$C$152,0),0)),"",INDEX('Mock Database'!$AE$3:$AE$152,MATCH($A80,'Mock Database'!$C$3:$C$152,0))))</f>
        <v/>
      </c>
      <c r="K80" s="22" t="str">
        <f ca="1">IF(ISNA(MATCH($A80,'Mock Database'!$C$3:$C$152,0)),"",IF(ISBLANK(OFFSET('Mock Database'!$AF$2,MATCH($A80,'Mock Database'!$C$3:$C$152,0),0)),"",INDEX('Mock Database'!$AF$3:$AF$152,MATCH($A80,'Mock Database'!$C$3:$C$152,0))))</f>
        <v/>
      </c>
      <c r="N80" t="e">
        <f t="shared" si="11"/>
        <v>#N/A</v>
      </c>
      <c r="O80" s="89" t="e">
        <f t="shared" ca="1" si="12"/>
        <v>#N/A</v>
      </c>
      <c r="P80" s="22" t="e">
        <f t="shared" ca="1" si="13"/>
        <v>#N/A</v>
      </c>
      <c r="Q80" s="89" t="e">
        <f t="shared" ca="1" si="14"/>
        <v>#N/A</v>
      </c>
      <c r="R80" s="22" t="e">
        <f t="shared" ca="1" si="15"/>
        <v>#N/A</v>
      </c>
      <c r="S80" s="89" t="e">
        <f t="shared" ca="1" si="16"/>
        <v>#N/A</v>
      </c>
      <c r="T80" s="22" t="e">
        <f t="shared" ca="1" si="17"/>
        <v>#N/A</v>
      </c>
      <c r="U80" s="89" t="e">
        <f t="shared" ca="1" si="18"/>
        <v>#N/A</v>
      </c>
      <c r="V80" s="22" t="e">
        <f t="shared" ca="1" si="19"/>
        <v>#N/A</v>
      </c>
      <c r="AM80" t="e">
        <f t="shared" si="20"/>
        <v>#N/A</v>
      </c>
      <c r="AN80" t="e">
        <f t="shared" ca="1" si="21"/>
        <v>#N/A</v>
      </c>
    </row>
    <row r="81" spans="1:40" ht="15" customHeight="1" x14ac:dyDescent="0.3">
      <c r="A81" s="87">
        <v>80</v>
      </c>
      <c r="B81" t="str">
        <f>IFERROR(INDEX('Mock Database'!$D$3:$D$152,MATCH($A81,'Mock Database'!$C$3:$C$152,0)),"")</f>
        <v/>
      </c>
      <c r="C81" s="88" t="str">
        <f>IFERROR(INDEX('Mock Database'!$I$3:$I$152,MATCH($A81,'Mock Database'!$C$3:$C$152,0)),"")</f>
        <v/>
      </c>
      <c r="D81" s="89" t="str">
        <f ca="1">IF(ISNA(MATCH($A81,'Mock Database'!$C$3:$C$152,0)),"",IF(ISBLANK(OFFSET('Mock Database'!$M$2,MATCH($A81,'Mock Database'!$C$3:$C$152,0),0)),"",INDEX('Mock Database'!$M$3:$M$152,MATCH($A81,'Mock Database'!$C$3:$C$152,0))))</f>
        <v/>
      </c>
      <c r="E81" s="22" t="str">
        <f ca="1">IF(ISNA(MATCH($A81,'Mock Database'!$C$3:$C$152,0)),"",IF(ISBLANK(OFFSET('Mock Database'!$N$2,MATCH($A81,'Mock Database'!$C$3:$C$152,0),0)),"",INDEX('Mock Database'!$N$3:$N$152,MATCH($A81,'Mock Database'!$C$3:$C$152,0))))</f>
        <v/>
      </c>
      <c r="F81" s="89" t="str">
        <f ca="1">IF(ISNA(MATCH($A81,'Mock Database'!$C$3:$C$152,0)),"",IF(ISBLANK(OFFSET('Mock Database'!$S$2,MATCH($A81,'Mock Database'!$C$3:$C$152,0),0)),"",INDEX('Mock Database'!$S$3:$S$152,MATCH($A81,'Mock Database'!$C$3:$C$152,0))))</f>
        <v/>
      </c>
      <c r="G81" s="22" t="str">
        <f ca="1">IF(ISNA(MATCH($A81,'Mock Database'!$C$3:$C$152,0)),"",IF(ISBLANK(OFFSET('Mock Database'!$T$2,MATCH($A81,'Mock Database'!$C$3:$C$152,0),0)),"",INDEX('Mock Database'!$T$3:$T$152,MATCH($A81,'Mock Database'!$C$3:$C$152,0))))</f>
        <v/>
      </c>
      <c r="H81" s="89" t="str">
        <f ca="1">IF(ISNA(MATCH($A81,'Mock Database'!$C$3:$C$152,0)),"",IF(ISBLANK(OFFSET('Mock Database'!$Y$2,MATCH($A81,'Mock Database'!$C$3:$C$152,0),0)),"",INDEX('Mock Database'!$Y$3:$Y$152,MATCH($A81,'Mock Database'!$C$3:$C$152,0))))</f>
        <v/>
      </c>
      <c r="I81" s="22" t="str">
        <f ca="1">IF(ISNA(MATCH($A81,'Mock Database'!$C$3:$C$152,0)),"",IF(ISBLANK(OFFSET('Mock Database'!$Z$2,MATCH($A81,'Mock Database'!$C$3:$C$152,0),0)),"",INDEX('Mock Database'!$Z$3:$Z$152,MATCH($A81,'Mock Database'!$C$3:$C$152,0))))</f>
        <v/>
      </c>
      <c r="J81" s="89" t="str">
        <f ca="1">IF(ISNA(MATCH($A81,'Mock Database'!$C$3:$C$152,0)),"",IF(ISBLANK(OFFSET('Mock Database'!$AE$2,MATCH($A81,'Mock Database'!$C$3:$C$152,0),0)),"",INDEX('Mock Database'!$AE$3:$AE$152,MATCH($A81,'Mock Database'!$C$3:$C$152,0))))</f>
        <v/>
      </c>
      <c r="K81" s="22" t="str">
        <f ca="1">IF(ISNA(MATCH($A81,'Mock Database'!$C$3:$C$152,0)),"",IF(ISBLANK(OFFSET('Mock Database'!$AF$2,MATCH($A81,'Mock Database'!$C$3:$C$152,0),0)),"",INDEX('Mock Database'!$AF$3:$AF$152,MATCH($A81,'Mock Database'!$C$3:$C$152,0))))</f>
        <v/>
      </c>
      <c r="N81" t="e">
        <f t="shared" si="11"/>
        <v>#N/A</v>
      </c>
      <c r="O81" s="89" t="e">
        <f t="shared" ca="1" si="12"/>
        <v>#N/A</v>
      </c>
      <c r="P81" s="22" t="e">
        <f t="shared" ca="1" si="13"/>
        <v>#N/A</v>
      </c>
      <c r="Q81" s="89" t="e">
        <f t="shared" ca="1" si="14"/>
        <v>#N/A</v>
      </c>
      <c r="R81" s="22" t="e">
        <f t="shared" ca="1" si="15"/>
        <v>#N/A</v>
      </c>
      <c r="S81" s="89" t="e">
        <f t="shared" ca="1" si="16"/>
        <v>#N/A</v>
      </c>
      <c r="T81" s="22" t="e">
        <f t="shared" ca="1" si="17"/>
        <v>#N/A</v>
      </c>
      <c r="U81" s="89" t="e">
        <f t="shared" ca="1" si="18"/>
        <v>#N/A</v>
      </c>
      <c r="V81" s="22" t="e">
        <f t="shared" ca="1" si="19"/>
        <v>#N/A</v>
      </c>
      <c r="AM81" t="e">
        <f t="shared" si="20"/>
        <v>#N/A</v>
      </c>
      <c r="AN81" t="e">
        <f t="shared" ca="1" si="21"/>
        <v>#N/A</v>
      </c>
    </row>
    <row r="82" spans="1:40" ht="15" customHeight="1" x14ac:dyDescent="0.3">
      <c r="A82" s="87">
        <v>81</v>
      </c>
      <c r="B82" t="str">
        <f>IFERROR(INDEX('Mock Database'!$D$3:$D$152,MATCH($A82,'Mock Database'!$C$3:$C$152,0)),"")</f>
        <v/>
      </c>
      <c r="C82" s="88" t="str">
        <f>IFERROR(INDEX('Mock Database'!$I$3:$I$152,MATCH($A82,'Mock Database'!$C$3:$C$152,0)),"")</f>
        <v/>
      </c>
      <c r="D82" s="89" t="str">
        <f ca="1">IF(ISNA(MATCH($A82,'Mock Database'!$C$3:$C$152,0)),"",IF(ISBLANK(OFFSET('Mock Database'!$M$2,MATCH($A82,'Mock Database'!$C$3:$C$152,0),0)),"",INDEX('Mock Database'!$M$3:$M$152,MATCH($A82,'Mock Database'!$C$3:$C$152,0))))</f>
        <v/>
      </c>
      <c r="E82" s="22" t="str">
        <f ca="1">IF(ISNA(MATCH($A82,'Mock Database'!$C$3:$C$152,0)),"",IF(ISBLANK(OFFSET('Mock Database'!$N$2,MATCH($A82,'Mock Database'!$C$3:$C$152,0),0)),"",INDEX('Mock Database'!$N$3:$N$152,MATCH($A82,'Mock Database'!$C$3:$C$152,0))))</f>
        <v/>
      </c>
      <c r="F82" s="89" t="str">
        <f ca="1">IF(ISNA(MATCH($A82,'Mock Database'!$C$3:$C$152,0)),"",IF(ISBLANK(OFFSET('Mock Database'!$S$2,MATCH($A82,'Mock Database'!$C$3:$C$152,0),0)),"",INDEX('Mock Database'!$S$3:$S$152,MATCH($A82,'Mock Database'!$C$3:$C$152,0))))</f>
        <v/>
      </c>
      <c r="G82" s="22" t="str">
        <f ca="1">IF(ISNA(MATCH($A82,'Mock Database'!$C$3:$C$152,0)),"",IF(ISBLANK(OFFSET('Mock Database'!$T$2,MATCH($A82,'Mock Database'!$C$3:$C$152,0),0)),"",INDEX('Mock Database'!$T$3:$T$152,MATCH($A82,'Mock Database'!$C$3:$C$152,0))))</f>
        <v/>
      </c>
      <c r="H82" s="89" t="str">
        <f ca="1">IF(ISNA(MATCH($A82,'Mock Database'!$C$3:$C$152,0)),"",IF(ISBLANK(OFFSET('Mock Database'!$Y$2,MATCH($A82,'Mock Database'!$C$3:$C$152,0),0)),"",INDEX('Mock Database'!$Y$3:$Y$152,MATCH($A82,'Mock Database'!$C$3:$C$152,0))))</f>
        <v/>
      </c>
      <c r="I82" s="22" t="str">
        <f ca="1">IF(ISNA(MATCH($A82,'Mock Database'!$C$3:$C$152,0)),"",IF(ISBLANK(OFFSET('Mock Database'!$Z$2,MATCH($A82,'Mock Database'!$C$3:$C$152,0),0)),"",INDEX('Mock Database'!$Z$3:$Z$152,MATCH($A82,'Mock Database'!$C$3:$C$152,0))))</f>
        <v/>
      </c>
      <c r="J82" s="89" t="str">
        <f ca="1">IF(ISNA(MATCH($A82,'Mock Database'!$C$3:$C$152,0)),"",IF(ISBLANK(OFFSET('Mock Database'!$AE$2,MATCH($A82,'Mock Database'!$C$3:$C$152,0),0)),"",INDEX('Mock Database'!$AE$3:$AE$152,MATCH($A82,'Mock Database'!$C$3:$C$152,0))))</f>
        <v/>
      </c>
      <c r="K82" s="22" t="str">
        <f ca="1">IF(ISNA(MATCH($A82,'Mock Database'!$C$3:$C$152,0)),"",IF(ISBLANK(OFFSET('Mock Database'!$AF$2,MATCH($A82,'Mock Database'!$C$3:$C$152,0),0)),"",INDEX('Mock Database'!$AF$3:$AF$152,MATCH($A82,'Mock Database'!$C$3:$C$152,0))))</f>
        <v/>
      </c>
      <c r="N82" t="e">
        <f t="shared" si="11"/>
        <v>#N/A</v>
      </c>
      <c r="O82" s="89" t="e">
        <f t="shared" ca="1" si="12"/>
        <v>#N/A</v>
      </c>
      <c r="P82" s="22" t="e">
        <f t="shared" ca="1" si="13"/>
        <v>#N/A</v>
      </c>
      <c r="Q82" s="89" t="e">
        <f t="shared" ca="1" si="14"/>
        <v>#N/A</v>
      </c>
      <c r="R82" s="22" t="e">
        <f t="shared" ca="1" si="15"/>
        <v>#N/A</v>
      </c>
      <c r="S82" s="89" t="e">
        <f t="shared" ca="1" si="16"/>
        <v>#N/A</v>
      </c>
      <c r="T82" s="22" t="e">
        <f t="shared" ca="1" si="17"/>
        <v>#N/A</v>
      </c>
      <c r="U82" s="89" t="e">
        <f t="shared" ca="1" si="18"/>
        <v>#N/A</v>
      </c>
      <c r="V82" s="22" t="e">
        <f t="shared" ca="1" si="19"/>
        <v>#N/A</v>
      </c>
      <c r="AM82" t="e">
        <f t="shared" si="20"/>
        <v>#N/A</v>
      </c>
      <c r="AN82" t="e">
        <f t="shared" ca="1" si="21"/>
        <v>#N/A</v>
      </c>
    </row>
    <row r="83" spans="1:40" ht="15" customHeight="1" x14ac:dyDescent="0.3">
      <c r="A83" s="87">
        <v>82</v>
      </c>
      <c r="B83" t="str">
        <f>IFERROR(INDEX('Mock Database'!$D$3:$D$152,MATCH($A83,'Mock Database'!$C$3:$C$152,0)),"")</f>
        <v/>
      </c>
      <c r="C83" s="88" t="str">
        <f>IFERROR(INDEX('Mock Database'!$I$3:$I$152,MATCH($A83,'Mock Database'!$C$3:$C$152,0)),"")</f>
        <v/>
      </c>
      <c r="D83" s="89" t="str">
        <f ca="1">IF(ISNA(MATCH($A83,'Mock Database'!$C$3:$C$152,0)),"",IF(ISBLANK(OFFSET('Mock Database'!$M$2,MATCH($A83,'Mock Database'!$C$3:$C$152,0),0)),"",INDEX('Mock Database'!$M$3:$M$152,MATCH($A83,'Mock Database'!$C$3:$C$152,0))))</f>
        <v/>
      </c>
      <c r="E83" s="22" t="str">
        <f ca="1">IF(ISNA(MATCH($A83,'Mock Database'!$C$3:$C$152,0)),"",IF(ISBLANK(OFFSET('Mock Database'!$N$2,MATCH($A83,'Mock Database'!$C$3:$C$152,0),0)),"",INDEX('Mock Database'!$N$3:$N$152,MATCH($A83,'Mock Database'!$C$3:$C$152,0))))</f>
        <v/>
      </c>
      <c r="F83" s="89" t="str">
        <f ca="1">IF(ISNA(MATCH($A83,'Mock Database'!$C$3:$C$152,0)),"",IF(ISBLANK(OFFSET('Mock Database'!$S$2,MATCH($A83,'Mock Database'!$C$3:$C$152,0),0)),"",INDEX('Mock Database'!$S$3:$S$152,MATCH($A83,'Mock Database'!$C$3:$C$152,0))))</f>
        <v/>
      </c>
      <c r="G83" s="22" t="str">
        <f ca="1">IF(ISNA(MATCH($A83,'Mock Database'!$C$3:$C$152,0)),"",IF(ISBLANK(OFFSET('Mock Database'!$T$2,MATCH($A83,'Mock Database'!$C$3:$C$152,0),0)),"",INDEX('Mock Database'!$T$3:$T$152,MATCH($A83,'Mock Database'!$C$3:$C$152,0))))</f>
        <v/>
      </c>
      <c r="H83" s="89" t="str">
        <f ca="1">IF(ISNA(MATCH($A83,'Mock Database'!$C$3:$C$152,0)),"",IF(ISBLANK(OFFSET('Mock Database'!$Y$2,MATCH($A83,'Mock Database'!$C$3:$C$152,0),0)),"",INDEX('Mock Database'!$Y$3:$Y$152,MATCH($A83,'Mock Database'!$C$3:$C$152,0))))</f>
        <v/>
      </c>
      <c r="I83" s="22" t="str">
        <f ca="1">IF(ISNA(MATCH($A83,'Mock Database'!$C$3:$C$152,0)),"",IF(ISBLANK(OFFSET('Mock Database'!$Z$2,MATCH($A83,'Mock Database'!$C$3:$C$152,0),0)),"",INDEX('Mock Database'!$Z$3:$Z$152,MATCH($A83,'Mock Database'!$C$3:$C$152,0))))</f>
        <v/>
      </c>
      <c r="J83" s="89" t="str">
        <f ca="1">IF(ISNA(MATCH($A83,'Mock Database'!$C$3:$C$152,0)),"",IF(ISBLANK(OFFSET('Mock Database'!$AE$2,MATCH($A83,'Mock Database'!$C$3:$C$152,0),0)),"",INDEX('Mock Database'!$AE$3:$AE$152,MATCH($A83,'Mock Database'!$C$3:$C$152,0))))</f>
        <v/>
      </c>
      <c r="K83" s="22" t="str">
        <f ca="1">IF(ISNA(MATCH($A83,'Mock Database'!$C$3:$C$152,0)),"",IF(ISBLANK(OFFSET('Mock Database'!$AF$2,MATCH($A83,'Mock Database'!$C$3:$C$152,0),0)),"",INDEX('Mock Database'!$AF$3:$AF$152,MATCH($A83,'Mock Database'!$C$3:$C$152,0))))</f>
        <v/>
      </c>
      <c r="N83" t="e">
        <f t="shared" si="11"/>
        <v>#N/A</v>
      </c>
      <c r="O83" s="89" t="e">
        <f t="shared" ca="1" si="12"/>
        <v>#N/A</v>
      </c>
      <c r="P83" s="22" t="e">
        <f t="shared" ca="1" si="13"/>
        <v>#N/A</v>
      </c>
      <c r="Q83" s="89" t="e">
        <f t="shared" ca="1" si="14"/>
        <v>#N/A</v>
      </c>
      <c r="R83" s="22" t="e">
        <f t="shared" ca="1" si="15"/>
        <v>#N/A</v>
      </c>
      <c r="S83" s="89" t="e">
        <f t="shared" ca="1" si="16"/>
        <v>#N/A</v>
      </c>
      <c r="T83" s="22" t="e">
        <f t="shared" ca="1" si="17"/>
        <v>#N/A</v>
      </c>
      <c r="U83" s="89" t="e">
        <f t="shared" ca="1" si="18"/>
        <v>#N/A</v>
      </c>
      <c r="V83" s="22" t="e">
        <f t="shared" ca="1" si="19"/>
        <v>#N/A</v>
      </c>
      <c r="AM83" t="e">
        <f t="shared" si="20"/>
        <v>#N/A</v>
      </c>
      <c r="AN83" t="e">
        <f t="shared" ca="1" si="21"/>
        <v>#N/A</v>
      </c>
    </row>
    <row r="84" spans="1:40" ht="15" customHeight="1" x14ac:dyDescent="0.3">
      <c r="A84" s="87">
        <v>83</v>
      </c>
      <c r="B84" t="str">
        <f>IFERROR(INDEX('Mock Database'!$D$3:$D$152,MATCH($A84,'Mock Database'!$C$3:$C$152,0)),"")</f>
        <v/>
      </c>
      <c r="C84" s="88" t="str">
        <f>IFERROR(INDEX('Mock Database'!$I$3:$I$152,MATCH($A84,'Mock Database'!$C$3:$C$152,0)),"")</f>
        <v/>
      </c>
      <c r="D84" s="89" t="str">
        <f ca="1">IF(ISNA(MATCH($A84,'Mock Database'!$C$3:$C$152,0)),"",IF(ISBLANK(OFFSET('Mock Database'!$M$2,MATCH($A84,'Mock Database'!$C$3:$C$152,0),0)),"",INDEX('Mock Database'!$M$3:$M$152,MATCH($A84,'Mock Database'!$C$3:$C$152,0))))</f>
        <v/>
      </c>
      <c r="E84" s="22" t="str">
        <f ca="1">IF(ISNA(MATCH($A84,'Mock Database'!$C$3:$C$152,0)),"",IF(ISBLANK(OFFSET('Mock Database'!$N$2,MATCH($A84,'Mock Database'!$C$3:$C$152,0),0)),"",INDEX('Mock Database'!$N$3:$N$152,MATCH($A84,'Mock Database'!$C$3:$C$152,0))))</f>
        <v/>
      </c>
      <c r="F84" s="89" t="str">
        <f ca="1">IF(ISNA(MATCH($A84,'Mock Database'!$C$3:$C$152,0)),"",IF(ISBLANK(OFFSET('Mock Database'!$S$2,MATCH($A84,'Mock Database'!$C$3:$C$152,0),0)),"",INDEX('Mock Database'!$S$3:$S$152,MATCH($A84,'Mock Database'!$C$3:$C$152,0))))</f>
        <v/>
      </c>
      <c r="G84" s="22" t="str">
        <f ca="1">IF(ISNA(MATCH($A84,'Mock Database'!$C$3:$C$152,0)),"",IF(ISBLANK(OFFSET('Mock Database'!$T$2,MATCH($A84,'Mock Database'!$C$3:$C$152,0),0)),"",INDEX('Mock Database'!$T$3:$T$152,MATCH($A84,'Mock Database'!$C$3:$C$152,0))))</f>
        <v/>
      </c>
      <c r="H84" s="89" t="str">
        <f ca="1">IF(ISNA(MATCH($A84,'Mock Database'!$C$3:$C$152,0)),"",IF(ISBLANK(OFFSET('Mock Database'!$Y$2,MATCH($A84,'Mock Database'!$C$3:$C$152,0),0)),"",INDEX('Mock Database'!$Y$3:$Y$152,MATCH($A84,'Mock Database'!$C$3:$C$152,0))))</f>
        <v/>
      </c>
      <c r="I84" s="22" t="str">
        <f ca="1">IF(ISNA(MATCH($A84,'Mock Database'!$C$3:$C$152,0)),"",IF(ISBLANK(OFFSET('Mock Database'!$Z$2,MATCH($A84,'Mock Database'!$C$3:$C$152,0),0)),"",INDEX('Mock Database'!$Z$3:$Z$152,MATCH($A84,'Mock Database'!$C$3:$C$152,0))))</f>
        <v/>
      </c>
      <c r="J84" s="89" t="str">
        <f ca="1">IF(ISNA(MATCH($A84,'Mock Database'!$C$3:$C$152,0)),"",IF(ISBLANK(OFFSET('Mock Database'!$AE$2,MATCH($A84,'Mock Database'!$C$3:$C$152,0),0)),"",INDEX('Mock Database'!$AE$3:$AE$152,MATCH($A84,'Mock Database'!$C$3:$C$152,0))))</f>
        <v/>
      </c>
      <c r="K84" s="22" t="str">
        <f ca="1">IF(ISNA(MATCH($A84,'Mock Database'!$C$3:$C$152,0)),"",IF(ISBLANK(OFFSET('Mock Database'!$AF$2,MATCH($A84,'Mock Database'!$C$3:$C$152,0),0)),"",INDEX('Mock Database'!$AF$3:$AF$152,MATCH($A84,'Mock Database'!$C$3:$C$152,0))))</f>
        <v/>
      </c>
      <c r="N84" t="e">
        <f t="shared" si="11"/>
        <v>#N/A</v>
      </c>
      <c r="O84" s="89" t="e">
        <f t="shared" ca="1" si="12"/>
        <v>#N/A</v>
      </c>
      <c r="P84" s="22" t="e">
        <f t="shared" ca="1" si="13"/>
        <v>#N/A</v>
      </c>
      <c r="Q84" s="89" t="e">
        <f t="shared" ca="1" si="14"/>
        <v>#N/A</v>
      </c>
      <c r="R84" s="22" t="e">
        <f t="shared" ca="1" si="15"/>
        <v>#N/A</v>
      </c>
      <c r="S84" s="89" t="e">
        <f t="shared" ca="1" si="16"/>
        <v>#N/A</v>
      </c>
      <c r="T84" s="22" t="e">
        <f t="shared" ca="1" si="17"/>
        <v>#N/A</v>
      </c>
      <c r="U84" s="89" t="e">
        <f t="shared" ca="1" si="18"/>
        <v>#N/A</v>
      </c>
      <c r="V84" s="22" t="e">
        <f t="shared" ca="1" si="19"/>
        <v>#N/A</v>
      </c>
      <c r="AM84" t="e">
        <f t="shared" si="20"/>
        <v>#N/A</v>
      </c>
      <c r="AN84" t="e">
        <f t="shared" ca="1" si="21"/>
        <v>#N/A</v>
      </c>
    </row>
    <row r="85" spans="1:40" ht="15" customHeight="1" x14ac:dyDescent="0.3">
      <c r="A85" s="87">
        <v>84</v>
      </c>
      <c r="B85" t="str">
        <f>IFERROR(INDEX('Mock Database'!$D$3:$D$152,MATCH($A85,'Mock Database'!$C$3:$C$152,0)),"")</f>
        <v/>
      </c>
      <c r="C85" s="88" t="str">
        <f>IFERROR(INDEX('Mock Database'!$I$3:$I$152,MATCH($A85,'Mock Database'!$C$3:$C$152,0)),"")</f>
        <v/>
      </c>
      <c r="D85" s="89" t="str">
        <f ca="1">IF(ISNA(MATCH($A85,'Mock Database'!$C$3:$C$152,0)),"",IF(ISBLANK(OFFSET('Mock Database'!$M$2,MATCH($A85,'Mock Database'!$C$3:$C$152,0),0)),"",INDEX('Mock Database'!$M$3:$M$152,MATCH($A85,'Mock Database'!$C$3:$C$152,0))))</f>
        <v/>
      </c>
      <c r="E85" s="22" t="str">
        <f ca="1">IF(ISNA(MATCH($A85,'Mock Database'!$C$3:$C$152,0)),"",IF(ISBLANK(OFFSET('Mock Database'!$N$2,MATCH($A85,'Mock Database'!$C$3:$C$152,0),0)),"",INDEX('Mock Database'!$N$3:$N$152,MATCH($A85,'Mock Database'!$C$3:$C$152,0))))</f>
        <v/>
      </c>
      <c r="F85" s="89" t="str">
        <f ca="1">IF(ISNA(MATCH($A85,'Mock Database'!$C$3:$C$152,0)),"",IF(ISBLANK(OFFSET('Mock Database'!$S$2,MATCH($A85,'Mock Database'!$C$3:$C$152,0),0)),"",INDEX('Mock Database'!$S$3:$S$152,MATCH($A85,'Mock Database'!$C$3:$C$152,0))))</f>
        <v/>
      </c>
      <c r="G85" s="22" t="str">
        <f ca="1">IF(ISNA(MATCH($A85,'Mock Database'!$C$3:$C$152,0)),"",IF(ISBLANK(OFFSET('Mock Database'!$T$2,MATCH($A85,'Mock Database'!$C$3:$C$152,0),0)),"",INDEX('Mock Database'!$T$3:$T$152,MATCH($A85,'Mock Database'!$C$3:$C$152,0))))</f>
        <v/>
      </c>
      <c r="H85" s="89" t="str">
        <f ca="1">IF(ISNA(MATCH($A85,'Mock Database'!$C$3:$C$152,0)),"",IF(ISBLANK(OFFSET('Mock Database'!$Y$2,MATCH($A85,'Mock Database'!$C$3:$C$152,0),0)),"",INDEX('Mock Database'!$Y$3:$Y$152,MATCH($A85,'Mock Database'!$C$3:$C$152,0))))</f>
        <v/>
      </c>
      <c r="I85" s="22" t="str">
        <f ca="1">IF(ISNA(MATCH($A85,'Mock Database'!$C$3:$C$152,0)),"",IF(ISBLANK(OFFSET('Mock Database'!$Z$2,MATCH($A85,'Mock Database'!$C$3:$C$152,0),0)),"",INDEX('Mock Database'!$Z$3:$Z$152,MATCH($A85,'Mock Database'!$C$3:$C$152,0))))</f>
        <v/>
      </c>
      <c r="J85" s="89" t="str">
        <f ca="1">IF(ISNA(MATCH($A85,'Mock Database'!$C$3:$C$152,0)),"",IF(ISBLANK(OFFSET('Mock Database'!$AE$2,MATCH($A85,'Mock Database'!$C$3:$C$152,0),0)),"",INDEX('Mock Database'!$AE$3:$AE$152,MATCH($A85,'Mock Database'!$C$3:$C$152,0))))</f>
        <v/>
      </c>
      <c r="K85" s="22" t="str">
        <f ca="1">IF(ISNA(MATCH($A85,'Mock Database'!$C$3:$C$152,0)),"",IF(ISBLANK(OFFSET('Mock Database'!$AF$2,MATCH($A85,'Mock Database'!$C$3:$C$152,0),0)),"",INDEX('Mock Database'!$AF$3:$AF$152,MATCH($A85,'Mock Database'!$C$3:$C$152,0))))</f>
        <v/>
      </c>
      <c r="N85" t="e">
        <f t="shared" si="11"/>
        <v>#N/A</v>
      </c>
      <c r="O85" s="89" t="e">
        <f t="shared" ca="1" si="12"/>
        <v>#N/A</v>
      </c>
      <c r="P85" s="22" t="e">
        <f t="shared" ca="1" si="13"/>
        <v>#N/A</v>
      </c>
      <c r="Q85" s="89" t="e">
        <f t="shared" ca="1" si="14"/>
        <v>#N/A</v>
      </c>
      <c r="R85" s="22" t="e">
        <f t="shared" ca="1" si="15"/>
        <v>#N/A</v>
      </c>
      <c r="S85" s="89" t="e">
        <f t="shared" ca="1" si="16"/>
        <v>#N/A</v>
      </c>
      <c r="T85" s="22" t="e">
        <f t="shared" ca="1" si="17"/>
        <v>#N/A</v>
      </c>
      <c r="U85" s="89" t="e">
        <f t="shared" ca="1" si="18"/>
        <v>#N/A</v>
      </c>
      <c r="V85" s="22" t="e">
        <f t="shared" ca="1" si="19"/>
        <v>#N/A</v>
      </c>
      <c r="AM85" t="e">
        <f t="shared" si="20"/>
        <v>#N/A</v>
      </c>
      <c r="AN85" t="e">
        <f t="shared" ca="1" si="21"/>
        <v>#N/A</v>
      </c>
    </row>
    <row r="86" spans="1:40" ht="15" customHeight="1" x14ac:dyDescent="0.3">
      <c r="A86" s="87">
        <v>85</v>
      </c>
      <c r="B86" t="str">
        <f>IFERROR(INDEX('Mock Database'!$D$3:$D$152,MATCH($A86,'Mock Database'!$C$3:$C$152,0)),"")</f>
        <v/>
      </c>
      <c r="C86" s="88" t="str">
        <f>IFERROR(INDEX('Mock Database'!$I$3:$I$152,MATCH($A86,'Mock Database'!$C$3:$C$152,0)),"")</f>
        <v/>
      </c>
      <c r="D86" s="89" t="str">
        <f ca="1">IF(ISNA(MATCH($A86,'Mock Database'!$C$3:$C$152,0)),"",IF(ISBLANK(OFFSET('Mock Database'!$M$2,MATCH($A86,'Mock Database'!$C$3:$C$152,0),0)),"",INDEX('Mock Database'!$M$3:$M$152,MATCH($A86,'Mock Database'!$C$3:$C$152,0))))</f>
        <v/>
      </c>
      <c r="E86" s="22" t="str">
        <f ca="1">IF(ISNA(MATCH($A86,'Mock Database'!$C$3:$C$152,0)),"",IF(ISBLANK(OFFSET('Mock Database'!$N$2,MATCH($A86,'Mock Database'!$C$3:$C$152,0),0)),"",INDEX('Mock Database'!$N$3:$N$152,MATCH($A86,'Mock Database'!$C$3:$C$152,0))))</f>
        <v/>
      </c>
      <c r="F86" s="89" t="str">
        <f ca="1">IF(ISNA(MATCH($A86,'Mock Database'!$C$3:$C$152,0)),"",IF(ISBLANK(OFFSET('Mock Database'!$S$2,MATCH($A86,'Mock Database'!$C$3:$C$152,0),0)),"",INDEX('Mock Database'!$S$3:$S$152,MATCH($A86,'Mock Database'!$C$3:$C$152,0))))</f>
        <v/>
      </c>
      <c r="G86" s="22" t="str">
        <f ca="1">IF(ISNA(MATCH($A86,'Mock Database'!$C$3:$C$152,0)),"",IF(ISBLANK(OFFSET('Mock Database'!$T$2,MATCH($A86,'Mock Database'!$C$3:$C$152,0),0)),"",INDEX('Mock Database'!$T$3:$T$152,MATCH($A86,'Mock Database'!$C$3:$C$152,0))))</f>
        <v/>
      </c>
      <c r="H86" s="89" t="str">
        <f ca="1">IF(ISNA(MATCH($A86,'Mock Database'!$C$3:$C$152,0)),"",IF(ISBLANK(OFFSET('Mock Database'!$Y$2,MATCH($A86,'Mock Database'!$C$3:$C$152,0),0)),"",INDEX('Mock Database'!$Y$3:$Y$152,MATCH($A86,'Mock Database'!$C$3:$C$152,0))))</f>
        <v/>
      </c>
      <c r="I86" s="22" t="str">
        <f ca="1">IF(ISNA(MATCH($A86,'Mock Database'!$C$3:$C$152,0)),"",IF(ISBLANK(OFFSET('Mock Database'!$Z$2,MATCH($A86,'Mock Database'!$C$3:$C$152,0),0)),"",INDEX('Mock Database'!$Z$3:$Z$152,MATCH($A86,'Mock Database'!$C$3:$C$152,0))))</f>
        <v/>
      </c>
      <c r="J86" s="89" t="str">
        <f ca="1">IF(ISNA(MATCH($A86,'Mock Database'!$C$3:$C$152,0)),"",IF(ISBLANK(OFFSET('Mock Database'!$AE$2,MATCH($A86,'Mock Database'!$C$3:$C$152,0),0)),"",INDEX('Mock Database'!$AE$3:$AE$152,MATCH($A86,'Mock Database'!$C$3:$C$152,0))))</f>
        <v/>
      </c>
      <c r="K86" s="22" t="str">
        <f ca="1">IF(ISNA(MATCH($A86,'Mock Database'!$C$3:$C$152,0)),"",IF(ISBLANK(OFFSET('Mock Database'!$AF$2,MATCH($A86,'Mock Database'!$C$3:$C$152,0),0)),"",INDEX('Mock Database'!$AF$3:$AF$152,MATCH($A86,'Mock Database'!$C$3:$C$152,0))))</f>
        <v/>
      </c>
      <c r="N86" t="e">
        <f t="shared" si="11"/>
        <v>#N/A</v>
      </c>
      <c r="O86" s="89" t="e">
        <f t="shared" ca="1" si="12"/>
        <v>#N/A</v>
      </c>
      <c r="P86" s="22" t="e">
        <f t="shared" ca="1" si="13"/>
        <v>#N/A</v>
      </c>
      <c r="Q86" s="89" t="e">
        <f t="shared" ca="1" si="14"/>
        <v>#N/A</v>
      </c>
      <c r="R86" s="22" t="e">
        <f t="shared" ca="1" si="15"/>
        <v>#N/A</v>
      </c>
      <c r="S86" s="89" t="e">
        <f t="shared" ca="1" si="16"/>
        <v>#N/A</v>
      </c>
      <c r="T86" s="22" t="e">
        <f t="shared" ca="1" si="17"/>
        <v>#N/A</v>
      </c>
      <c r="U86" s="89" t="e">
        <f t="shared" ca="1" si="18"/>
        <v>#N/A</v>
      </c>
      <c r="V86" s="22" t="e">
        <f t="shared" ca="1" si="19"/>
        <v>#N/A</v>
      </c>
      <c r="AM86" t="e">
        <f t="shared" si="20"/>
        <v>#N/A</v>
      </c>
      <c r="AN86" t="e">
        <f t="shared" ca="1" si="21"/>
        <v>#N/A</v>
      </c>
    </row>
    <row r="87" spans="1:40" ht="15" customHeight="1" x14ac:dyDescent="0.3">
      <c r="A87" s="87">
        <v>86</v>
      </c>
      <c r="B87" t="str">
        <f>IFERROR(INDEX('Mock Database'!$D$3:$D$152,MATCH($A87,'Mock Database'!$C$3:$C$152,0)),"")</f>
        <v/>
      </c>
      <c r="C87" s="88" t="str">
        <f>IFERROR(INDEX('Mock Database'!$I$3:$I$152,MATCH($A87,'Mock Database'!$C$3:$C$152,0)),"")</f>
        <v/>
      </c>
      <c r="D87" s="89" t="str">
        <f ca="1">IF(ISNA(MATCH($A87,'Mock Database'!$C$3:$C$152,0)),"",IF(ISBLANK(OFFSET('Mock Database'!$M$2,MATCH($A87,'Mock Database'!$C$3:$C$152,0),0)),"",INDEX('Mock Database'!$M$3:$M$152,MATCH($A87,'Mock Database'!$C$3:$C$152,0))))</f>
        <v/>
      </c>
      <c r="E87" s="22" t="str">
        <f ca="1">IF(ISNA(MATCH($A87,'Mock Database'!$C$3:$C$152,0)),"",IF(ISBLANK(OFFSET('Mock Database'!$N$2,MATCH($A87,'Mock Database'!$C$3:$C$152,0),0)),"",INDEX('Mock Database'!$N$3:$N$152,MATCH($A87,'Mock Database'!$C$3:$C$152,0))))</f>
        <v/>
      </c>
      <c r="F87" s="89" t="str">
        <f ca="1">IF(ISNA(MATCH($A87,'Mock Database'!$C$3:$C$152,0)),"",IF(ISBLANK(OFFSET('Mock Database'!$S$2,MATCH($A87,'Mock Database'!$C$3:$C$152,0),0)),"",INDEX('Mock Database'!$S$3:$S$152,MATCH($A87,'Mock Database'!$C$3:$C$152,0))))</f>
        <v/>
      </c>
      <c r="G87" s="22" t="str">
        <f ca="1">IF(ISNA(MATCH($A87,'Mock Database'!$C$3:$C$152,0)),"",IF(ISBLANK(OFFSET('Mock Database'!$T$2,MATCH($A87,'Mock Database'!$C$3:$C$152,0),0)),"",INDEX('Mock Database'!$T$3:$T$152,MATCH($A87,'Mock Database'!$C$3:$C$152,0))))</f>
        <v/>
      </c>
      <c r="H87" s="89" t="str">
        <f ca="1">IF(ISNA(MATCH($A87,'Mock Database'!$C$3:$C$152,0)),"",IF(ISBLANK(OFFSET('Mock Database'!$Y$2,MATCH($A87,'Mock Database'!$C$3:$C$152,0),0)),"",INDEX('Mock Database'!$Y$3:$Y$152,MATCH($A87,'Mock Database'!$C$3:$C$152,0))))</f>
        <v/>
      </c>
      <c r="I87" s="22" t="str">
        <f ca="1">IF(ISNA(MATCH($A87,'Mock Database'!$C$3:$C$152,0)),"",IF(ISBLANK(OFFSET('Mock Database'!$Z$2,MATCH($A87,'Mock Database'!$C$3:$C$152,0),0)),"",INDEX('Mock Database'!$Z$3:$Z$152,MATCH($A87,'Mock Database'!$C$3:$C$152,0))))</f>
        <v/>
      </c>
      <c r="J87" s="89" t="str">
        <f ca="1">IF(ISNA(MATCH($A87,'Mock Database'!$C$3:$C$152,0)),"",IF(ISBLANK(OFFSET('Mock Database'!$AE$2,MATCH($A87,'Mock Database'!$C$3:$C$152,0),0)),"",INDEX('Mock Database'!$AE$3:$AE$152,MATCH($A87,'Mock Database'!$C$3:$C$152,0))))</f>
        <v/>
      </c>
      <c r="K87" s="22" t="str">
        <f ca="1">IF(ISNA(MATCH($A87,'Mock Database'!$C$3:$C$152,0)),"",IF(ISBLANK(OFFSET('Mock Database'!$AF$2,MATCH($A87,'Mock Database'!$C$3:$C$152,0),0)),"",INDEX('Mock Database'!$AF$3:$AF$152,MATCH($A87,'Mock Database'!$C$3:$C$152,0))))</f>
        <v/>
      </c>
      <c r="N87" t="e">
        <f t="shared" si="11"/>
        <v>#N/A</v>
      </c>
      <c r="O87" s="89" t="e">
        <f t="shared" ca="1" si="12"/>
        <v>#N/A</v>
      </c>
      <c r="P87" s="22" t="e">
        <f t="shared" ca="1" si="13"/>
        <v>#N/A</v>
      </c>
      <c r="Q87" s="89" t="e">
        <f t="shared" ca="1" si="14"/>
        <v>#N/A</v>
      </c>
      <c r="R87" s="22" t="e">
        <f t="shared" ca="1" si="15"/>
        <v>#N/A</v>
      </c>
      <c r="S87" s="89" t="e">
        <f t="shared" ca="1" si="16"/>
        <v>#N/A</v>
      </c>
      <c r="T87" s="22" t="e">
        <f t="shared" ca="1" si="17"/>
        <v>#N/A</v>
      </c>
      <c r="U87" s="89" t="e">
        <f t="shared" ca="1" si="18"/>
        <v>#N/A</v>
      </c>
      <c r="V87" s="22" t="e">
        <f t="shared" ca="1" si="19"/>
        <v>#N/A</v>
      </c>
      <c r="AM87" t="e">
        <f t="shared" si="20"/>
        <v>#N/A</v>
      </c>
      <c r="AN87" t="e">
        <f t="shared" ca="1" si="21"/>
        <v>#N/A</v>
      </c>
    </row>
    <row r="88" spans="1:40" ht="15" customHeight="1" x14ac:dyDescent="0.3">
      <c r="A88" s="87">
        <v>87</v>
      </c>
      <c r="B88" t="str">
        <f>IFERROR(INDEX('Mock Database'!$D$3:$D$152,MATCH($A88,'Mock Database'!$C$3:$C$152,0)),"")</f>
        <v/>
      </c>
      <c r="C88" s="88" t="str">
        <f>IFERROR(INDEX('Mock Database'!$I$3:$I$152,MATCH($A88,'Mock Database'!$C$3:$C$152,0)),"")</f>
        <v/>
      </c>
      <c r="D88" s="89" t="str">
        <f ca="1">IF(ISNA(MATCH($A88,'Mock Database'!$C$3:$C$152,0)),"",IF(ISBLANK(OFFSET('Mock Database'!$M$2,MATCH($A88,'Mock Database'!$C$3:$C$152,0),0)),"",INDEX('Mock Database'!$M$3:$M$152,MATCH($A88,'Mock Database'!$C$3:$C$152,0))))</f>
        <v/>
      </c>
      <c r="E88" s="22" t="str">
        <f ca="1">IF(ISNA(MATCH($A88,'Mock Database'!$C$3:$C$152,0)),"",IF(ISBLANK(OFFSET('Mock Database'!$N$2,MATCH($A88,'Mock Database'!$C$3:$C$152,0),0)),"",INDEX('Mock Database'!$N$3:$N$152,MATCH($A88,'Mock Database'!$C$3:$C$152,0))))</f>
        <v/>
      </c>
      <c r="F88" s="89" t="str">
        <f ca="1">IF(ISNA(MATCH($A88,'Mock Database'!$C$3:$C$152,0)),"",IF(ISBLANK(OFFSET('Mock Database'!$S$2,MATCH($A88,'Mock Database'!$C$3:$C$152,0),0)),"",INDEX('Mock Database'!$S$3:$S$152,MATCH($A88,'Mock Database'!$C$3:$C$152,0))))</f>
        <v/>
      </c>
      <c r="G88" s="22" t="str">
        <f ca="1">IF(ISNA(MATCH($A88,'Mock Database'!$C$3:$C$152,0)),"",IF(ISBLANK(OFFSET('Mock Database'!$T$2,MATCH($A88,'Mock Database'!$C$3:$C$152,0),0)),"",INDEX('Mock Database'!$T$3:$T$152,MATCH($A88,'Mock Database'!$C$3:$C$152,0))))</f>
        <v/>
      </c>
      <c r="H88" s="89" t="str">
        <f ca="1">IF(ISNA(MATCH($A88,'Mock Database'!$C$3:$C$152,0)),"",IF(ISBLANK(OFFSET('Mock Database'!$Y$2,MATCH($A88,'Mock Database'!$C$3:$C$152,0),0)),"",INDEX('Mock Database'!$Y$3:$Y$152,MATCH($A88,'Mock Database'!$C$3:$C$152,0))))</f>
        <v/>
      </c>
      <c r="I88" s="22" t="str">
        <f ca="1">IF(ISNA(MATCH($A88,'Mock Database'!$C$3:$C$152,0)),"",IF(ISBLANK(OFFSET('Mock Database'!$Z$2,MATCH($A88,'Mock Database'!$C$3:$C$152,0),0)),"",INDEX('Mock Database'!$Z$3:$Z$152,MATCH($A88,'Mock Database'!$C$3:$C$152,0))))</f>
        <v/>
      </c>
      <c r="J88" s="89" t="str">
        <f ca="1">IF(ISNA(MATCH($A88,'Mock Database'!$C$3:$C$152,0)),"",IF(ISBLANK(OFFSET('Mock Database'!$AE$2,MATCH($A88,'Mock Database'!$C$3:$C$152,0),0)),"",INDEX('Mock Database'!$AE$3:$AE$152,MATCH($A88,'Mock Database'!$C$3:$C$152,0))))</f>
        <v/>
      </c>
      <c r="K88" s="22" t="str">
        <f ca="1">IF(ISNA(MATCH($A88,'Mock Database'!$C$3:$C$152,0)),"",IF(ISBLANK(OFFSET('Mock Database'!$AF$2,MATCH($A88,'Mock Database'!$C$3:$C$152,0),0)),"",INDEX('Mock Database'!$AF$3:$AF$152,MATCH($A88,'Mock Database'!$C$3:$C$152,0))))</f>
        <v/>
      </c>
      <c r="N88" t="e">
        <f t="shared" si="11"/>
        <v>#N/A</v>
      </c>
      <c r="O88" s="89" t="e">
        <f t="shared" ca="1" si="12"/>
        <v>#N/A</v>
      </c>
      <c r="P88" s="22" t="e">
        <f t="shared" ca="1" si="13"/>
        <v>#N/A</v>
      </c>
      <c r="Q88" s="89" t="e">
        <f t="shared" ca="1" si="14"/>
        <v>#N/A</v>
      </c>
      <c r="R88" s="22" t="e">
        <f t="shared" ca="1" si="15"/>
        <v>#N/A</v>
      </c>
      <c r="S88" s="89" t="e">
        <f t="shared" ca="1" si="16"/>
        <v>#N/A</v>
      </c>
      <c r="T88" s="22" t="e">
        <f t="shared" ca="1" si="17"/>
        <v>#N/A</v>
      </c>
      <c r="U88" s="89" t="e">
        <f t="shared" ca="1" si="18"/>
        <v>#N/A</v>
      </c>
      <c r="V88" s="22" t="e">
        <f t="shared" ca="1" si="19"/>
        <v>#N/A</v>
      </c>
      <c r="AM88" t="e">
        <f t="shared" si="20"/>
        <v>#N/A</v>
      </c>
      <c r="AN88" t="e">
        <f t="shared" ca="1" si="21"/>
        <v>#N/A</v>
      </c>
    </row>
    <row r="89" spans="1:40" ht="15" customHeight="1" x14ac:dyDescent="0.3">
      <c r="A89" s="87">
        <v>88</v>
      </c>
      <c r="B89" t="str">
        <f>IFERROR(INDEX('Mock Database'!$D$3:$D$152,MATCH($A89,'Mock Database'!$C$3:$C$152,0)),"")</f>
        <v/>
      </c>
      <c r="C89" s="88" t="str">
        <f>IFERROR(INDEX('Mock Database'!$I$3:$I$152,MATCH($A89,'Mock Database'!$C$3:$C$152,0)),"")</f>
        <v/>
      </c>
      <c r="D89" s="89" t="str">
        <f ca="1">IF(ISNA(MATCH($A89,'Mock Database'!$C$3:$C$152,0)),"",IF(ISBLANK(OFFSET('Mock Database'!$M$2,MATCH($A89,'Mock Database'!$C$3:$C$152,0),0)),"",INDEX('Mock Database'!$M$3:$M$152,MATCH($A89,'Mock Database'!$C$3:$C$152,0))))</f>
        <v/>
      </c>
      <c r="E89" s="22" t="str">
        <f ca="1">IF(ISNA(MATCH($A89,'Mock Database'!$C$3:$C$152,0)),"",IF(ISBLANK(OFFSET('Mock Database'!$N$2,MATCH($A89,'Mock Database'!$C$3:$C$152,0),0)),"",INDEX('Mock Database'!$N$3:$N$152,MATCH($A89,'Mock Database'!$C$3:$C$152,0))))</f>
        <v/>
      </c>
      <c r="F89" s="89" t="str">
        <f ca="1">IF(ISNA(MATCH($A89,'Mock Database'!$C$3:$C$152,0)),"",IF(ISBLANK(OFFSET('Mock Database'!$S$2,MATCH($A89,'Mock Database'!$C$3:$C$152,0),0)),"",INDEX('Mock Database'!$S$3:$S$152,MATCH($A89,'Mock Database'!$C$3:$C$152,0))))</f>
        <v/>
      </c>
      <c r="G89" s="22" t="str">
        <f ca="1">IF(ISNA(MATCH($A89,'Mock Database'!$C$3:$C$152,0)),"",IF(ISBLANK(OFFSET('Mock Database'!$T$2,MATCH($A89,'Mock Database'!$C$3:$C$152,0),0)),"",INDEX('Mock Database'!$T$3:$T$152,MATCH($A89,'Mock Database'!$C$3:$C$152,0))))</f>
        <v/>
      </c>
      <c r="H89" s="89" t="str">
        <f ca="1">IF(ISNA(MATCH($A89,'Mock Database'!$C$3:$C$152,0)),"",IF(ISBLANK(OFFSET('Mock Database'!$Y$2,MATCH($A89,'Mock Database'!$C$3:$C$152,0),0)),"",INDEX('Mock Database'!$Y$3:$Y$152,MATCH($A89,'Mock Database'!$C$3:$C$152,0))))</f>
        <v/>
      </c>
      <c r="I89" s="22" t="str">
        <f ca="1">IF(ISNA(MATCH($A89,'Mock Database'!$C$3:$C$152,0)),"",IF(ISBLANK(OFFSET('Mock Database'!$Z$2,MATCH($A89,'Mock Database'!$C$3:$C$152,0),0)),"",INDEX('Mock Database'!$Z$3:$Z$152,MATCH($A89,'Mock Database'!$C$3:$C$152,0))))</f>
        <v/>
      </c>
      <c r="J89" s="89" t="str">
        <f ca="1">IF(ISNA(MATCH($A89,'Mock Database'!$C$3:$C$152,0)),"",IF(ISBLANK(OFFSET('Mock Database'!$AE$2,MATCH($A89,'Mock Database'!$C$3:$C$152,0),0)),"",INDEX('Mock Database'!$AE$3:$AE$152,MATCH($A89,'Mock Database'!$C$3:$C$152,0))))</f>
        <v/>
      </c>
      <c r="K89" s="22" t="str">
        <f ca="1">IF(ISNA(MATCH($A89,'Mock Database'!$C$3:$C$152,0)),"",IF(ISBLANK(OFFSET('Mock Database'!$AF$2,MATCH($A89,'Mock Database'!$C$3:$C$152,0),0)),"",INDEX('Mock Database'!$AF$3:$AF$152,MATCH($A89,'Mock Database'!$C$3:$C$152,0))))</f>
        <v/>
      </c>
      <c r="N89" t="e">
        <f t="shared" si="11"/>
        <v>#N/A</v>
      </c>
      <c r="O89" s="89" t="e">
        <f t="shared" ca="1" si="12"/>
        <v>#N/A</v>
      </c>
      <c r="P89" s="22" t="e">
        <f t="shared" ca="1" si="13"/>
        <v>#N/A</v>
      </c>
      <c r="Q89" s="89" t="e">
        <f t="shared" ca="1" si="14"/>
        <v>#N/A</v>
      </c>
      <c r="R89" s="22" t="e">
        <f t="shared" ca="1" si="15"/>
        <v>#N/A</v>
      </c>
      <c r="S89" s="89" t="e">
        <f t="shared" ca="1" si="16"/>
        <v>#N/A</v>
      </c>
      <c r="T89" s="22" t="e">
        <f t="shared" ca="1" si="17"/>
        <v>#N/A</v>
      </c>
      <c r="U89" s="89" t="e">
        <f t="shared" ca="1" si="18"/>
        <v>#N/A</v>
      </c>
      <c r="V89" s="22" t="e">
        <f t="shared" ca="1" si="19"/>
        <v>#N/A</v>
      </c>
      <c r="AM89" t="e">
        <f t="shared" si="20"/>
        <v>#N/A</v>
      </c>
      <c r="AN89" t="e">
        <f t="shared" ca="1" si="21"/>
        <v>#N/A</v>
      </c>
    </row>
    <row r="90" spans="1:40" ht="15" customHeight="1" x14ac:dyDescent="0.3">
      <c r="A90" s="87">
        <v>89</v>
      </c>
      <c r="B90" t="str">
        <f>IFERROR(INDEX('Mock Database'!$D$3:$D$152,MATCH($A90,'Mock Database'!$C$3:$C$152,0)),"")</f>
        <v/>
      </c>
      <c r="C90" s="88" t="str">
        <f>IFERROR(INDEX('Mock Database'!$I$3:$I$152,MATCH($A90,'Mock Database'!$C$3:$C$152,0)),"")</f>
        <v/>
      </c>
      <c r="D90" s="89" t="str">
        <f ca="1">IF(ISNA(MATCH($A90,'Mock Database'!$C$3:$C$152,0)),"",IF(ISBLANK(OFFSET('Mock Database'!$M$2,MATCH($A90,'Mock Database'!$C$3:$C$152,0),0)),"",INDEX('Mock Database'!$M$3:$M$152,MATCH($A90,'Mock Database'!$C$3:$C$152,0))))</f>
        <v/>
      </c>
      <c r="E90" s="22" t="str">
        <f ca="1">IF(ISNA(MATCH($A90,'Mock Database'!$C$3:$C$152,0)),"",IF(ISBLANK(OFFSET('Mock Database'!$N$2,MATCH($A90,'Mock Database'!$C$3:$C$152,0),0)),"",INDEX('Mock Database'!$N$3:$N$152,MATCH($A90,'Mock Database'!$C$3:$C$152,0))))</f>
        <v/>
      </c>
      <c r="F90" s="89" t="str">
        <f ca="1">IF(ISNA(MATCH($A90,'Mock Database'!$C$3:$C$152,0)),"",IF(ISBLANK(OFFSET('Mock Database'!$S$2,MATCH($A90,'Mock Database'!$C$3:$C$152,0),0)),"",INDEX('Mock Database'!$S$3:$S$152,MATCH($A90,'Mock Database'!$C$3:$C$152,0))))</f>
        <v/>
      </c>
      <c r="G90" s="22" t="str">
        <f ca="1">IF(ISNA(MATCH($A90,'Mock Database'!$C$3:$C$152,0)),"",IF(ISBLANK(OFFSET('Mock Database'!$T$2,MATCH($A90,'Mock Database'!$C$3:$C$152,0),0)),"",INDEX('Mock Database'!$T$3:$T$152,MATCH($A90,'Mock Database'!$C$3:$C$152,0))))</f>
        <v/>
      </c>
      <c r="H90" s="89" t="str">
        <f ca="1">IF(ISNA(MATCH($A90,'Mock Database'!$C$3:$C$152,0)),"",IF(ISBLANK(OFFSET('Mock Database'!$Y$2,MATCH($A90,'Mock Database'!$C$3:$C$152,0),0)),"",INDEX('Mock Database'!$Y$3:$Y$152,MATCH($A90,'Mock Database'!$C$3:$C$152,0))))</f>
        <v/>
      </c>
      <c r="I90" s="22" t="str">
        <f ca="1">IF(ISNA(MATCH($A90,'Mock Database'!$C$3:$C$152,0)),"",IF(ISBLANK(OFFSET('Mock Database'!$Z$2,MATCH($A90,'Mock Database'!$C$3:$C$152,0),0)),"",INDEX('Mock Database'!$Z$3:$Z$152,MATCH($A90,'Mock Database'!$C$3:$C$152,0))))</f>
        <v/>
      </c>
      <c r="J90" s="89" t="str">
        <f ca="1">IF(ISNA(MATCH($A90,'Mock Database'!$C$3:$C$152,0)),"",IF(ISBLANK(OFFSET('Mock Database'!$AE$2,MATCH($A90,'Mock Database'!$C$3:$C$152,0),0)),"",INDEX('Mock Database'!$AE$3:$AE$152,MATCH($A90,'Mock Database'!$C$3:$C$152,0))))</f>
        <v/>
      </c>
      <c r="K90" s="22" t="str">
        <f ca="1">IF(ISNA(MATCH($A90,'Mock Database'!$C$3:$C$152,0)),"",IF(ISBLANK(OFFSET('Mock Database'!$AF$2,MATCH($A90,'Mock Database'!$C$3:$C$152,0),0)),"",INDEX('Mock Database'!$AF$3:$AF$152,MATCH($A90,'Mock Database'!$C$3:$C$152,0))))</f>
        <v/>
      </c>
      <c r="N90" t="e">
        <f t="shared" si="11"/>
        <v>#N/A</v>
      </c>
      <c r="O90" s="89" t="e">
        <f t="shared" ca="1" si="12"/>
        <v>#N/A</v>
      </c>
      <c r="P90" s="22" t="e">
        <f t="shared" ca="1" si="13"/>
        <v>#N/A</v>
      </c>
      <c r="Q90" s="89" t="e">
        <f t="shared" ca="1" si="14"/>
        <v>#N/A</v>
      </c>
      <c r="R90" s="22" t="e">
        <f t="shared" ca="1" si="15"/>
        <v>#N/A</v>
      </c>
      <c r="S90" s="89" t="e">
        <f t="shared" ca="1" si="16"/>
        <v>#N/A</v>
      </c>
      <c r="T90" s="22" t="e">
        <f t="shared" ca="1" si="17"/>
        <v>#N/A</v>
      </c>
      <c r="U90" s="89" t="e">
        <f t="shared" ca="1" si="18"/>
        <v>#N/A</v>
      </c>
      <c r="V90" s="22" t="e">
        <f t="shared" ca="1" si="19"/>
        <v>#N/A</v>
      </c>
      <c r="AM90" t="e">
        <f t="shared" si="20"/>
        <v>#N/A</v>
      </c>
      <c r="AN90" t="e">
        <f t="shared" ca="1" si="21"/>
        <v>#N/A</v>
      </c>
    </row>
    <row r="91" spans="1:40" ht="15" customHeight="1" x14ac:dyDescent="0.3">
      <c r="A91" s="87">
        <v>90</v>
      </c>
      <c r="B91" t="str">
        <f>IFERROR(INDEX('Mock Database'!$D$3:$D$152,MATCH($A91,'Mock Database'!$C$3:$C$152,0)),"")</f>
        <v/>
      </c>
      <c r="C91" s="88" t="str">
        <f>IFERROR(INDEX('Mock Database'!$I$3:$I$152,MATCH($A91,'Mock Database'!$C$3:$C$152,0)),"")</f>
        <v/>
      </c>
      <c r="D91" s="89" t="str">
        <f ca="1">IF(ISNA(MATCH($A91,'Mock Database'!$C$3:$C$152,0)),"",IF(ISBLANK(OFFSET('Mock Database'!$M$2,MATCH($A91,'Mock Database'!$C$3:$C$152,0),0)),"",INDEX('Mock Database'!$M$3:$M$152,MATCH($A91,'Mock Database'!$C$3:$C$152,0))))</f>
        <v/>
      </c>
      <c r="E91" s="22" t="str">
        <f ca="1">IF(ISNA(MATCH($A91,'Mock Database'!$C$3:$C$152,0)),"",IF(ISBLANK(OFFSET('Mock Database'!$N$2,MATCH($A91,'Mock Database'!$C$3:$C$152,0),0)),"",INDEX('Mock Database'!$N$3:$N$152,MATCH($A91,'Mock Database'!$C$3:$C$152,0))))</f>
        <v/>
      </c>
      <c r="F91" s="89" t="str">
        <f ca="1">IF(ISNA(MATCH($A91,'Mock Database'!$C$3:$C$152,0)),"",IF(ISBLANK(OFFSET('Mock Database'!$S$2,MATCH($A91,'Mock Database'!$C$3:$C$152,0),0)),"",INDEX('Mock Database'!$S$3:$S$152,MATCH($A91,'Mock Database'!$C$3:$C$152,0))))</f>
        <v/>
      </c>
      <c r="G91" s="22" t="str">
        <f ca="1">IF(ISNA(MATCH($A91,'Mock Database'!$C$3:$C$152,0)),"",IF(ISBLANK(OFFSET('Mock Database'!$T$2,MATCH($A91,'Mock Database'!$C$3:$C$152,0),0)),"",INDEX('Mock Database'!$T$3:$T$152,MATCH($A91,'Mock Database'!$C$3:$C$152,0))))</f>
        <v/>
      </c>
      <c r="H91" s="89" t="str">
        <f ca="1">IF(ISNA(MATCH($A91,'Mock Database'!$C$3:$C$152,0)),"",IF(ISBLANK(OFFSET('Mock Database'!$Y$2,MATCH($A91,'Mock Database'!$C$3:$C$152,0),0)),"",INDEX('Mock Database'!$Y$3:$Y$152,MATCH($A91,'Mock Database'!$C$3:$C$152,0))))</f>
        <v/>
      </c>
      <c r="I91" s="22" t="str">
        <f ca="1">IF(ISNA(MATCH($A91,'Mock Database'!$C$3:$C$152,0)),"",IF(ISBLANK(OFFSET('Mock Database'!$Z$2,MATCH($A91,'Mock Database'!$C$3:$C$152,0),0)),"",INDEX('Mock Database'!$Z$3:$Z$152,MATCH($A91,'Mock Database'!$C$3:$C$152,0))))</f>
        <v/>
      </c>
      <c r="J91" s="89" t="str">
        <f ca="1">IF(ISNA(MATCH($A91,'Mock Database'!$C$3:$C$152,0)),"",IF(ISBLANK(OFFSET('Mock Database'!$AE$2,MATCH($A91,'Mock Database'!$C$3:$C$152,0),0)),"",INDEX('Mock Database'!$AE$3:$AE$152,MATCH($A91,'Mock Database'!$C$3:$C$152,0))))</f>
        <v/>
      </c>
      <c r="K91" s="22" t="str">
        <f ca="1">IF(ISNA(MATCH($A91,'Mock Database'!$C$3:$C$152,0)),"",IF(ISBLANK(OFFSET('Mock Database'!$AF$2,MATCH($A91,'Mock Database'!$C$3:$C$152,0),0)),"",INDEX('Mock Database'!$AF$3:$AF$152,MATCH($A91,'Mock Database'!$C$3:$C$152,0))))</f>
        <v/>
      </c>
      <c r="N91" t="e">
        <f t="shared" si="11"/>
        <v>#N/A</v>
      </c>
      <c r="O91" s="89" t="e">
        <f t="shared" ca="1" si="12"/>
        <v>#N/A</v>
      </c>
      <c r="P91" s="22" t="e">
        <f t="shared" ca="1" si="13"/>
        <v>#N/A</v>
      </c>
      <c r="Q91" s="89" t="e">
        <f t="shared" ca="1" si="14"/>
        <v>#N/A</v>
      </c>
      <c r="R91" s="22" t="e">
        <f t="shared" ca="1" si="15"/>
        <v>#N/A</v>
      </c>
      <c r="S91" s="89" t="e">
        <f t="shared" ca="1" si="16"/>
        <v>#N/A</v>
      </c>
      <c r="T91" s="22" t="e">
        <f t="shared" ca="1" si="17"/>
        <v>#N/A</v>
      </c>
      <c r="U91" s="89" t="e">
        <f t="shared" ca="1" si="18"/>
        <v>#N/A</v>
      </c>
      <c r="V91" s="22" t="e">
        <f t="shared" ca="1" si="19"/>
        <v>#N/A</v>
      </c>
      <c r="AM91" t="e">
        <f t="shared" si="20"/>
        <v>#N/A</v>
      </c>
      <c r="AN91" t="e">
        <f t="shared" ca="1" si="21"/>
        <v>#N/A</v>
      </c>
    </row>
    <row r="92" spans="1:40" ht="15" customHeight="1" x14ac:dyDescent="0.3">
      <c r="A92" s="87">
        <v>91</v>
      </c>
      <c r="B92" t="str">
        <f>IFERROR(INDEX('Mock Database'!$D$3:$D$152,MATCH($A92,'Mock Database'!$C$3:$C$152,0)),"")</f>
        <v/>
      </c>
      <c r="C92" s="88" t="str">
        <f>IFERROR(INDEX('Mock Database'!$I$3:$I$152,MATCH($A92,'Mock Database'!$C$3:$C$152,0)),"")</f>
        <v/>
      </c>
      <c r="D92" s="89" t="str">
        <f ca="1">IF(ISNA(MATCH($A92,'Mock Database'!$C$3:$C$152,0)),"",IF(ISBLANK(OFFSET('Mock Database'!$M$2,MATCH($A92,'Mock Database'!$C$3:$C$152,0),0)),"",INDEX('Mock Database'!$M$3:$M$152,MATCH($A92,'Mock Database'!$C$3:$C$152,0))))</f>
        <v/>
      </c>
      <c r="E92" s="22" t="str">
        <f ca="1">IF(ISNA(MATCH($A92,'Mock Database'!$C$3:$C$152,0)),"",IF(ISBLANK(OFFSET('Mock Database'!$N$2,MATCH($A92,'Mock Database'!$C$3:$C$152,0),0)),"",INDEX('Mock Database'!$N$3:$N$152,MATCH($A92,'Mock Database'!$C$3:$C$152,0))))</f>
        <v/>
      </c>
      <c r="F92" s="89" t="str">
        <f ca="1">IF(ISNA(MATCH($A92,'Mock Database'!$C$3:$C$152,0)),"",IF(ISBLANK(OFFSET('Mock Database'!$S$2,MATCH($A92,'Mock Database'!$C$3:$C$152,0),0)),"",INDEX('Mock Database'!$S$3:$S$152,MATCH($A92,'Mock Database'!$C$3:$C$152,0))))</f>
        <v/>
      </c>
      <c r="G92" s="22" t="str">
        <f ca="1">IF(ISNA(MATCH($A92,'Mock Database'!$C$3:$C$152,0)),"",IF(ISBLANK(OFFSET('Mock Database'!$T$2,MATCH($A92,'Mock Database'!$C$3:$C$152,0),0)),"",INDEX('Mock Database'!$T$3:$T$152,MATCH($A92,'Mock Database'!$C$3:$C$152,0))))</f>
        <v/>
      </c>
      <c r="H92" s="89" t="str">
        <f ca="1">IF(ISNA(MATCH($A92,'Mock Database'!$C$3:$C$152,0)),"",IF(ISBLANK(OFFSET('Mock Database'!$Y$2,MATCH($A92,'Mock Database'!$C$3:$C$152,0),0)),"",INDEX('Mock Database'!$Y$3:$Y$152,MATCH($A92,'Mock Database'!$C$3:$C$152,0))))</f>
        <v/>
      </c>
      <c r="I92" s="22" t="str">
        <f ca="1">IF(ISNA(MATCH($A92,'Mock Database'!$C$3:$C$152,0)),"",IF(ISBLANK(OFFSET('Mock Database'!$Z$2,MATCH($A92,'Mock Database'!$C$3:$C$152,0),0)),"",INDEX('Mock Database'!$Z$3:$Z$152,MATCH($A92,'Mock Database'!$C$3:$C$152,0))))</f>
        <v/>
      </c>
      <c r="J92" s="89" t="str">
        <f ca="1">IF(ISNA(MATCH($A92,'Mock Database'!$C$3:$C$152,0)),"",IF(ISBLANK(OFFSET('Mock Database'!$AE$2,MATCH($A92,'Mock Database'!$C$3:$C$152,0),0)),"",INDEX('Mock Database'!$AE$3:$AE$152,MATCH($A92,'Mock Database'!$C$3:$C$152,0))))</f>
        <v/>
      </c>
      <c r="K92" s="22" t="str">
        <f ca="1">IF(ISNA(MATCH($A92,'Mock Database'!$C$3:$C$152,0)),"",IF(ISBLANK(OFFSET('Mock Database'!$AF$2,MATCH($A92,'Mock Database'!$C$3:$C$152,0),0)),"",INDEX('Mock Database'!$AF$3:$AF$152,MATCH($A92,'Mock Database'!$C$3:$C$152,0))))</f>
        <v/>
      </c>
      <c r="N92" t="e">
        <f t="shared" si="11"/>
        <v>#N/A</v>
      </c>
      <c r="O92" s="89" t="e">
        <f t="shared" ca="1" si="12"/>
        <v>#N/A</v>
      </c>
      <c r="P92" s="22" t="e">
        <f t="shared" ca="1" si="13"/>
        <v>#N/A</v>
      </c>
      <c r="Q92" s="89" t="e">
        <f t="shared" ca="1" si="14"/>
        <v>#N/A</v>
      </c>
      <c r="R92" s="22" t="e">
        <f t="shared" ca="1" si="15"/>
        <v>#N/A</v>
      </c>
      <c r="S92" s="89" t="e">
        <f t="shared" ca="1" si="16"/>
        <v>#N/A</v>
      </c>
      <c r="T92" s="22" t="e">
        <f t="shared" ca="1" si="17"/>
        <v>#N/A</v>
      </c>
      <c r="U92" s="89" t="e">
        <f t="shared" ca="1" si="18"/>
        <v>#N/A</v>
      </c>
      <c r="V92" s="22" t="e">
        <f t="shared" ca="1" si="19"/>
        <v>#N/A</v>
      </c>
      <c r="AM92" t="e">
        <f t="shared" si="20"/>
        <v>#N/A</v>
      </c>
      <c r="AN92" t="e">
        <f t="shared" ca="1" si="21"/>
        <v>#N/A</v>
      </c>
    </row>
    <row r="93" spans="1:40" ht="15" customHeight="1" x14ac:dyDescent="0.3">
      <c r="A93" s="87">
        <v>92</v>
      </c>
      <c r="B93" t="str">
        <f>IFERROR(INDEX('Mock Database'!$D$3:$D$152,MATCH($A93,'Mock Database'!$C$3:$C$152,0)),"")</f>
        <v/>
      </c>
      <c r="C93" s="88" t="str">
        <f>IFERROR(INDEX('Mock Database'!$I$3:$I$152,MATCH($A93,'Mock Database'!$C$3:$C$152,0)),"")</f>
        <v/>
      </c>
      <c r="D93" s="89" t="str">
        <f ca="1">IF(ISNA(MATCH($A93,'Mock Database'!$C$3:$C$152,0)),"",IF(ISBLANK(OFFSET('Mock Database'!$M$2,MATCH($A93,'Mock Database'!$C$3:$C$152,0),0)),"",INDEX('Mock Database'!$M$3:$M$152,MATCH($A93,'Mock Database'!$C$3:$C$152,0))))</f>
        <v/>
      </c>
      <c r="E93" s="22" t="str">
        <f ca="1">IF(ISNA(MATCH($A93,'Mock Database'!$C$3:$C$152,0)),"",IF(ISBLANK(OFFSET('Mock Database'!$N$2,MATCH($A93,'Mock Database'!$C$3:$C$152,0),0)),"",INDEX('Mock Database'!$N$3:$N$152,MATCH($A93,'Mock Database'!$C$3:$C$152,0))))</f>
        <v/>
      </c>
      <c r="F93" s="89" t="str">
        <f ca="1">IF(ISNA(MATCH($A93,'Mock Database'!$C$3:$C$152,0)),"",IF(ISBLANK(OFFSET('Mock Database'!$S$2,MATCH($A93,'Mock Database'!$C$3:$C$152,0),0)),"",INDEX('Mock Database'!$S$3:$S$152,MATCH($A93,'Mock Database'!$C$3:$C$152,0))))</f>
        <v/>
      </c>
      <c r="G93" s="22" t="str">
        <f ca="1">IF(ISNA(MATCH($A93,'Mock Database'!$C$3:$C$152,0)),"",IF(ISBLANK(OFFSET('Mock Database'!$T$2,MATCH($A93,'Mock Database'!$C$3:$C$152,0),0)),"",INDEX('Mock Database'!$T$3:$T$152,MATCH($A93,'Mock Database'!$C$3:$C$152,0))))</f>
        <v/>
      </c>
      <c r="H93" s="89" t="str">
        <f ca="1">IF(ISNA(MATCH($A93,'Mock Database'!$C$3:$C$152,0)),"",IF(ISBLANK(OFFSET('Mock Database'!$Y$2,MATCH($A93,'Mock Database'!$C$3:$C$152,0),0)),"",INDEX('Mock Database'!$Y$3:$Y$152,MATCH($A93,'Mock Database'!$C$3:$C$152,0))))</f>
        <v/>
      </c>
      <c r="I93" s="22" t="str">
        <f ca="1">IF(ISNA(MATCH($A93,'Mock Database'!$C$3:$C$152,0)),"",IF(ISBLANK(OFFSET('Mock Database'!$Z$2,MATCH($A93,'Mock Database'!$C$3:$C$152,0),0)),"",INDEX('Mock Database'!$Z$3:$Z$152,MATCH($A93,'Mock Database'!$C$3:$C$152,0))))</f>
        <v/>
      </c>
      <c r="J93" s="89" t="str">
        <f ca="1">IF(ISNA(MATCH($A93,'Mock Database'!$C$3:$C$152,0)),"",IF(ISBLANK(OFFSET('Mock Database'!$AE$2,MATCH($A93,'Mock Database'!$C$3:$C$152,0),0)),"",INDEX('Mock Database'!$AE$3:$AE$152,MATCH($A93,'Mock Database'!$C$3:$C$152,0))))</f>
        <v/>
      </c>
      <c r="K93" s="22" t="str">
        <f ca="1">IF(ISNA(MATCH($A93,'Mock Database'!$C$3:$C$152,0)),"",IF(ISBLANK(OFFSET('Mock Database'!$AF$2,MATCH($A93,'Mock Database'!$C$3:$C$152,0),0)),"",INDEX('Mock Database'!$AF$3:$AF$152,MATCH($A93,'Mock Database'!$C$3:$C$152,0))))</f>
        <v/>
      </c>
      <c r="N93" t="e">
        <f t="shared" si="11"/>
        <v>#N/A</v>
      </c>
      <c r="O93" s="89" t="e">
        <f t="shared" ca="1" si="12"/>
        <v>#N/A</v>
      </c>
      <c r="P93" s="22" t="e">
        <f t="shared" ca="1" si="13"/>
        <v>#N/A</v>
      </c>
      <c r="Q93" s="89" t="e">
        <f t="shared" ca="1" si="14"/>
        <v>#N/A</v>
      </c>
      <c r="R93" s="22" t="e">
        <f t="shared" ca="1" si="15"/>
        <v>#N/A</v>
      </c>
      <c r="S93" s="89" t="e">
        <f t="shared" ca="1" si="16"/>
        <v>#N/A</v>
      </c>
      <c r="T93" s="22" t="e">
        <f t="shared" ca="1" si="17"/>
        <v>#N/A</v>
      </c>
      <c r="U93" s="89" t="e">
        <f t="shared" ca="1" si="18"/>
        <v>#N/A</v>
      </c>
      <c r="V93" s="22" t="e">
        <f t="shared" ca="1" si="19"/>
        <v>#N/A</v>
      </c>
      <c r="AM93" t="e">
        <f t="shared" si="20"/>
        <v>#N/A</v>
      </c>
      <c r="AN93" t="e">
        <f t="shared" ca="1" si="21"/>
        <v>#N/A</v>
      </c>
    </row>
    <row r="94" spans="1:40" ht="15" customHeight="1" x14ac:dyDescent="0.3">
      <c r="A94" s="87">
        <v>93</v>
      </c>
      <c r="B94" t="str">
        <f>IFERROR(INDEX('Mock Database'!$D$3:$D$152,MATCH($A94,'Mock Database'!$C$3:$C$152,0)),"")</f>
        <v/>
      </c>
      <c r="C94" s="88" t="str">
        <f>IFERROR(INDEX('Mock Database'!$I$3:$I$152,MATCH($A94,'Mock Database'!$C$3:$C$152,0)),"")</f>
        <v/>
      </c>
      <c r="D94" s="89" t="str">
        <f ca="1">IF(ISNA(MATCH($A94,'Mock Database'!$C$3:$C$152,0)),"",IF(ISBLANK(OFFSET('Mock Database'!$M$2,MATCH($A94,'Mock Database'!$C$3:$C$152,0),0)),"",INDEX('Mock Database'!$M$3:$M$152,MATCH($A94,'Mock Database'!$C$3:$C$152,0))))</f>
        <v/>
      </c>
      <c r="E94" s="22" t="str">
        <f ca="1">IF(ISNA(MATCH($A94,'Mock Database'!$C$3:$C$152,0)),"",IF(ISBLANK(OFFSET('Mock Database'!$N$2,MATCH($A94,'Mock Database'!$C$3:$C$152,0),0)),"",INDEX('Mock Database'!$N$3:$N$152,MATCH($A94,'Mock Database'!$C$3:$C$152,0))))</f>
        <v/>
      </c>
      <c r="F94" s="89" t="str">
        <f ca="1">IF(ISNA(MATCH($A94,'Mock Database'!$C$3:$C$152,0)),"",IF(ISBLANK(OFFSET('Mock Database'!$S$2,MATCH($A94,'Mock Database'!$C$3:$C$152,0),0)),"",INDEX('Mock Database'!$S$3:$S$152,MATCH($A94,'Mock Database'!$C$3:$C$152,0))))</f>
        <v/>
      </c>
      <c r="G94" s="22" t="str">
        <f ca="1">IF(ISNA(MATCH($A94,'Mock Database'!$C$3:$C$152,0)),"",IF(ISBLANK(OFFSET('Mock Database'!$T$2,MATCH($A94,'Mock Database'!$C$3:$C$152,0),0)),"",INDEX('Mock Database'!$T$3:$T$152,MATCH($A94,'Mock Database'!$C$3:$C$152,0))))</f>
        <v/>
      </c>
      <c r="H94" s="89" t="str">
        <f ca="1">IF(ISNA(MATCH($A94,'Mock Database'!$C$3:$C$152,0)),"",IF(ISBLANK(OFFSET('Mock Database'!$Y$2,MATCH($A94,'Mock Database'!$C$3:$C$152,0),0)),"",INDEX('Mock Database'!$Y$3:$Y$152,MATCH($A94,'Mock Database'!$C$3:$C$152,0))))</f>
        <v/>
      </c>
      <c r="I94" s="22" t="str">
        <f ca="1">IF(ISNA(MATCH($A94,'Mock Database'!$C$3:$C$152,0)),"",IF(ISBLANK(OFFSET('Mock Database'!$Z$2,MATCH($A94,'Mock Database'!$C$3:$C$152,0),0)),"",INDEX('Mock Database'!$Z$3:$Z$152,MATCH($A94,'Mock Database'!$C$3:$C$152,0))))</f>
        <v/>
      </c>
      <c r="J94" s="89" t="str">
        <f ca="1">IF(ISNA(MATCH($A94,'Mock Database'!$C$3:$C$152,0)),"",IF(ISBLANK(OFFSET('Mock Database'!$AE$2,MATCH($A94,'Mock Database'!$C$3:$C$152,0),0)),"",INDEX('Mock Database'!$AE$3:$AE$152,MATCH($A94,'Mock Database'!$C$3:$C$152,0))))</f>
        <v/>
      </c>
      <c r="K94" s="22" t="str">
        <f ca="1">IF(ISNA(MATCH($A94,'Mock Database'!$C$3:$C$152,0)),"",IF(ISBLANK(OFFSET('Mock Database'!$AF$2,MATCH($A94,'Mock Database'!$C$3:$C$152,0),0)),"",INDEX('Mock Database'!$AF$3:$AF$152,MATCH($A94,'Mock Database'!$C$3:$C$152,0))))</f>
        <v/>
      </c>
      <c r="N94" t="e">
        <f t="shared" si="11"/>
        <v>#N/A</v>
      </c>
      <c r="O94" s="89" t="e">
        <f t="shared" ca="1" si="12"/>
        <v>#N/A</v>
      </c>
      <c r="P94" s="22" t="e">
        <f t="shared" ca="1" si="13"/>
        <v>#N/A</v>
      </c>
      <c r="Q94" s="89" t="e">
        <f t="shared" ca="1" si="14"/>
        <v>#N/A</v>
      </c>
      <c r="R94" s="22" t="e">
        <f t="shared" ca="1" si="15"/>
        <v>#N/A</v>
      </c>
      <c r="S94" s="89" t="e">
        <f t="shared" ca="1" si="16"/>
        <v>#N/A</v>
      </c>
      <c r="T94" s="22" t="e">
        <f t="shared" ca="1" si="17"/>
        <v>#N/A</v>
      </c>
      <c r="U94" s="89" t="e">
        <f t="shared" ca="1" si="18"/>
        <v>#N/A</v>
      </c>
      <c r="V94" s="22" t="e">
        <f t="shared" ca="1" si="19"/>
        <v>#N/A</v>
      </c>
      <c r="AM94" t="e">
        <f t="shared" si="20"/>
        <v>#N/A</v>
      </c>
      <c r="AN94" t="e">
        <f t="shared" ca="1" si="21"/>
        <v>#N/A</v>
      </c>
    </row>
    <row r="95" spans="1:40" ht="15" customHeight="1" x14ac:dyDescent="0.3">
      <c r="A95" s="87">
        <v>94</v>
      </c>
      <c r="B95" t="str">
        <f>IFERROR(INDEX('Mock Database'!$D$3:$D$152,MATCH($A95,'Mock Database'!$C$3:$C$152,0)),"")</f>
        <v/>
      </c>
      <c r="C95" s="88" t="str">
        <f>IFERROR(INDEX('Mock Database'!$I$3:$I$152,MATCH($A95,'Mock Database'!$C$3:$C$152,0)),"")</f>
        <v/>
      </c>
      <c r="D95" s="89" t="str">
        <f ca="1">IF(ISNA(MATCH($A95,'Mock Database'!$C$3:$C$152,0)),"",IF(ISBLANK(OFFSET('Mock Database'!$M$2,MATCH($A95,'Mock Database'!$C$3:$C$152,0),0)),"",INDEX('Mock Database'!$M$3:$M$152,MATCH($A95,'Mock Database'!$C$3:$C$152,0))))</f>
        <v/>
      </c>
      <c r="E95" s="22" t="str">
        <f ca="1">IF(ISNA(MATCH($A95,'Mock Database'!$C$3:$C$152,0)),"",IF(ISBLANK(OFFSET('Mock Database'!$N$2,MATCH($A95,'Mock Database'!$C$3:$C$152,0),0)),"",INDEX('Mock Database'!$N$3:$N$152,MATCH($A95,'Mock Database'!$C$3:$C$152,0))))</f>
        <v/>
      </c>
      <c r="F95" s="89" t="str">
        <f ca="1">IF(ISNA(MATCH($A95,'Mock Database'!$C$3:$C$152,0)),"",IF(ISBLANK(OFFSET('Mock Database'!$S$2,MATCH($A95,'Mock Database'!$C$3:$C$152,0),0)),"",INDEX('Mock Database'!$S$3:$S$152,MATCH($A95,'Mock Database'!$C$3:$C$152,0))))</f>
        <v/>
      </c>
      <c r="G95" s="22" t="str">
        <f ca="1">IF(ISNA(MATCH($A95,'Mock Database'!$C$3:$C$152,0)),"",IF(ISBLANK(OFFSET('Mock Database'!$T$2,MATCH($A95,'Mock Database'!$C$3:$C$152,0),0)),"",INDEX('Mock Database'!$T$3:$T$152,MATCH($A95,'Mock Database'!$C$3:$C$152,0))))</f>
        <v/>
      </c>
      <c r="H95" s="89" t="str">
        <f ca="1">IF(ISNA(MATCH($A95,'Mock Database'!$C$3:$C$152,0)),"",IF(ISBLANK(OFFSET('Mock Database'!$Y$2,MATCH($A95,'Mock Database'!$C$3:$C$152,0),0)),"",INDEX('Mock Database'!$Y$3:$Y$152,MATCH($A95,'Mock Database'!$C$3:$C$152,0))))</f>
        <v/>
      </c>
      <c r="I95" s="22" t="str">
        <f ca="1">IF(ISNA(MATCH($A95,'Mock Database'!$C$3:$C$152,0)),"",IF(ISBLANK(OFFSET('Mock Database'!$Z$2,MATCH($A95,'Mock Database'!$C$3:$C$152,0),0)),"",INDEX('Mock Database'!$Z$3:$Z$152,MATCH($A95,'Mock Database'!$C$3:$C$152,0))))</f>
        <v/>
      </c>
      <c r="J95" s="89" t="str">
        <f ca="1">IF(ISNA(MATCH($A95,'Mock Database'!$C$3:$C$152,0)),"",IF(ISBLANK(OFFSET('Mock Database'!$AE$2,MATCH($A95,'Mock Database'!$C$3:$C$152,0),0)),"",INDEX('Mock Database'!$AE$3:$AE$152,MATCH($A95,'Mock Database'!$C$3:$C$152,0))))</f>
        <v/>
      </c>
      <c r="K95" s="22" t="str">
        <f ca="1">IF(ISNA(MATCH($A95,'Mock Database'!$C$3:$C$152,0)),"",IF(ISBLANK(OFFSET('Mock Database'!$AF$2,MATCH($A95,'Mock Database'!$C$3:$C$152,0),0)),"",INDEX('Mock Database'!$AF$3:$AF$152,MATCH($A95,'Mock Database'!$C$3:$C$152,0))))</f>
        <v/>
      </c>
      <c r="N95" t="e">
        <f t="shared" si="11"/>
        <v>#N/A</v>
      </c>
      <c r="O95" s="89" t="e">
        <f t="shared" ca="1" si="12"/>
        <v>#N/A</v>
      </c>
      <c r="P95" s="22" t="e">
        <f t="shared" ca="1" si="13"/>
        <v>#N/A</v>
      </c>
      <c r="Q95" s="89" t="e">
        <f t="shared" ca="1" si="14"/>
        <v>#N/A</v>
      </c>
      <c r="R95" s="22" t="e">
        <f t="shared" ca="1" si="15"/>
        <v>#N/A</v>
      </c>
      <c r="S95" s="89" t="e">
        <f t="shared" ca="1" si="16"/>
        <v>#N/A</v>
      </c>
      <c r="T95" s="22" t="e">
        <f t="shared" ca="1" si="17"/>
        <v>#N/A</v>
      </c>
      <c r="U95" s="89" t="e">
        <f t="shared" ca="1" si="18"/>
        <v>#N/A</v>
      </c>
      <c r="V95" s="22" t="e">
        <f t="shared" ca="1" si="19"/>
        <v>#N/A</v>
      </c>
      <c r="AM95" t="e">
        <f t="shared" si="20"/>
        <v>#N/A</v>
      </c>
      <c r="AN95" t="e">
        <f t="shared" ca="1" si="21"/>
        <v>#N/A</v>
      </c>
    </row>
    <row r="96" spans="1:40" ht="15" customHeight="1" x14ac:dyDescent="0.3">
      <c r="A96" s="87">
        <v>95</v>
      </c>
      <c r="B96" t="str">
        <f>IFERROR(INDEX('Mock Database'!$D$3:$D$152,MATCH($A96,'Mock Database'!$C$3:$C$152,0)),"")</f>
        <v/>
      </c>
      <c r="C96" s="88" t="str">
        <f>IFERROR(INDEX('Mock Database'!$I$3:$I$152,MATCH($A96,'Mock Database'!$C$3:$C$152,0)),"")</f>
        <v/>
      </c>
      <c r="D96" s="89" t="str">
        <f ca="1">IF(ISNA(MATCH($A96,'Mock Database'!$C$3:$C$152,0)),"",IF(ISBLANK(OFFSET('Mock Database'!$M$2,MATCH($A96,'Mock Database'!$C$3:$C$152,0),0)),"",INDEX('Mock Database'!$M$3:$M$152,MATCH($A96,'Mock Database'!$C$3:$C$152,0))))</f>
        <v/>
      </c>
      <c r="E96" s="22" t="str">
        <f ca="1">IF(ISNA(MATCH($A96,'Mock Database'!$C$3:$C$152,0)),"",IF(ISBLANK(OFFSET('Mock Database'!$N$2,MATCH($A96,'Mock Database'!$C$3:$C$152,0),0)),"",INDEX('Mock Database'!$N$3:$N$152,MATCH($A96,'Mock Database'!$C$3:$C$152,0))))</f>
        <v/>
      </c>
      <c r="F96" s="89" t="str">
        <f ca="1">IF(ISNA(MATCH($A96,'Mock Database'!$C$3:$C$152,0)),"",IF(ISBLANK(OFFSET('Mock Database'!$S$2,MATCH($A96,'Mock Database'!$C$3:$C$152,0),0)),"",INDEX('Mock Database'!$S$3:$S$152,MATCH($A96,'Mock Database'!$C$3:$C$152,0))))</f>
        <v/>
      </c>
      <c r="G96" s="22" t="str">
        <f ca="1">IF(ISNA(MATCH($A96,'Mock Database'!$C$3:$C$152,0)),"",IF(ISBLANK(OFFSET('Mock Database'!$T$2,MATCH($A96,'Mock Database'!$C$3:$C$152,0),0)),"",INDEX('Mock Database'!$T$3:$T$152,MATCH($A96,'Mock Database'!$C$3:$C$152,0))))</f>
        <v/>
      </c>
      <c r="H96" s="89" t="str">
        <f ca="1">IF(ISNA(MATCH($A96,'Mock Database'!$C$3:$C$152,0)),"",IF(ISBLANK(OFFSET('Mock Database'!$Y$2,MATCH($A96,'Mock Database'!$C$3:$C$152,0),0)),"",INDEX('Mock Database'!$Y$3:$Y$152,MATCH($A96,'Mock Database'!$C$3:$C$152,0))))</f>
        <v/>
      </c>
      <c r="I96" s="22" t="str">
        <f ca="1">IF(ISNA(MATCH($A96,'Mock Database'!$C$3:$C$152,0)),"",IF(ISBLANK(OFFSET('Mock Database'!$Z$2,MATCH($A96,'Mock Database'!$C$3:$C$152,0),0)),"",INDEX('Mock Database'!$Z$3:$Z$152,MATCH($A96,'Mock Database'!$C$3:$C$152,0))))</f>
        <v/>
      </c>
      <c r="J96" s="89" t="str">
        <f ca="1">IF(ISNA(MATCH($A96,'Mock Database'!$C$3:$C$152,0)),"",IF(ISBLANK(OFFSET('Mock Database'!$AE$2,MATCH($A96,'Mock Database'!$C$3:$C$152,0),0)),"",INDEX('Mock Database'!$AE$3:$AE$152,MATCH($A96,'Mock Database'!$C$3:$C$152,0))))</f>
        <v/>
      </c>
      <c r="K96" s="22" t="str">
        <f ca="1">IF(ISNA(MATCH($A96,'Mock Database'!$C$3:$C$152,0)),"",IF(ISBLANK(OFFSET('Mock Database'!$AF$2,MATCH($A96,'Mock Database'!$C$3:$C$152,0),0)),"",INDEX('Mock Database'!$AF$3:$AF$152,MATCH($A96,'Mock Database'!$C$3:$C$152,0))))</f>
        <v/>
      </c>
      <c r="N96" t="e">
        <f t="shared" si="11"/>
        <v>#N/A</v>
      </c>
      <c r="O96" s="89" t="e">
        <f t="shared" ca="1" si="12"/>
        <v>#N/A</v>
      </c>
      <c r="P96" s="22" t="e">
        <f t="shared" ca="1" si="13"/>
        <v>#N/A</v>
      </c>
      <c r="Q96" s="89" t="e">
        <f t="shared" ca="1" si="14"/>
        <v>#N/A</v>
      </c>
      <c r="R96" s="22" t="e">
        <f t="shared" ca="1" si="15"/>
        <v>#N/A</v>
      </c>
      <c r="S96" s="89" t="e">
        <f t="shared" ca="1" si="16"/>
        <v>#N/A</v>
      </c>
      <c r="T96" s="22" t="e">
        <f t="shared" ca="1" si="17"/>
        <v>#N/A</v>
      </c>
      <c r="U96" s="89" t="e">
        <f t="shared" ca="1" si="18"/>
        <v>#N/A</v>
      </c>
      <c r="V96" s="22" t="e">
        <f t="shared" ca="1" si="19"/>
        <v>#N/A</v>
      </c>
      <c r="AM96" t="e">
        <f t="shared" si="20"/>
        <v>#N/A</v>
      </c>
      <c r="AN96" t="e">
        <f t="shared" ca="1" si="21"/>
        <v>#N/A</v>
      </c>
    </row>
    <row r="97" spans="1:40" ht="15" customHeight="1" x14ac:dyDescent="0.3">
      <c r="A97" s="87">
        <v>96</v>
      </c>
      <c r="B97" t="str">
        <f>IFERROR(INDEX('Mock Database'!$D$3:$D$152,MATCH($A97,'Mock Database'!$C$3:$C$152,0)),"")</f>
        <v/>
      </c>
      <c r="C97" s="88" t="str">
        <f>IFERROR(INDEX('Mock Database'!$I$3:$I$152,MATCH($A97,'Mock Database'!$C$3:$C$152,0)),"")</f>
        <v/>
      </c>
      <c r="D97" s="89" t="str">
        <f ca="1">IF(ISNA(MATCH($A97,'Mock Database'!$C$3:$C$152,0)),"",IF(ISBLANK(OFFSET('Mock Database'!$M$2,MATCH($A97,'Mock Database'!$C$3:$C$152,0),0)),"",INDEX('Mock Database'!$M$3:$M$152,MATCH($A97,'Mock Database'!$C$3:$C$152,0))))</f>
        <v/>
      </c>
      <c r="E97" s="22" t="str">
        <f ca="1">IF(ISNA(MATCH($A97,'Mock Database'!$C$3:$C$152,0)),"",IF(ISBLANK(OFFSET('Mock Database'!$N$2,MATCH($A97,'Mock Database'!$C$3:$C$152,0),0)),"",INDEX('Mock Database'!$N$3:$N$152,MATCH($A97,'Mock Database'!$C$3:$C$152,0))))</f>
        <v/>
      </c>
      <c r="F97" s="89" t="str">
        <f ca="1">IF(ISNA(MATCH($A97,'Mock Database'!$C$3:$C$152,0)),"",IF(ISBLANK(OFFSET('Mock Database'!$S$2,MATCH($A97,'Mock Database'!$C$3:$C$152,0),0)),"",INDEX('Mock Database'!$S$3:$S$152,MATCH($A97,'Mock Database'!$C$3:$C$152,0))))</f>
        <v/>
      </c>
      <c r="G97" s="22" t="str">
        <f ca="1">IF(ISNA(MATCH($A97,'Mock Database'!$C$3:$C$152,0)),"",IF(ISBLANK(OFFSET('Mock Database'!$T$2,MATCH($A97,'Mock Database'!$C$3:$C$152,0),0)),"",INDEX('Mock Database'!$T$3:$T$152,MATCH($A97,'Mock Database'!$C$3:$C$152,0))))</f>
        <v/>
      </c>
      <c r="H97" s="89" t="str">
        <f ca="1">IF(ISNA(MATCH($A97,'Mock Database'!$C$3:$C$152,0)),"",IF(ISBLANK(OFFSET('Mock Database'!$Y$2,MATCH($A97,'Mock Database'!$C$3:$C$152,0),0)),"",INDEX('Mock Database'!$Y$3:$Y$152,MATCH($A97,'Mock Database'!$C$3:$C$152,0))))</f>
        <v/>
      </c>
      <c r="I97" s="22" t="str">
        <f ca="1">IF(ISNA(MATCH($A97,'Mock Database'!$C$3:$C$152,0)),"",IF(ISBLANK(OFFSET('Mock Database'!$Z$2,MATCH($A97,'Mock Database'!$C$3:$C$152,0),0)),"",INDEX('Mock Database'!$Z$3:$Z$152,MATCH($A97,'Mock Database'!$C$3:$C$152,0))))</f>
        <v/>
      </c>
      <c r="J97" s="89" t="str">
        <f ca="1">IF(ISNA(MATCH($A97,'Mock Database'!$C$3:$C$152,0)),"",IF(ISBLANK(OFFSET('Mock Database'!$AE$2,MATCH($A97,'Mock Database'!$C$3:$C$152,0),0)),"",INDEX('Mock Database'!$AE$3:$AE$152,MATCH($A97,'Mock Database'!$C$3:$C$152,0))))</f>
        <v/>
      </c>
      <c r="K97" s="22" t="str">
        <f ca="1">IF(ISNA(MATCH($A97,'Mock Database'!$C$3:$C$152,0)),"",IF(ISBLANK(OFFSET('Mock Database'!$AF$2,MATCH($A97,'Mock Database'!$C$3:$C$152,0),0)),"",INDEX('Mock Database'!$AF$3:$AF$152,MATCH($A97,'Mock Database'!$C$3:$C$152,0))))</f>
        <v/>
      </c>
      <c r="N97" t="e">
        <f t="shared" si="11"/>
        <v>#N/A</v>
      </c>
      <c r="O97" s="89" t="e">
        <f t="shared" ca="1" si="12"/>
        <v>#N/A</v>
      </c>
      <c r="P97" s="22" t="e">
        <f t="shared" ca="1" si="13"/>
        <v>#N/A</v>
      </c>
      <c r="Q97" s="89" t="e">
        <f t="shared" ca="1" si="14"/>
        <v>#N/A</v>
      </c>
      <c r="R97" s="22" t="e">
        <f t="shared" ca="1" si="15"/>
        <v>#N/A</v>
      </c>
      <c r="S97" s="89" t="e">
        <f t="shared" ca="1" si="16"/>
        <v>#N/A</v>
      </c>
      <c r="T97" s="22" t="e">
        <f t="shared" ca="1" si="17"/>
        <v>#N/A</v>
      </c>
      <c r="U97" s="89" t="e">
        <f t="shared" ca="1" si="18"/>
        <v>#N/A</v>
      </c>
      <c r="V97" s="22" t="e">
        <f t="shared" ca="1" si="19"/>
        <v>#N/A</v>
      </c>
      <c r="AM97" t="e">
        <f t="shared" si="20"/>
        <v>#N/A</v>
      </c>
      <c r="AN97" t="e">
        <f t="shared" ca="1" si="21"/>
        <v>#N/A</v>
      </c>
    </row>
    <row r="98" spans="1:40" ht="15" customHeight="1" x14ac:dyDescent="0.3">
      <c r="A98" s="87">
        <v>97</v>
      </c>
      <c r="B98" t="str">
        <f>IFERROR(INDEX('Mock Database'!$D$3:$D$152,MATCH($A98,'Mock Database'!$C$3:$C$152,0)),"")</f>
        <v/>
      </c>
      <c r="C98" s="88" t="str">
        <f>IFERROR(INDEX('Mock Database'!$I$3:$I$152,MATCH($A98,'Mock Database'!$C$3:$C$152,0)),"")</f>
        <v/>
      </c>
      <c r="D98" s="89" t="str">
        <f ca="1">IF(ISNA(MATCH($A98,'Mock Database'!$C$3:$C$152,0)),"",IF(ISBLANK(OFFSET('Mock Database'!$M$2,MATCH($A98,'Mock Database'!$C$3:$C$152,0),0)),"",INDEX('Mock Database'!$M$3:$M$152,MATCH($A98,'Mock Database'!$C$3:$C$152,0))))</f>
        <v/>
      </c>
      <c r="E98" s="22" t="str">
        <f ca="1">IF(ISNA(MATCH($A98,'Mock Database'!$C$3:$C$152,0)),"",IF(ISBLANK(OFFSET('Mock Database'!$N$2,MATCH($A98,'Mock Database'!$C$3:$C$152,0),0)),"",INDEX('Mock Database'!$N$3:$N$152,MATCH($A98,'Mock Database'!$C$3:$C$152,0))))</f>
        <v/>
      </c>
      <c r="F98" s="89" t="str">
        <f ca="1">IF(ISNA(MATCH($A98,'Mock Database'!$C$3:$C$152,0)),"",IF(ISBLANK(OFFSET('Mock Database'!$S$2,MATCH($A98,'Mock Database'!$C$3:$C$152,0),0)),"",INDEX('Mock Database'!$S$3:$S$152,MATCH($A98,'Mock Database'!$C$3:$C$152,0))))</f>
        <v/>
      </c>
      <c r="G98" s="22" t="str">
        <f ca="1">IF(ISNA(MATCH($A98,'Mock Database'!$C$3:$C$152,0)),"",IF(ISBLANK(OFFSET('Mock Database'!$T$2,MATCH($A98,'Mock Database'!$C$3:$C$152,0),0)),"",INDEX('Mock Database'!$T$3:$T$152,MATCH($A98,'Mock Database'!$C$3:$C$152,0))))</f>
        <v/>
      </c>
      <c r="H98" s="89" t="str">
        <f ca="1">IF(ISNA(MATCH($A98,'Mock Database'!$C$3:$C$152,0)),"",IF(ISBLANK(OFFSET('Mock Database'!$Y$2,MATCH($A98,'Mock Database'!$C$3:$C$152,0),0)),"",INDEX('Mock Database'!$Y$3:$Y$152,MATCH($A98,'Mock Database'!$C$3:$C$152,0))))</f>
        <v/>
      </c>
      <c r="I98" s="22" t="str">
        <f ca="1">IF(ISNA(MATCH($A98,'Mock Database'!$C$3:$C$152,0)),"",IF(ISBLANK(OFFSET('Mock Database'!$Z$2,MATCH($A98,'Mock Database'!$C$3:$C$152,0),0)),"",INDEX('Mock Database'!$Z$3:$Z$152,MATCH($A98,'Mock Database'!$C$3:$C$152,0))))</f>
        <v/>
      </c>
      <c r="J98" s="89" t="str">
        <f ca="1">IF(ISNA(MATCH($A98,'Mock Database'!$C$3:$C$152,0)),"",IF(ISBLANK(OFFSET('Mock Database'!$AE$2,MATCH($A98,'Mock Database'!$C$3:$C$152,0),0)),"",INDEX('Mock Database'!$AE$3:$AE$152,MATCH($A98,'Mock Database'!$C$3:$C$152,0))))</f>
        <v/>
      </c>
      <c r="K98" s="22" t="str">
        <f ca="1">IF(ISNA(MATCH($A98,'Mock Database'!$C$3:$C$152,0)),"",IF(ISBLANK(OFFSET('Mock Database'!$AF$2,MATCH($A98,'Mock Database'!$C$3:$C$152,0),0)),"",INDEX('Mock Database'!$AF$3:$AF$152,MATCH($A98,'Mock Database'!$C$3:$C$152,0))))</f>
        <v/>
      </c>
      <c r="N98" t="e">
        <f t="shared" si="11"/>
        <v>#N/A</v>
      </c>
      <c r="O98" s="89" t="e">
        <f t="shared" ca="1" si="12"/>
        <v>#N/A</v>
      </c>
      <c r="P98" s="22" t="e">
        <f t="shared" ca="1" si="13"/>
        <v>#N/A</v>
      </c>
      <c r="Q98" s="89" t="e">
        <f t="shared" ca="1" si="14"/>
        <v>#N/A</v>
      </c>
      <c r="R98" s="22" t="e">
        <f t="shared" ca="1" si="15"/>
        <v>#N/A</v>
      </c>
      <c r="S98" s="89" t="e">
        <f t="shared" ca="1" si="16"/>
        <v>#N/A</v>
      </c>
      <c r="T98" s="22" t="e">
        <f t="shared" ca="1" si="17"/>
        <v>#N/A</v>
      </c>
      <c r="U98" s="89" t="e">
        <f t="shared" ca="1" si="18"/>
        <v>#N/A</v>
      </c>
      <c r="V98" s="22" t="e">
        <f t="shared" ca="1" si="19"/>
        <v>#N/A</v>
      </c>
      <c r="AM98" t="e">
        <f t="shared" si="20"/>
        <v>#N/A</v>
      </c>
      <c r="AN98" t="e">
        <f t="shared" ca="1" si="21"/>
        <v>#N/A</v>
      </c>
    </row>
    <row r="99" spans="1:40" ht="15" customHeight="1" x14ac:dyDescent="0.3">
      <c r="A99" s="87">
        <v>98</v>
      </c>
      <c r="B99" t="str">
        <f>IFERROR(INDEX('Mock Database'!$D$3:$D$152,MATCH($A99,'Mock Database'!$C$3:$C$152,0)),"")</f>
        <v/>
      </c>
      <c r="C99" s="88" t="str">
        <f>IFERROR(INDEX('Mock Database'!$I$3:$I$152,MATCH($A99,'Mock Database'!$C$3:$C$152,0)),"")</f>
        <v/>
      </c>
      <c r="D99" s="89" t="str">
        <f ca="1">IF(ISNA(MATCH($A99,'Mock Database'!$C$3:$C$152,0)),"",IF(ISBLANK(OFFSET('Mock Database'!$M$2,MATCH($A99,'Mock Database'!$C$3:$C$152,0),0)),"",INDEX('Mock Database'!$M$3:$M$152,MATCH($A99,'Mock Database'!$C$3:$C$152,0))))</f>
        <v/>
      </c>
      <c r="E99" s="22" t="str">
        <f ca="1">IF(ISNA(MATCH($A99,'Mock Database'!$C$3:$C$152,0)),"",IF(ISBLANK(OFFSET('Mock Database'!$N$2,MATCH($A99,'Mock Database'!$C$3:$C$152,0),0)),"",INDEX('Mock Database'!$N$3:$N$152,MATCH($A99,'Mock Database'!$C$3:$C$152,0))))</f>
        <v/>
      </c>
      <c r="F99" s="89" t="str">
        <f ca="1">IF(ISNA(MATCH($A99,'Mock Database'!$C$3:$C$152,0)),"",IF(ISBLANK(OFFSET('Mock Database'!$S$2,MATCH($A99,'Mock Database'!$C$3:$C$152,0),0)),"",INDEX('Mock Database'!$S$3:$S$152,MATCH($A99,'Mock Database'!$C$3:$C$152,0))))</f>
        <v/>
      </c>
      <c r="G99" s="22" t="str">
        <f ca="1">IF(ISNA(MATCH($A99,'Mock Database'!$C$3:$C$152,0)),"",IF(ISBLANK(OFFSET('Mock Database'!$T$2,MATCH($A99,'Mock Database'!$C$3:$C$152,0),0)),"",INDEX('Mock Database'!$T$3:$T$152,MATCH($A99,'Mock Database'!$C$3:$C$152,0))))</f>
        <v/>
      </c>
      <c r="H99" s="89" t="str">
        <f ca="1">IF(ISNA(MATCH($A99,'Mock Database'!$C$3:$C$152,0)),"",IF(ISBLANK(OFFSET('Mock Database'!$Y$2,MATCH($A99,'Mock Database'!$C$3:$C$152,0),0)),"",INDEX('Mock Database'!$Y$3:$Y$152,MATCH($A99,'Mock Database'!$C$3:$C$152,0))))</f>
        <v/>
      </c>
      <c r="I99" s="22" t="str">
        <f ca="1">IF(ISNA(MATCH($A99,'Mock Database'!$C$3:$C$152,0)),"",IF(ISBLANK(OFFSET('Mock Database'!$Z$2,MATCH($A99,'Mock Database'!$C$3:$C$152,0),0)),"",INDEX('Mock Database'!$Z$3:$Z$152,MATCH($A99,'Mock Database'!$C$3:$C$152,0))))</f>
        <v/>
      </c>
      <c r="J99" s="89" t="str">
        <f ca="1">IF(ISNA(MATCH($A99,'Mock Database'!$C$3:$C$152,0)),"",IF(ISBLANK(OFFSET('Mock Database'!$AE$2,MATCH($A99,'Mock Database'!$C$3:$C$152,0),0)),"",INDEX('Mock Database'!$AE$3:$AE$152,MATCH($A99,'Mock Database'!$C$3:$C$152,0))))</f>
        <v/>
      </c>
      <c r="K99" s="22" t="str">
        <f ca="1">IF(ISNA(MATCH($A99,'Mock Database'!$C$3:$C$152,0)),"",IF(ISBLANK(OFFSET('Mock Database'!$AF$2,MATCH($A99,'Mock Database'!$C$3:$C$152,0),0)),"",INDEX('Mock Database'!$AF$3:$AF$152,MATCH($A99,'Mock Database'!$C$3:$C$152,0))))</f>
        <v/>
      </c>
      <c r="N99" t="e">
        <f t="shared" si="11"/>
        <v>#N/A</v>
      </c>
      <c r="O99" s="89" t="e">
        <f t="shared" ca="1" si="12"/>
        <v>#N/A</v>
      </c>
      <c r="P99" s="22" t="e">
        <f t="shared" ca="1" si="13"/>
        <v>#N/A</v>
      </c>
      <c r="Q99" s="89" t="e">
        <f t="shared" ca="1" si="14"/>
        <v>#N/A</v>
      </c>
      <c r="R99" s="22" t="e">
        <f t="shared" ca="1" si="15"/>
        <v>#N/A</v>
      </c>
      <c r="S99" s="89" t="e">
        <f t="shared" ca="1" si="16"/>
        <v>#N/A</v>
      </c>
      <c r="T99" s="22" t="e">
        <f t="shared" ca="1" si="17"/>
        <v>#N/A</v>
      </c>
      <c r="U99" s="89" t="e">
        <f t="shared" ca="1" si="18"/>
        <v>#N/A</v>
      </c>
      <c r="V99" s="22" t="e">
        <f t="shared" ca="1" si="19"/>
        <v>#N/A</v>
      </c>
      <c r="AM99" t="e">
        <f t="shared" si="20"/>
        <v>#N/A</v>
      </c>
      <c r="AN99" t="e">
        <f t="shared" ca="1" si="21"/>
        <v>#N/A</v>
      </c>
    </row>
    <row r="100" spans="1:40" ht="15" customHeight="1" x14ac:dyDescent="0.3">
      <c r="A100" s="87">
        <v>99</v>
      </c>
      <c r="B100" t="str">
        <f>IFERROR(INDEX('Mock Database'!$D$3:$D$152,MATCH($A100,'Mock Database'!$C$3:$C$152,0)),"")</f>
        <v/>
      </c>
      <c r="C100" s="88" t="str">
        <f>IFERROR(INDEX('Mock Database'!$I$3:$I$152,MATCH($A100,'Mock Database'!$C$3:$C$152,0)),"")</f>
        <v/>
      </c>
      <c r="D100" s="89" t="str">
        <f ca="1">IF(ISNA(MATCH($A100,'Mock Database'!$C$3:$C$152,0)),"",IF(ISBLANK(OFFSET('Mock Database'!$M$2,MATCH($A100,'Mock Database'!$C$3:$C$152,0),0)),"",INDEX('Mock Database'!$M$3:$M$152,MATCH($A100,'Mock Database'!$C$3:$C$152,0))))</f>
        <v/>
      </c>
      <c r="E100" s="22" t="str">
        <f ca="1">IF(ISNA(MATCH($A100,'Mock Database'!$C$3:$C$152,0)),"",IF(ISBLANK(OFFSET('Mock Database'!$N$2,MATCH($A100,'Mock Database'!$C$3:$C$152,0),0)),"",INDEX('Mock Database'!$N$3:$N$152,MATCH($A100,'Mock Database'!$C$3:$C$152,0))))</f>
        <v/>
      </c>
      <c r="F100" s="89" t="str">
        <f ca="1">IF(ISNA(MATCH($A100,'Mock Database'!$C$3:$C$152,0)),"",IF(ISBLANK(OFFSET('Mock Database'!$S$2,MATCH($A100,'Mock Database'!$C$3:$C$152,0),0)),"",INDEX('Mock Database'!$S$3:$S$152,MATCH($A100,'Mock Database'!$C$3:$C$152,0))))</f>
        <v/>
      </c>
      <c r="G100" s="22" t="str">
        <f ca="1">IF(ISNA(MATCH($A100,'Mock Database'!$C$3:$C$152,0)),"",IF(ISBLANK(OFFSET('Mock Database'!$T$2,MATCH($A100,'Mock Database'!$C$3:$C$152,0),0)),"",INDEX('Mock Database'!$T$3:$T$152,MATCH($A100,'Mock Database'!$C$3:$C$152,0))))</f>
        <v/>
      </c>
      <c r="H100" s="89" t="str">
        <f ca="1">IF(ISNA(MATCH($A100,'Mock Database'!$C$3:$C$152,0)),"",IF(ISBLANK(OFFSET('Mock Database'!$Y$2,MATCH($A100,'Mock Database'!$C$3:$C$152,0),0)),"",INDEX('Mock Database'!$Y$3:$Y$152,MATCH($A100,'Mock Database'!$C$3:$C$152,0))))</f>
        <v/>
      </c>
      <c r="I100" s="22" t="str">
        <f ca="1">IF(ISNA(MATCH($A100,'Mock Database'!$C$3:$C$152,0)),"",IF(ISBLANK(OFFSET('Mock Database'!$Z$2,MATCH($A100,'Mock Database'!$C$3:$C$152,0),0)),"",INDEX('Mock Database'!$Z$3:$Z$152,MATCH($A100,'Mock Database'!$C$3:$C$152,0))))</f>
        <v/>
      </c>
      <c r="J100" s="89" t="str">
        <f ca="1">IF(ISNA(MATCH($A100,'Mock Database'!$C$3:$C$152,0)),"",IF(ISBLANK(OFFSET('Mock Database'!$AE$2,MATCH($A100,'Mock Database'!$C$3:$C$152,0),0)),"",INDEX('Mock Database'!$AE$3:$AE$152,MATCH($A100,'Mock Database'!$C$3:$C$152,0))))</f>
        <v/>
      </c>
      <c r="K100" s="22" t="str">
        <f ca="1">IF(ISNA(MATCH($A100,'Mock Database'!$C$3:$C$152,0)),"",IF(ISBLANK(OFFSET('Mock Database'!$AF$2,MATCH($A100,'Mock Database'!$C$3:$C$152,0),0)),"",INDEX('Mock Database'!$AF$3:$AF$152,MATCH($A100,'Mock Database'!$C$3:$C$152,0))))</f>
        <v/>
      </c>
      <c r="N100" t="e">
        <f t="shared" si="11"/>
        <v>#N/A</v>
      </c>
      <c r="O100" s="89" t="e">
        <f t="shared" ca="1" si="12"/>
        <v>#N/A</v>
      </c>
      <c r="P100" s="22" t="e">
        <f t="shared" ca="1" si="13"/>
        <v>#N/A</v>
      </c>
      <c r="Q100" s="89" t="e">
        <f t="shared" ca="1" si="14"/>
        <v>#N/A</v>
      </c>
      <c r="R100" s="22" t="e">
        <f t="shared" ca="1" si="15"/>
        <v>#N/A</v>
      </c>
      <c r="S100" s="89" t="e">
        <f t="shared" ca="1" si="16"/>
        <v>#N/A</v>
      </c>
      <c r="T100" s="22" t="e">
        <f t="shared" ca="1" si="17"/>
        <v>#N/A</v>
      </c>
      <c r="U100" s="89" t="e">
        <f t="shared" ca="1" si="18"/>
        <v>#N/A</v>
      </c>
      <c r="V100" s="22" t="e">
        <f t="shared" ca="1" si="19"/>
        <v>#N/A</v>
      </c>
      <c r="AM100" t="e">
        <f t="shared" si="20"/>
        <v>#N/A</v>
      </c>
      <c r="AN100" t="e">
        <f t="shared" ca="1" si="21"/>
        <v>#N/A</v>
      </c>
    </row>
    <row r="101" spans="1:40" ht="15" customHeight="1" x14ac:dyDescent="0.3">
      <c r="A101" s="87">
        <v>100</v>
      </c>
      <c r="B101" t="str">
        <f>IFERROR(INDEX('Mock Database'!$D$3:$D$152,MATCH($A101,'Mock Database'!$C$3:$C$152,0)),"")</f>
        <v/>
      </c>
      <c r="C101" s="88" t="str">
        <f>IFERROR(INDEX('Mock Database'!$I$3:$I$152,MATCH($A101,'Mock Database'!$C$3:$C$152,0)),"")</f>
        <v/>
      </c>
      <c r="D101" s="89" t="str">
        <f ca="1">IF(ISNA(MATCH($A101,'Mock Database'!$C$3:$C$152,0)),"",IF(ISBLANK(OFFSET('Mock Database'!$M$2,MATCH($A101,'Mock Database'!$C$3:$C$152,0),0)),"",INDEX('Mock Database'!$M$3:$M$152,MATCH($A101,'Mock Database'!$C$3:$C$152,0))))</f>
        <v/>
      </c>
      <c r="E101" s="22" t="str">
        <f ca="1">IF(ISNA(MATCH($A101,'Mock Database'!$C$3:$C$152,0)),"",IF(ISBLANK(OFFSET('Mock Database'!$N$2,MATCH($A101,'Mock Database'!$C$3:$C$152,0),0)),"",INDEX('Mock Database'!$N$3:$N$152,MATCH($A101,'Mock Database'!$C$3:$C$152,0))))</f>
        <v/>
      </c>
      <c r="F101" s="89" t="str">
        <f ca="1">IF(ISNA(MATCH($A101,'Mock Database'!$C$3:$C$152,0)),"",IF(ISBLANK(OFFSET('Mock Database'!$S$2,MATCH($A101,'Mock Database'!$C$3:$C$152,0),0)),"",INDEX('Mock Database'!$S$3:$S$152,MATCH($A101,'Mock Database'!$C$3:$C$152,0))))</f>
        <v/>
      </c>
      <c r="G101" s="22" t="str">
        <f ca="1">IF(ISNA(MATCH($A101,'Mock Database'!$C$3:$C$152,0)),"",IF(ISBLANK(OFFSET('Mock Database'!$T$2,MATCH($A101,'Mock Database'!$C$3:$C$152,0),0)),"",INDEX('Mock Database'!$T$3:$T$152,MATCH($A101,'Mock Database'!$C$3:$C$152,0))))</f>
        <v/>
      </c>
      <c r="H101" s="89" t="str">
        <f ca="1">IF(ISNA(MATCH($A101,'Mock Database'!$C$3:$C$152,0)),"",IF(ISBLANK(OFFSET('Mock Database'!$Y$2,MATCH($A101,'Mock Database'!$C$3:$C$152,0),0)),"",INDEX('Mock Database'!$Y$3:$Y$152,MATCH($A101,'Mock Database'!$C$3:$C$152,0))))</f>
        <v/>
      </c>
      <c r="I101" s="22" t="str">
        <f ca="1">IF(ISNA(MATCH($A101,'Mock Database'!$C$3:$C$152,0)),"",IF(ISBLANK(OFFSET('Mock Database'!$Z$2,MATCH($A101,'Mock Database'!$C$3:$C$152,0),0)),"",INDEX('Mock Database'!$Z$3:$Z$152,MATCH($A101,'Mock Database'!$C$3:$C$152,0))))</f>
        <v/>
      </c>
      <c r="J101" s="89" t="str">
        <f ca="1">IF(ISNA(MATCH($A101,'Mock Database'!$C$3:$C$152,0)),"",IF(ISBLANK(OFFSET('Mock Database'!$AE$2,MATCH($A101,'Mock Database'!$C$3:$C$152,0),0)),"",INDEX('Mock Database'!$AE$3:$AE$152,MATCH($A101,'Mock Database'!$C$3:$C$152,0))))</f>
        <v/>
      </c>
      <c r="K101" s="22" t="str">
        <f ca="1">IF(ISNA(MATCH($A101,'Mock Database'!$C$3:$C$152,0)),"",IF(ISBLANK(OFFSET('Mock Database'!$AF$2,MATCH($A101,'Mock Database'!$C$3:$C$152,0),0)),"",INDEX('Mock Database'!$AF$3:$AF$152,MATCH($A101,'Mock Database'!$C$3:$C$152,0))))</f>
        <v/>
      </c>
      <c r="N101" t="e">
        <f t="shared" si="11"/>
        <v>#N/A</v>
      </c>
      <c r="O101" s="89" t="e">
        <f t="shared" ca="1" si="12"/>
        <v>#N/A</v>
      </c>
      <c r="P101" s="22" t="e">
        <f t="shared" ca="1" si="13"/>
        <v>#N/A</v>
      </c>
      <c r="Q101" s="89" t="e">
        <f t="shared" ca="1" si="14"/>
        <v>#N/A</v>
      </c>
      <c r="R101" s="22" t="e">
        <f t="shared" ca="1" si="15"/>
        <v>#N/A</v>
      </c>
      <c r="S101" s="89" t="e">
        <f t="shared" ca="1" si="16"/>
        <v>#N/A</v>
      </c>
      <c r="T101" s="22" t="e">
        <f t="shared" ca="1" si="17"/>
        <v>#N/A</v>
      </c>
      <c r="U101" s="89" t="e">
        <f t="shared" ca="1" si="18"/>
        <v>#N/A</v>
      </c>
      <c r="V101" s="22" t="e">
        <f t="shared" ca="1" si="19"/>
        <v>#N/A</v>
      </c>
      <c r="AM101" t="e">
        <f t="shared" si="20"/>
        <v>#N/A</v>
      </c>
      <c r="AN101" t="e">
        <f t="shared" ca="1" si="21"/>
        <v>#N/A</v>
      </c>
    </row>
    <row r="102" spans="1:40" ht="15" customHeight="1" x14ac:dyDescent="0.3">
      <c r="A102" s="87">
        <v>101</v>
      </c>
      <c r="B102" t="str">
        <f>IFERROR(INDEX('Mock Database'!$D$3:$D$152,MATCH($A102,'Mock Database'!$C$3:$C$152,0)),"")</f>
        <v/>
      </c>
      <c r="C102" s="88" t="str">
        <f>IFERROR(INDEX('Mock Database'!$I$3:$I$152,MATCH($A102,'Mock Database'!$C$3:$C$152,0)),"")</f>
        <v/>
      </c>
      <c r="D102" s="89" t="str">
        <f ca="1">IF(ISNA(MATCH($A102,'Mock Database'!$C$3:$C$152,0)),"",IF(ISBLANK(OFFSET('Mock Database'!$M$2,MATCH($A102,'Mock Database'!$C$3:$C$152,0),0)),"",INDEX('Mock Database'!$M$3:$M$152,MATCH($A102,'Mock Database'!$C$3:$C$152,0))))</f>
        <v/>
      </c>
      <c r="E102" s="22" t="str">
        <f ca="1">IF(ISNA(MATCH($A102,'Mock Database'!$C$3:$C$152,0)),"",IF(ISBLANK(OFFSET('Mock Database'!$N$2,MATCH($A102,'Mock Database'!$C$3:$C$152,0),0)),"",INDEX('Mock Database'!$N$3:$N$152,MATCH($A102,'Mock Database'!$C$3:$C$152,0))))</f>
        <v/>
      </c>
      <c r="F102" s="89" t="str">
        <f ca="1">IF(ISNA(MATCH($A102,'Mock Database'!$C$3:$C$152,0)),"",IF(ISBLANK(OFFSET('Mock Database'!$S$2,MATCH($A102,'Mock Database'!$C$3:$C$152,0),0)),"",INDEX('Mock Database'!$S$3:$S$152,MATCH($A102,'Mock Database'!$C$3:$C$152,0))))</f>
        <v/>
      </c>
      <c r="G102" s="22" t="str">
        <f ca="1">IF(ISNA(MATCH($A102,'Mock Database'!$C$3:$C$152,0)),"",IF(ISBLANK(OFFSET('Mock Database'!$T$2,MATCH($A102,'Mock Database'!$C$3:$C$152,0),0)),"",INDEX('Mock Database'!$T$3:$T$152,MATCH($A102,'Mock Database'!$C$3:$C$152,0))))</f>
        <v/>
      </c>
      <c r="H102" s="89" t="str">
        <f ca="1">IF(ISNA(MATCH($A102,'Mock Database'!$C$3:$C$152,0)),"",IF(ISBLANK(OFFSET('Mock Database'!$Y$2,MATCH($A102,'Mock Database'!$C$3:$C$152,0),0)),"",INDEX('Mock Database'!$Y$3:$Y$152,MATCH($A102,'Mock Database'!$C$3:$C$152,0))))</f>
        <v/>
      </c>
      <c r="I102" s="22" t="str">
        <f ca="1">IF(ISNA(MATCH($A102,'Mock Database'!$C$3:$C$152,0)),"",IF(ISBLANK(OFFSET('Mock Database'!$Z$2,MATCH($A102,'Mock Database'!$C$3:$C$152,0),0)),"",INDEX('Mock Database'!$Z$3:$Z$152,MATCH($A102,'Mock Database'!$C$3:$C$152,0))))</f>
        <v/>
      </c>
      <c r="J102" s="89" t="str">
        <f ca="1">IF(ISNA(MATCH($A102,'Mock Database'!$C$3:$C$152,0)),"",IF(ISBLANK(OFFSET('Mock Database'!$AE$2,MATCH($A102,'Mock Database'!$C$3:$C$152,0),0)),"",INDEX('Mock Database'!$AE$3:$AE$152,MATCH($A102,'Mock Database'!$C$3:$C$152,0))))</f>
        <v/>
      </c>
      <c r="K102" s="22" t="str">
        <f ca="1">IF(ISNA(MATCH($A102,'Mock Database'!$C$3:$C$152,0)),"",IF(ISBLANK(OFFSET('Mock Database'!$AF$2,MATCH($A102,'Mock Database'!$C$3:$C$152,0),0)),"",INDEX('Mock Database'!$AF$3:$AF$152,MATCH($A102,'Mock Database'!$C$3:$C$152,0))))</f>
        <v/>
      </c>
      <c r="N102" t="e">
        <f t="shared" si="11"/>
        <v>#N/A</v>
      </c>
      <c r="O102" s="89" t="e">
        <f t="shared" ca="1" si="12"/>
        <v>#N/A</v>
      </c>
      <c r="P102" s="22" t="e">
        <f t="shared" ca="1" si="13"/>
        <v>#N/A</v>
      </c>
      <c r="Q102" s="89" t="e">
        <f t="shared" ca="1" si="14"/>
        <v>#N/A</v>
      </c>
      <c r="R102" s="22" t="e">
        <f t="shared" ca="1" si="15"/>
        <v>#N/A</v>
      </c>
      <c r="S102" s="89" t="e">
        <f t="shared" ca="1" si="16"/>
        <v>#N/A</v>
      </c>
      <c r="T102" s="22" t="e">
        <f t="shared" ca="1" si="17"/>
        <v>#N/A</v>
      </c>
      <c r="U102" s="89" t="e">
        <f t="shared" ca="1" si="18"/>
        <v>#N/A</v>
      </c>
      <c r="V102" s="22" t="e">
        <f t="shared" ca="1" si="19"/>
        <v>#N/A</v>
      </c>
      <c r="AM102" t="e">
        <f t="shared" si="20"/>
        <v>#N/A</v>
      </c>
      <c r="AN102" t="e">
        <f t="shared" ca="1" si="21"/>
        <v>#N/A</v>
      </c>
    </row>
    <row r="103" spans="1:40" ht="15" customHeight="1" x14ac:dyDescent="0.3">
      <c r="A103" s="87">
        <v>102</v>
      </c>
      <c r="B103" t="str">
        <f>IFERROR(INDEX('Mock Database'!$D$3:$D$152,MATCH($A103,'Mock Database'!$C$3:$C$152,0)),"")</f>
        <v/>
      </c>
      <c r="C103" s="88" t="str">
        <f>IFERROR(INDEX('Mock Database'!$I$3:$I$152,MATCH($A103,'Mock Database'!$C$3:$C$152,0)),"")</f>
        <v/>
      </c>
      <c r="D103" s="89" t="str">
        <f ca="1">IF(ISNA(MATCH($A103,'Mock Database'!$C$3:$C$152,0)),"",IF(ISBLANK(OFFSET('Mock Database'!$M$2,MATCH($A103,'Mock Database'!$C$3:$C$152,0),0)),"",INDEX('Mock Database'!$M$3:$M$152,MATCH($A103,'Mock Database'!$C$3:$C$152,0))))</f>
        <v/>
      </c>
      <c r="E103" s="22" t="str">
        <f ca="1">IF(ISNA(MATCH($A103,'Mock Database'!$C$3:$C$152,0)),"",IF(ISBLANK(OFFSET('Mock Database'!$N$2,MATCH($A103,'Mock Database'!$C$3:$C$152,0),0)),"",INDEX('Mock Database'!$N$3:$N$152,MATCH($A103,'Mock Database'!$C$3:$C$152,0))))</f>
        <v/>
      </c>
      <c r="F103" s="89" t="str">
        <f ca="1">IF(ISNA(MATCH($A103,'Mock Database'!$C$3:$C$152,0)),"",IF(ISBLANK(OFFSET('Mock Database'!$S$2,MATCH($A103,'Mock Database'!$C$3:$C$152,0),0)),"",INDEX('Mock Database'!$S$3:$S$152,MATCH($A103,'Mock Database'!$C$3:$C$152,0))))</f>
        <v/>
      </c>
      <c r="G103" s="22" t="str">
        <f ca="1">IF(ISNA(MATCH($A103,'Mock Database'!$C$3:$C$152,0)),"",IF(ISBLANK(OFFSET('Mock Database'!$T$2,MATCH($A103,'Mock Database'!$C$3:$C$152,0),0)),"",INDEX('Mock Database'!$T$3:$T$152,MATCH($A103,'Mock Database'!$C$3:$C$152,0))))</f>
        <v/>
      </c>
      <c r="H103" s="89" t="str">
        <f ca="1">IF(ISNA(MATCH($A103,'Mock Database'!$C$3:$C$152,0)),"",IF(ISBLANK(OFFSET('Mock Database'!$Y$2,MATCH($A103,'Mock Database'!$C$3:$C$152,0),0)),"",INDEX('Mock Database'!$Y$3:$Y$152,MATCH($A103,'Mock Database'!$C$3:$C$152,0))))</f>
        <v/>
      </c>
      <c r="I103" s="22" t="str">
        <f ca="1">IF(ISNA(MATCH($A103,'Mock Database'!$C$3:$C$152,0)),"",IF(ISBLANK(OFFSET('Mock Database'!$Z$2,MATCH($A103,'Mock Database'!$C$3:$C$152,0),0)),"",INDEX('Mock Database'!$Z$3:$Z$152,MATCH($A103,'Mock Database'!$C$3:$C$152,0))))</f>
        <v/>
      </c>
      <c r="J103" s="89" t="str">
        <f ca="1">IF(ISNA(MATCH($A103,'Mock Database'!$C$3:$C$152,0)),"",IF(ISBLANK(OFFSET('Mock Database'!$AE$2,MATCH($A103,'Mock Database'!$C$3:$C$152,0),0)),"",INDEX('Mock Database'!$AE$3:$AE$152,MATCH($A103,'Mock Database'!$C$3:$C$152,0))))</f>
        <v/>
      </c>
      <c r="K103" s="22" t="str">
        <f ca="1">IF(ISNA(MATCH($A103,'Mock Database'!$C$3:$C$152,0)),"",IF(ISBLANK(OFFSET('Mock Database'!$AF$2,MATCH($A103,'Mock Database'!$C$3:$C$152,0),0)),"",INDEX('Mock Database'!$AF$3:$AF$152,MATCH($A103,'Mock Database'!$C$3:$C$152,0))))</f>
        <v/>
      </c>
      <c r="N103" t="e">
        <f t="shared" si="11"/>
        <v>#N/A</v>
      </c>
      <c r="O103" s="89" t="e">
        <f t="shared" ca="1" si="12"/>
        <v>#N/A</v>
      </c>
      <c r="P103" s="22" t="e">
        <f t="shared" ca="1" si="13"/>
        <v>#N/A</v>
      </c>
      <c r="Q103" s="89" t="e">
        <f t="shared" ca="1" si="14"/>
        <v>#N/A</v>
      </c>
      <c r="R103" s="22" t="e">
        <f t="shared" ca="1" si="15"/>
        <v>#N/A</v>
      </c>
      <c r="S103" s="89" t="e">
        <f t="shared" ca="1" si="16"/>
        <v>#N/A</v>
      </c>
      <c r="T103" s="22" t="e">
        <f t="shared" ca="1" si="17"/>
        <v>#N/A</v>
      </c>
      <c r="U103" s="89" t="e">
        <f t="shared" ca="1" si="18"/>
        <v>#N/A</v>
      </c>
      <c r="V103" s="22" t="e">
        <f t="shared" ca="1" si="19"/>
        <v>#N/A</v>
      </c>
      <c r="AM103" t="e">
        <f t="shared" si="20"/>
        <v>#N/A</v>
      </c>
      <c r="AN103" t="e">
        <f t="shared" ca="1" si="21"/>
        <v>#N/A</v>
      </c>
    </row>
    <row r="104" spans="1:40" ht="15" customHeight="1" x14ac:dyDescent="0.3">
      <c r="A104" s="87">
        <v>103</v>
      </c>
      <c r="B104" t="str">
        <f>IFERROR(INDEX('Mock Database'!$D$3:$D$152,MATCH($A104,'Mock Database'!$C$3:$C$152,0)),"")</f>
        <v/>
      </c>
      <c r="C104" s="88" t="str">
        <f>IFERROR(INDEX('Mock Database'!$I$3:$I$152,MATCH($A104,'Mock Database'!$C$3:$C$152,0)),"")</f>
        <v/>
      </c>
      <c r="D104" s="89" t="str">
        <f ca="1">IF(ISNA(MATCH($A104,'Mock Database'!$C$3:$C$152,0)),"",IF(ISBLANK(OFFSET('Mock Database'!$M$2,MATCH($A104,'Mock Database'!$C$3:$C$152,0),0)),"",INDEX('Mock Database'!$M$3:$M$152,MATCH($A104,'Mock Database'!$C$3:$C$152,0))))</f>
        <v/>
      </c>
      <c r="E104" s="22" t="str">
        <f ca="1">IF(ISNA(MATCH($A104,'Mock Database'!$C$3:$C$152,0)),"",IF(ISBLANK(OFFSET('Mock Database'!$N$2,MATCH($A104,'Mock Database'!$C$3:$C$152,0),0)),"",INDEX('Mock Database'!$N$3:$N$152,MATCH($A104,'Mock Database'!$C$3:$C$152,0))))</f>
        <v/>
      </c>
      <c r="F104" s="89" t="str">
        <f ca="1">IF(ISNA(MATCH($A104,'Mock Database'!$C$3:$C$152,0)),"",IF(ISBLANK(OFFSET('Mock Database'!$S$2,MATCH($A104,'Mock Database'!$C$3:$C$152,0),0)),"",INDEX('Mock Database'!$S$3:$S$152,MATCH($A104,'Mock Database'!$C$3:$C$152,0))))</f>
        <v/>
      </c>
      <c r="G104" s="22" t="str">
        <f ca="1">IF(ISNA(MATCH($A104,'Mock Database'!$C$3:$C$152,0)),"",IF(ISBLANK(OFFSET('Mock Database'!$T$2,MATCH($A104,'Mock Database'!$C$3:$C$152,0),0)),"",INDEX('Mock Database'!$T$3:$T$152,MATCH($A104,'Mock Database'!$C$3:$C$152,0))))</f>
        <v/>
      </c>
      <c r="H104" s="89" t="str">
        <f ca="1">IF(ISNA(MATCH($A104,'Mock Database'!$C$3:$C$152,0)),"",IF(ISBLANK(OFFSET('Mock Database'!$Y$2,MATCH($A104,'Mock Database'!$C$3:$C$152,0),0)),"",INDEX('Mock Database'!$Y$3:$Y$152,MATCH($A104,'Mock Database'!$C$3:$C$152,0))))</f>
        <v/>
      </c>
      <c r="I104" s="22" t="str">
        <f ca="1">IF(ISNA(MATCH($A104,'Mock Database'!$C$3:$C$152,0)),"",IF(ISBLANK(OFFSET('Mock Database'!$Z$2,MATCH($A104,'Mock Database'!$C$3:$C$152,0),0)),"",INDEX('Mock Database'!$Z$3:$Z$152,MATCH($A104,'Mock Database'!$C$3:$C$152,0))))</f>
        <v/>
      </c>
      <c r="J104" s="89" t="str">
        <f ca="1">IF(ISNA(MATCH($A104,'Mock Database'!$C$3:$C$152,0)),"",IF(ISBLANK(OFFSET('Mock Database'!$AE$2,MATCH($A104,'Mock Database'!$C$3:$C$152,0),0)),"",INDEX('Mock Database'!$AE$3:$AE$152,MATCH($A104,'Mock Database'!$C$3:$C$152,0))))</f>
        <v/>
      </c>
      <c r="K104" s="22" t="str">
        <f ca="1">IF(ISNA(MATCH($A104,'Mock Database'!$C$3:$C$152,0)),"",IF(ISBLANK(OFFSET('Mock Database'!$AF$2,MATCH($A104,'Mock Database'!$C$3:$C$152,0),0)),"",INDEX('Mock Database'!$AF$3:$AF$152,MATCH($A104,'Mock Database'!$C$3:$C$152,0))))</f>
        <v/>
      </c>
      <c r="N104" t="e">
        <f t="shared" si="11"/>
        <v>#N/A</v>
      </c>
      <c r="O104" s="89" t="e">
        <f t="shared" ca="1" si="12"/>
        <v>#N/A</v>
      </c>
      <c r="P104" s="22" t="e">
        <f t="shared" ca="1" si="13"/>
        <v>#N/A</v>
      </c>
      <c r="Q104" s="89" t="e">
        <f t="shared" ca="1" si="14"/>
        <v>#N/A</v>
      </c>
      <c r="R104" s="22" t="e">
        <f t="shared" ca="1" si="15"/>
        <v>#N/A</v>
      </c>
      <c r="S104" s="89" t="e">
        <f t="shared" ca="1" si="16"/>
        <v>#N/A</v>
      </c>
      <c r="T104" s="22" t="e">
        <f t="shared" ca="1" si="17"/>
        <v>#N/A</v>
      </c>
      <c r="U104" s="89" t="e">
        <f t="shared" ca="1" si="18"/>
        <v>#N/A</v>
      </c>
      <c r="V104" s="22" t="e">
        <f t="shared" ca="1" si="19"/>
        <v>#N/A</v>
      </c>
      <c r="AM104" t="e">
        <f t="shared" si="20"/>
        <v>#N/A</v>
      </c>
      <c r="AN104" t="e">
        <f t="shared" ca="1" si="21"/>
        <v>#N/A</v>
      </c>
    </row>
    <row r="105" spans="1:40" ht="15" customHeight="1" x14ac:dyDescent="0.3">
      <c r="A105" s="87">
        <v>104</v>
      </c>
      <c r="B105" t="str">
        <f>IFERROR(INDEX('Mock Database'!$D$3:$D$152,MATCH($A105,'Mock Database'!$C$3:$C$152,0)),"")</f>
        <v/>
      </c>
      <c r="C105" s="88" t="str">
        <f>IFERROR(INDEX('Mock Database'!$I$3:$I$152,MATCH($A105,'Mock Database'!$C$3:$C$152,0)),"")</f>
        <v/>
      </c>
      <c r="D105" s="89" t="str">
        <f ca="1">IF(ISNA(MATCH($A105,'Mock Database'!$C$3:$C$152,0)),"",IF(ISBLANK(OFFSET('Mock Database'!$M$2,MATCH($A105,'Mock Database'!$C$3:$C$152,0),0)),"",INDEX('Mock Database'!$M$3:$M$152,MATCH($A105,'Mock Database'!$C$3:$C$152,0))))</f>
        <v/>
      </c>
      <c r="E105" s="22" t="str">
        <f ca="1">IF(ISNA(MATCH($A105,'Mock Database'!$C$3:$C$152,0)),"",IF(ISBLANK(OFFSET('Mock Database'!$N$2,MATCH($A105,'Mock Database'!$C$3:$C$152,0),0)),"",INDEX('Mock Database'!$N$3:$N$152,MATCH($A105,'Mock Database'!$C$3:$C$152,0))))</f>
        <v/>
      </c>
      <c r="F105" s="89" t="str">
        <f ca="1">IF(ISNA(MATCH($A105,'Mock Database'!$C$3:$C$152,0)),"",IF(ISBLANK(OFFSET('Mock Database'!$S$2,MATCH($A105,'Mock Database'!$C$3:$C$152,0),0)),"",INDEX('Mock Database'!$S$3:$S$152,MATCH($A105,'Mock Database'!$C$3:$C$152,0))))</f>
        <v/>
      </c>
      <c r="G105" s="22" t="str">
        <f ca="1">IF(ISNA(MATCH($A105,'Mock Database'!$C$3:$C$152,0)),"",IF(ISBLANK(OFFSET('Mock Database'!$T$2,MATCH($A105,'Mock Database'!$C$3:$C$152,0),0)),"",INDEX('Mock Database'!$T$3:$T$152,MATCH($A105,'Mock Database'!$C$3:$C$152,0))))</f>
        <v/>
      </c>
      <c r="H105" s="89" t="str">
        <f ca="1">IF(ISNA(MATCH($A105,'Mock Database'!$C$3:$C$152,0)),"",IF(ISBLANK(OFFSET('Mock Database'!$Y$2,MATCH($A105,'Mock Database'!$C$3:$C$152,0),0)),"",INDEX('Mock Database'!$Y$3:$Y$152,MATCH($A105,'Mock Database'!$C$3:$C$152,0))))</f>
        <v/>
      </c>
      <c r="I105" s="22" t="str">
        <f ca="1">IF(ISNA(MATCH($A105,'Mock Database'!$C$3:$C$152,0)),"",IF(ISBLANK(OFFSET('Mock Database'!$Z$2,MATCH($A105,'Mock Database'!$C$3:$C$152,0),0)),"",INDEX('Mock Database'!$Z$3:$Z$152,MATCH($A105,'Mock Database'!$C$3:$C$152,0))))</f>
        <v/>
      </c>
      <c r="J105" s="89" t="str">
        <f ca="1">IF(ISNA(MATCH($A105,'Mock Database'!$C$3:$C$152,0)),"",IF(ISBLANK(OFFSET('Mock Database'!$AE$2,MATCH($A105,'Mock Database'!$C$3:$C$152,0),0)),"",INDEX('Mock Database'!$AE$3:$AE$152,MATCH($A105,'Mock Database'!$C$3:$C$152,0))))</f>
        <v/>
      </c>
      <c r="K105" s="22" t="str">
        <f ca="1">IF(ISNA(MATCH($A105,'Mock Database'!$C$3:$C$152,0)),"",IF(ISBLANK(OFFSET('Mock Database'!$AF$2,MATCH($A105,'Mock Database'!$C$3:$C$152,0),0)),"",INDEX('Mock Database'!$AF$3:$AF$152,MATCH($A105,'Mock Database'!$C$3:$C$152,0))))</f>
        <v/>
      </c>
      <c r="N105" t="e">
        <f t="shared" si="11"/>
        <v>#N/A</v>
      </c>
      <c r="O105" s="89" t="e">
        <f t="shared" ca="1" si="12"/>
        <v>#N/A</v>
      </c>
      <c r="P105" s="22" t="e">
        <f t="shared" ca="1" si="13"/>
        <v>#N/A</v>
      </c>
      <c r="Q105" s="89" t="e">
        <f t="shared" ca="1" si="14"/>
        <v>#N/A</v>
      </c>
      <c r="R105" s="22" t="e">
        <f t="shared" ca="1" si="15"/>
        <v>#N/A</v>
      </c>
      <c r="S105" s="89" t="e">
        <f t="shared" ca="1" si="16"/>
        <v>#N/A</v>
      </c>
      <c r="T105" s="22" t="e">
        <f t="shared" ca="1" si="17"/>
        <v>#N/A</v>
      </c>
      <c r="U105" s="89" t="e">
        <f t="shared" ca="1" si="18"/>
        <v>#N/A</v>
      </c>
      <c r="V105" s="22" t="e">
        <f t="shared" ca="1" si="19"/>
        <v>#N/A</v>
      </c>
      <c r="AM105" t="e">
        <f t="shared" si="20"/>
        <v>#N/A</v>
      </c>
      <c r="AN105" t="e">
        <f t="shared" ca="1" si="21"/>
        <v>#N/A</v>
      </c>
    </row>
    <row r="106" spans="1:40" ht="15" customHeight="1" x14ac:dyDescent="0.3">
      <c r="A106" s="87">
        <v>105</v>
      </c>
      <c r="B106" t="str">
        <f>IFERROR(INDEX('Mock Database'!$D$3:$D$152,MATCH($A106,'Mock Database'!$C$3:$C$152,0)),"")</f>
        <v/>
      </c>
      <c r="C106" s="88" t="str">
        <f>IFERROR(INDEX('Mock Database'!$I$3:$I$152,MATCH($A106,'Mock Database'!$C$3:$C$152,0)),"")</f>
        <v/>
      </c>
      <c r="D106" s="89" t="str">
        <f ca="1">IF(ISNA(MATCH($A106,'Mock Database'!$C$3:$C$152,0)),"",IF(ISBLANK(OFFSET('Mock Database'!$M$2,MATCH($A106,'Mock Database'!$C$3:$C$152,0),0)),"",INDEX('Mock Database'!$M$3:$M$152,MATCH($A106,'Mock Database'!$C$3:$C$152,0))))</f>
        <v/>
      </c>
      <c r="E106" s="22" t="str">
        <f ca="1">IF(ISNA(MATCH($A106,'Mock Database'!$C$3:$C$152,0)),"",IF(ISBLANK(OFFSET('Mock Database'!$N$2,MATCH($A106,'Mock Database'!$C$3:$C$152,0),0)),"",INDEX('Mock Database'!$N$3:$N$152,MATCH($A106,'Mock Database'!$C$3:$C$152,0))))</f>
        <v/>
      </c>
      <c r="F106" s="89" t="str">
        <f ca="1">IF(ISNA(MATCH($A106,'Mock Database'!$C$3:$C$152,0)),"",IF(ISBLANK(OFFSET('Mock Database'!$S$2,MATCH($A106,'Mock Database'!$C$3:$C$152,0),0)),"",INDEX('Mock Database'!$S$3:$S$152,MATCH($A106,'Mock Database'!$C$3:$C$152,0))))</f>
        <v/>
      </c>
      <c r="G106" s="22" t="str">
        <f ca="1">IF(ISNA(MATCH($A106,'Mock Database'!$C$3:$C$152,0)),"",IF(ISBLANK(OFFSET('Mock Database'!$T$2,MATCH($A106,'Mock Database'!$C$3:$C$152,0),0)),"",INDEX('Mock Database'!$T$3:$T$152,MATCH($A106,'Mock Database'!$C$3:$C$152,0))))</f>
        <v/>
      </c>
      <c r="H106" s="89" t="str">
        <f ca="1">IF(ISNA(MATCH($A106,'Mock Database'!$C$3:$C$152,0)),"",IF(ISBLANK(OFFSET('Mock Database'!$Y$2,MATCH($A106,'Mock Database'!$C$3:$C$152,0),0)),"",INDEX('Mock Database'!$Y$3:$Y$152,MATCH($A106,'Mock Database'!$C$3:$C$152,0))))</f>
        <v/>
      </c>
      <c r="I106" s="22" t="str">
        <f ca="1">IF(ISNA(MATCH($A106,'Mock Database'!$C$3:$C$152,0)),"",IF(ISBLANK(OFFSET('Mock Database'!$Z$2,MATCH($A106,'Mock Database'!$C$3:$C$152,0),0)),"",INDEX('Mock Database'!$Z$3:$Z$152,MATCH($A106,'Mock Database'!$C$3:$C$152,0))))</f>
        <v/>
      </c>
      <c r="J106" s="89" t="str">
        <f ca="1">IF(ISNA(MATCH($A106,'Mock Database'!$C$3:$C$152,0)),"",IF(ISBLANK(OFFSET('Mock Database'!$AE$2,MATCH($A106,'Mock Database'!$C$3:$C$152,0),0)),"",INDEX('Mock Database'!$AE$3:$AE$152,MATCH($A106,'Mock Database'!$C$3:$C$152,0))))</f>
        <v/>
      </c>
      <c r="K106" s="22" t="str">
        <f ca="1">IF(ISNA(MATCH($A106,'Mock Database'!$C$3:$C$152,0)),"",IF(ISBLANK(OFFSET('Mock Database'!$AF$2,MATCH($A106,'Mock Database'!$C$3:$C$152,0),0)),"",INDEX('Mock Database'!$AF$3:$AF$152,MATCH($A106,'Mock Database'!$C$3:$C$152,0))))</f>
        <v/>
      </c>
      <c r="N106" t="e">
        <f t="shared" si="11"/>
        <v>#N/A</v>
      </c>
      <c r="O106" s="89" t="e">
        <f t="shared" ca="1" si="12"/>
        <v>#N/A</v>
      </c>
      <c r="P106" s="22" t="e">
        <f t="shared" ca="1" si="13"/>
        <v>#N/A</v>
      </c>
      <c r="Q106" s="89" t="e">
        <f t="shared" ca="1" si="14"/>
        <v>#N/A</v>
      </c>
      <c r="R106" s="22" t="e">
        <f t="shared" ca="1" si="15"/>
        <v>#N/A</v>
      </c>
      <c r="S106" s="89" t="e">
        <f t="shared" ca="1" si="16"/>
        <v>#N/A</v>
      </c>
      <c r="T106" s="22" t="e">
        <f t="shared" ca="1" si="17"/>
        <v>#N/A</v>
      </c>
      <c r="U106" s="89" t="e">
        <f t="shared" ca="1" si="18"/>
        <v>#N/A</v>
      </c>
      <c r="V106" s="22" t="e">
        <f t="shared" ca="1" si="19"/>
        <v>#N/A</v>
      </c>
      <c r="AM106" t="e">
        <f t="shared" si="20"/>
        <v>#N/A</v>
      </c>
      <c r="AN106" t="e">
        <f t="shared" ca="1" si="21"/>
        <v>#N/A</v>
      </c>
    </row>
    <row r="107" spans="1:40" ht="15" customHeight="1" x14ac:dyDescent="0.3">
      <c r="A107" s="87">
        <v>106</v>
      </c>
      <c r="B107" t="str">
        <f>IFERROR(INDEX('Mock Database'!$D$3:$D$152,MATCH($A107,'Mock Database'!$C$3:$C$152,0)),"")</f>
        <v/>
      </c>
      <c r="C107" s="88" t="str">
        <f>IFERROR(INDEX('Mock Database'!$I$3:$I$152,MATCH($A107,'Mock Database'!$C$3:$C$152,0)),"")</f>
        <v/>
      </c>
      <c r="D107" s="89" t="str">
        <f ca="1">IF(ISNA(MATCH($A107,'Mock Database'!$C$3:$C$152,0)),"",IF(ISBLANK(OFFSET('Mock Database'!$M$2,MATCH($A107,'Mock Database'!$C$3:$C$152,0),0)),"",INDEX('Mock Database'!$M$3:$M$152,MATCH($A107,'Mock Database'!$C$3:$C$152,0))))</f>
        <v/>
      </c>
      <c r="E107" s="22" t="str">
        <f ca="1">IF(ISNA(MATCH($A107,'Mock Database'!$C$3:$C$152,0)),"",IF(ISBLANK(OFFSET('Mock Database'!$N$2,MATCH($A107,'Mock Database'!$C$3:$C$152,0),0)),"",INDEX('Mock Database'!$N$3:$N$152,MATCH($A107,'Mock Database'!$C$3:$C$152,0))))</f>
        <v/>
      </c>
      <c r="F107" s="89" t="str">
        <f ca="1">IF(ISNA(MATCH($A107,'Mock Database'!$C$3:$C$152,0)),"",IF(ISBLANK(OFFSET('Mock Database'!$S$2,MATCH($A107,'Mock Database'!$C$3:$C$152,0),0)),"",INDEX('Mock Database'!$S$3:$S$152,MATCH($A107,'Mock Database'!$C$3:$C$152,0))))</f>
        <v/>
      </c>
      <c r="G107" s="22" t="str">
        <f ca="1">IF(ISNA(MATCH($A107,'Mock Database'!$C$3:$C$152,0)),"",IF(ISBLANK(OFFSET('Mock Database'!$T$2,MATCH($A107,'Mock Database'!$C$3:$C$152,0),0)),"",INDEX('Mock Database'!$T$3:$T$152,MATCH($A107,'Mock Database'!$C$3:$C$152,0))))</f>
        <v/>
      </c>
      <c r="H107" s="89" t="str">
        <f ca="1">IF(ISNA(MATCH($A107,'Mock Database'!$C$3:$C$152,0)),"",IF(ISBLANK(OFFSET('Mock Database'!$Y$2,MATCH($A107,'Mock Database'!$C$3:$C$152,0),0)),"",INDEX('Mock Database'!$Y$3:$Y$152,MATCH($A107,'Mock Database'!$C$3:$C$152,0))))</f>
        <v/>
      </c>
      <c r="I107" s="22" t="str">
        <f ca="1">IF(ISNA(MATCH($A107,'Mock Database'!$C$3:$C$152,0)),"",IF(ISBLANK(OFFSET('Mock Database'!$Z$2,MATCH($A107,'Mock Database'!$C$3:$C$152,0),0)),"",INDEX('Mock Database'!$Z$3:$Z$152,MATCH($A107,'Mock Database'!$C$3:$C$152,0))))</f>
        <v/>
      </c>
      <c r="J107" s="89" t="str">
        <f ca="1">IF(ISNA(MATCH($A107,'Mock Database'!$C$3:$C$152,0)),"",IF(ISBLANK(OFFSET('Mock Database'!$AE$2,MATCH($A107,'Mock Database'!$C$3:$C$152,0),0)),"",INDEX('Mock Database'!$AE$3:$AE$152,MATCH($A107,'Mock Database'!$C$3:$C$152,0))))</f>
        <v/>
      </c>
      <c r="K107" s="22" t="str">
        <f ca="1">IF(ISNA(MATCH($A107,'Mock Database'!$C$3:$C$152,0)),"",IF(ISBLANK(OFFSET('Mock Database'!$AF$2,MATCH($A107,'Mock Database'!$C$3:$C$152,0),0)),"",INDEX('Mock Database'!$AF$3:$AF$152,MATCH($A107,'Mock Database'!$C$3:$C$152,0))))</f>
        <v/>
      </c>
      <c r="N107" t="e">
        <f t="shared" si="11"/>
        <v>#N/A</v>
      </c>
      <c r="O107" s="89" t="e">
        <f t="shared" ca="1" si="12"/>
        <v>#N/A</v>
      </c>
      <c r="P107" s="22" t="e">
        <f t="shared" ca="1" si="13"/>
        <v>#N/A</v>
      </c>
      <c r="Q107" s="89" t="e">
        <f t="shared" ca="1" si="14"/>
        <v>#N/A</v>
      </c>
      <c r="R107" s="22" t="e">
        <f t="shared" ca="1" si="15"/>
        <v>#N/A</v>
      </c>
      <c r="S107" s="89" t="e">
        <f t="shared" ca="1" si="16"/>
        <v>#N/A</v>
      </c>
      <c r="T107" s="22" t="e">
        <f t="shared" ca="1" si="17"/>
        <v>#N/A</v>
      </c>
      <c r="U107" s="89" t="e">
        <f t="shared" ca="1" si="18"/>
        <v>#N/A</v>
      </c>
      <c r="V107" s="22" t="e">
        <f t="shared" ca="1" si="19"/>
        <v>#N/A</v>
      </c>
      <c r="AM107" t="e">
        <f t="shared" si="20"/>
        <v>#N/A</v>
      </c>
      <c r="AN107" t="e">
        <f t="shared" ca="1" si="21"/>
        <v>#N/A</v>
      </c>
    </row>
    <row r="108" spans="1:40" ht="15" customHeight="1" x14ac:dyDescent="0.3">
      <c r="A108" s="87">
        <v>107</v>
      </c>
      <c r="B108" t="str">
        <f>IFERROR(INDEX('Mock Database'!$D$3:$D$152,MATCH($A108,'Mock Database'!$C$3:$C$152,0)),"")</f>
        <v/>
      </c>
      <c r="C108" s="88" t="str">
        <f>IFERROR(INDEX('Mock Database'!$I$3:$I$152,MATCH($A108,'Mock Database'!$C$3:$C$152,0)),"")</f>
        <v/>
      </c>
      <c r="D108" s="89" t="str">
        <f ca="1">IF(ISNA(MATCH($A108,'Mock Database'!$C$3:$C$152,0)),"",IF(ISBLANK(OFFSET('Mock Database'!$M$2,MATCH($A108,'Mock Database'!$C$3:$C$152,0),0)),"",INDEX('Mock Database'!$M$3:$M$152,MATCH($A108,'Mock Database'!$C$3:$C$152,0))))</f>
        <v/>
      </c>
      <c r="E108" s="22" t="str">
        <f ca="1">IF(ISNA(MATCH($A108,'Mock Database'!$C$3:$C$152,0)),"",IF(ISBLANK(OFFSET('Mock Database'!$N$2,MATCH($A108,'Mock Database'!$C$3:$C$152,0),0)),"",INDEX('Mock Database'!$N$3:$N$152,MATCH($A108,'Mock Database'!$C$3:$C$152,0))))</f>
        <v/>
      </c>
      <c r="F108" s="89" t="str">
        <f ca="1">IF(ISNA(MATCH($A108,'Mock Database'!$C$3:$C$152,0)),"",IF(ISBLANK(OFFSET('Mock Database'!$S$2,MATCH($A108,'Mock Database'!$C$3:$C$152,0),0)),"",INDEX('Mock Database'!$S$3:$S$152,MATCH($A108,'Mock Database'!$C$3:$C$152,0))))</f>
        <v/>
      </c>
      <c r="G108" s="22" t="str">
        <f ca="1">IF(ISNA(MATCH($A108,'Mock Database'!$C$3:$C$152,0)),"",IF(ISBLANK(OFFSET('Mock Database'!$T$2,MATCH($A108,'Mock Database'!$C$3:$C$152,0),0)),"",INDEX('Mock Database'!$T$3:$T$152,MATCH($A108,'Mock Database'!$C$3:$C$152,0))))</f>
        <v/>
      </c>
      <c r="H108" s="89" t="str">
        <f ca="1">IF(ISNA(MATCH($A108,'Mock Database'!$C$3:$C$152,0)),"",IF(ISBLANK(OFFSET('Mock Database'!$Y$2,MATCH($A108,'Mock Database'!$C$3:$C$152,0),0)),"",INDEX('Mock Database'!$Y$3:$Y$152,MATCH($A108,'Mock Database'!$C$3:$C$152,0))))</f>
        <v/>
      </c>
      <c r="I108" s="22" t="str">
        <f ca="1">IF(ISNA(MATCH($A108,'Mock Database'!$C$3:$C$152,0)),"",IF(ISBLANK(OFFSET('Mock Database'!$Z$2,MATCH($A108,'Mock Database'!$C$3:$C$152,0),0)),"",INDEX('Mock Database'!$Z$3:$Z$152,MATCH($A108,'Mock Database'!$C$3:$C$152,0))))</f>
        <v/>
      </c>
      <c r="J108" s="89" t="str">
        <f ca="1">IF(ISNA(MATCH($A108,'Mock Database'!$C$3:$C$152,0)),"",IF(ISBLANK(OFFSET('Mock Database'!$AE$2,MATCH($A108,'Mock Database'!$C$3:$C$152,0),0)),"",INDEX('Mock Database'!$AE$3:$AE$152,MATCH($A108,'Mock Database'!$C$3:$C$152,0))))</f>
        <v/>
      </c>
      <c r="K108" s="22" t="str">
        <f ca="1">IF(ISNA(MATCH($A108,'Mock Database'!$C$3:$C$152,0)),"",IF(ISBLANK(OFFSET('Mock Database'!$AF$2,MATCH($A108,'Mock Database'!$C$3:$C$152,0),0)),"",INDEX('Mock Database'!$AF$3:$AF$152,MATCH($A108,'Mock Database'!$C$3:$C$152,0))))</f>
        <v/>
      </c>
      <c r="N108" t="e">
        <f t="shared" si="11"/>
        <v>#N/A</v>
      </c>
      <c r="O108" s="89" t="e">
        <f t="shared" ca="1" si="12"/>
        <v>#N/A</v>
      </c>
      <c r="P108" s="22" t="e">
        <f t="shared" ca="1" si="13"/>
        <v>#N/A</v>
      </c>
      <c r="Q108" s="89" t="e">
        <f t="shared" ca="1" si="14"/>
        <v>#N/A</v>
      </c>
      <c r="R108" s="22" t="e">
        <f t="shared" ca="1" si="15"/>
        <v>#N/A</v>
      </c>
      <c r="S108" s="89" t="e">
        <f t="shared" ca="1" si="16"/>
        <v>#N/A</v>
      </c>
      <c r="T108" s="22" t="e">
        <f t="shared" ca="1" si="17"/>
        <v>#N/A</v>
      </c>
      <c r="U108" s="89" t="e">
        <f t="shared" ca="1" si="18"/>
        <v>#N/A</v>
      </c>
      <c r="V108" s="22" t="e">
        <f t="shared" ca="1" si="19"/>
        <v>#N/A</v>
      </c>
      <c r="AM108" t="e">
        <f t="shared" si="20"/>
        <v>#N/A</v>
      </c>
      <c r="AN108" t="e">
        <f t="shared" ca="1" si="21"/>
        <v>#N/A</v>
      </c>
    </row>
    <row r="109" spans="1:40" ht="15" customHeight="1" x14ac:dyDescent="0.3">
      <c r="A109" s="87">
        <v>108</v>
      </c>
      <c r="B109" t="str">
        <f>IFERROR(INDEX('Mock Database'!$D$3:$D$152,MATCH($A109,'Mock Database'!$C$3:$C$152,0)),"")</f>
        <v/>
      </c>
      <c r="C109" s="88" t="str">
        <f>IFERROR(INDEX('Mock Database'!$I$3:$I$152,MATCH($A109,'Mock Database'!$C$3:$C$152,0)),"")</f>
        <v/>
      </c>
      <c r="D109" s="89" t="str">
        <f ca="1">IF(ISNA(MATCH($A109,'Mock Database'!$C$3:$C$152,0)),"",IF(ISBLANK(OFFSET('Mock Database'!$M$2,MATCH($A109,'Mock Database'!$C$3:$C$152,0),0)),"",INDEX('Mock Database'!$M$3:$M$152,MATCH($A109,'Mock Database'!$C$3:$C$152,0))))</f>
        <v/>
      </c>
      <c r="E109" s="22" t="str">
        <f ca="1">IF(ISNA(MATCH($A109,'Mock Database'!$C$3:$C$152,0)),"",IF(ISBLANK(OFFSET('Mock Database'!$N$2,MATCH($A109,'Mock Database'!$C$3:$C$152,0),0)),"",INDEX('Mock Database'!$N$3:$N$152,MATCH($A109,'Mock Database'!$C$3:$C$152,0))))</f>
        <v/>
      </c>
      <c r="F109" s="89" t="str">
        <f ca="1">IF(ISNA(MATCH($A109,'Mock Database'!$C$3:$C$152,0)),"",IF(ISBLANK(OFFSET('Mock Database'!$S$2,MATCH($A109,'Mock Database'!$C$3:$C$152,0),0)),"",INDEX('Mock Database'!$S$3:$S$152,MATCH($A109,'Mock Database'!$C$3:$C$152,0))))</f>
        <v/>
      </c>
      <c r="G109" s="22" t="str">
        <f ca="1">IF(ISNA(MATCH($A109,'Mock Database'!$C$3:$C$152,0)),"",IF(ISBLANK(OFFSET('Mock Database'!$T$2,MATCH($A109,'Mock Database'!$C$3:$C$152,0),0)),"",INDEX('Mock Database'!$T$3:$T$152,MATCH($A109,'Mock Database'!$C$3:$C$152,0))))</f>
        <v/>
      </c>
      <c r="H109" s="89" t="str">
        <f ca="1">IF(ISNA(MATCH($A109,'Mock Database'!$C$3:$C$152,0)),"",IF(ISBLANK(OFFSET('Mock Database'!$Y$2,MATCH($A109,'Mock Database'!$C$3:$C$152,0),0)),"",INDEX('Mock Database'!$Y$3:$Y$152,MATCH($A109,'Mock Database'!$C$3:$C$152,0))))</f>
        <v/>
      </c>
      <c r="I109" s="22" t="str">
        <f ca="1">IF(ISNA(MATCH($A109,'Mock Database'!$C$3:$C$152,0)),"",IF(ISBLANK(OFFSET('Mock Database'!$Z$2,MATCH($A109,'Mock Database'!$C$3:$C$152,0),0)),"",INDEX('Mock Database'!$Z$3:$Z$152,MATCH($A109,'Mock Database'!$C$3:$C$152,0))))</f>
        <v/>
      </c>
      <c r="J109" s="89" t="str">
        <f ca="1">IF(ISNA(MATCH($A109,'Mock Database'!$C$3:$C$152,0)),"",IF(ISBLANK(OFFSET('Mock Database'!$AE$2,MATCH($A109,'Mock Database'!$C$3:$C$152,0),0)),"",INDEX('Mock Database'!$AE$3:$AE$152,MATCH($A109,'Mock Database'!$C$3:$C$152,0))))</f>
        <v/>
      </c>
      <c r="K109" s="22" t="str">
        <f ca="1">IF(ISNA(MATCH($A109,'Mock Database'!$C$3:$C$152,0)),"",IF(ISBLANK(OFFSET('Mock Database'!$AF$2,MATCH($A109,'Mock Database'!$C$3:$C$152,0),0)),"",INDEX('Mock Database'!$AF$3:$AF$152,MATCH($A109,'Mock Database'!$C$3:$C$152,0))))</f>
        <v/>
      </c>
      <c r="N109" t="e">
        <f t="shared" si="11"/>
        <v>#N/A</v>
      </c>
      <c r="O109" s="89" t="e">
        <f t="shared" ca="1" si="12"/>
        <v>#N/A</v>
      </c>
      <c r="P109" s="22" t="e">
        <f t="shared" ca="1" si="13"/>
        <v>#N/A</v>
      </c>
      <c r="Q109" s="89" t="e">
        <f t="shared" ca="1" si="14"/>
        <v>#N/A</v>
      </c>
      <c r="R109" s="22" t="e">
        <f t="shared" ca="1" si="15"/>
        <v>#N/A</v>
      </c>
      <c r="S109" s="89" t="e">
        <f t="shared" ca="1" si="16"/>
        <v>#N/A</v>
      </c>
      <c r="T109" s="22" t="e">
        <f t="shared" ca="1" si="17"/>
        <v>#N/A</v>
      </c>
      <c r="U109" s="89" t="e">
        <f t="shared" ca="1" si="18"/>
        <v>#N/A</v>
      </c>
      <c r="V109" s="22" t="e">
        <f t="shared" ca="1" si="19"/>
        <v>#N/A</v>
      </c>
      <c r="AM109" t="e">
        <f t="shared" si="20"/>
        <v>#N/A</v>
      </c>
      <c r="AN109" t="e">
        <f t="shared" ca="1" si="21"/>
        <v>#N/A</v>
      </c>
    </row>
    <row r="110" spans="1:40" ht="15" customHeight="1" x14ac:dyDescent="0.3">
      <c r="A110" s="87">
        <v>109</v>
      </c>
      <c r="B110" t="str">
        <f>IFERROR(INDEX('Mock Database'!$D$3:$D$152,MATCH($A110,'Mock Database'!$C$3:$C$152,0)),"")</f>
        <v/>
      </c>
      <c r="C110" s="88" t="str">
        <f>IFERROR(INDEX('Mock Database'!$I$3:$I$152,MATCH($A110,'Mock Database'!$C$3:$C$152,0)),"")</f>
        <v/>
      </c>
      <c r="D110" s="89" t="str">
        <f ca="1">IF(ISNA(MATCH($A110,'Mock Database'!$C$3:$C$152,0)),"",IF(ISBLANK(OFFSET('Mock Database'!$M$2,MATCH($A110,'Mock Database'!$C$3:$C$152,0),0)),"",INDEX('Mock Database'!$M$3:$M$152,MATCH($A110,'Mock Database'!$C$3:$C$152,0))))</f>
        <v/>
      </c>
      <c r="E110" s="22" t="str">
        <f ca="1">IF(ISNA(MATCH($A110,'Mock Database'!$C$3:$C$152,0)),"",IF(ISBLANK(OFFSET('Mock Database'!$N$2,MATCH($A110,'Mock Database'!$C$3:$C$152,0),0)),"",INDEX('Mock Database'!$N$3:$N$152,MATCH($A110,'Mock Database'!$C$3:$C$152,0))))</f>
        <v/>
      </c>
      <c r="F110" s="89" t="str">
        <f ca="1">IF(ISNA(MATCH($A110,'Mock Database'!$C$3:$C$152,0)),"",IF(ISBLANK(OFFSET('Mock Database'!$S$2,MATCH($A110,'Mock Database'!$C$3:$C$152,0),0)),"",INDEX('Mock Database'!$S$3:$S$152,MATCH($A110,'Mock Database'!$C$3:$C$152,0))))</f>
        <v/>
      </c>
      <c r="G110" s="22" t="str">
        <f ca="1">IF(ISNA(MATCH($A110,'Mock Database'!$C$3:$C$152,0)),"",IF(ISBLANK(OFFSET('Mock Database'!$T$2,MATCH($A110,'Mock Database'!$C$3:$C$152,0),0)),"",INDEX('Mock Database'!$T$3:$T$152,MATCH($A110,'Mock Database'!$C$3:$C$152,0))))</f>
        <v/>
      </c>
      <c r="H110" s="89" t="str">
        <f ca="1">IF(ISNA(MATCH($A110,'Mock Database'!$C$3:$C$152,0)),"",IF(ISBLANK(OFFSET('Mock Database'!$Y$2,MATCH($A110,'Mock Database'!$C$3:$C$152,0),0)),"",INDEX('Mock Database'!$Y$3:$Y$152,MATCH($A110,'Mock Database'!$C$3:$C$152,0))))</f>
        <v/>
      </c>
      <c r="I110" s="22" t="str">
        <f ca="1">IF(ISNA(MATCH($A110,'Mock Database'!$C$3:$C$152,0)),"",IF(ISBLANK(OFFSET('Mock Database'!$Z$2,MATCH($A110,'Mock Database'!$C$3:$C$152,0),0)),"",INDEX('Mock Database'!$Z$3:$Z$152,MATCH($A110,'Mock Database'!$C$3:$C$152,0))))</f>
        <v/>
      </c>
      <c r="J110" s="89" t="str">
        <f ca="1">IF(ISNA(MATCH($A110,'Mock Database'!$C$3:$C$152,0)),"",IF(ISBLANK(OFFSET('Mock Database'!$AE$2,MATCH($A110,'Mock Database'!$C$3:$C$152,0),0)),"",INDEX('Mock Database'!$AE$3:$AE$152,MATCH($A110,'Mock Database'!$C$3:$C$152,0))))</f>
        <v/>
      </c>
      <c r="K110" s="22" t="str">
        <f ca="1">IF(ISNA(MATCH($A110,'Mock Database'!$C$3:$C$152,0)),"",IF(ISBLANK(OFFSET('Mock Database'!$AF$2,MATCH($A110,'Mock Database'!$C$3:$C$152,0),0)),"",INDEX('Mock Database'!$AF$3:$AF$152,MATCH($A110,'Mock Database'!$C$3:$C$152,0))))</f>
        <v/>
      </c>
      <c r="N110" t="e">
        <f t="shared" si="11"/>
        <v>#N/A</v>
      </c>
      <c r="O110" s="89" t="e">
        <f t="shared" ca="1" si="12"/>
        <v>#N/A</v>
      </c>
      <c r="P110" s="22" t="e">
        <f t="shared" ca="1" si="13"/>
        <v>#N/A</v>
      </c>
      <c r="Q110" s="89" t="e">
        <f t="shared" ca="1" si="14"/>
        <v>#N/A</v>
      </c>
      <c r="R110" s="22" t="e">
        <f t="shared" ca="1" si="15"/>
        <v>#N/A</v>
      </c>
      <c r="S110" s="89" t="e">
        <f t="shared" ca="1" si="16"/>
        <v>#N/A</v>
      </c>
      <c r="T110" s="22" t="e">
        <f t="shared" ca="1" si="17"/>
        <v>#N/A</v>
      </c>
      <c r="U110" s="89" t="e">
        <f t="shared" ca="1" si="18"/>
        <v>#N/A</v>
      </c>
      <c r="V110" s="22" t="e">
        <f t="shared" ca="1" si="19"/>
        <v>#N/A</v>
      </c>
      <c r="AM110" t="e">
        <f t="shared" si="20"/>
        <v>#N/A</v>
      </c>
      <c r="AN110" t="e">
        <f t="shared" ca="1" si="21"/>
        <v>#N/A</v>
      </c>
    </row>
    <row r="111" spans="1:40" ht="15" customHeight="1" x14ac:dyDescent="0.3">
      <c r="A111" s="87">
        <v>110</v>
      </c>
      <c r="B111" t="str">
        <f>IFERROR(INDEX('Mock Database'!$D$3:$D$152,MATCH($A111,'Mock Database'!$C$3:$C$152,0)),"")</f>
        <v/>
      </c>
      <c r="C111" s="88" t="str">
        <f>IFERROR(INDEX('Mock Database'!$I$3:$I$152,MATCH($A111,'Mock Database'!$C$3:$C$152,0)),"")</f>
        <v/>
      </c>
      <c r="D111" s="89" t="str">
        <f ca="1">IF(ISNA(MATCH($A111,'Mock Database'!$C$3:$C$152,0)),"",IF(ISBLANK(OFFSET('Mock Database'!$M$2,MATCH($A111,'Mock Database'!$C$3:$C$152,0),0)),"",INDEX('Mock Database'!$M$3:$M$152,MATCH($A111,'Mock Database'!$C$3:$C$152,0))))</f>
        <v/>
      </c>
      <c r="E111" s="22" t="str">
        <f ca="1">IF(ISNA(MATCH($A111,'Mock Database'!$C$3:$C$152,0)),"",IF(ISBLANK(OFFSET('Mock Database'!$N$2,MATCH($A111,'Mock Database'!$C$3:$C$152,0),0)),"",INDEX('Mock Database'!$N$3:$N$152,MATCH($A111,'Mock Database'!$C$3:$C$152,0))))</f>
        <v/>
      </c>
      <c r="F111" s="89" t="str">
        <f ca="1">IF(ISNA(MATCH($A111,'Mock Database'!$C$3:$C$152,0)),"",IF(ISBLANK(OFFSET('Mock Database'!$S$2,MATCH($A111,'Mock Database'!$C$3:$C$152,0),0)),"",INDEX('Mock Database'!$S$3:$S$152,MATCH($A111,'Mock Database'!$C$3:$C$152,0))))</f>
        <v/>
      </c>
      <c r="G111" s="22" t="str">
        <f ca="1">IF(ISNA(MATCH($A111,'Mock Database'!$C$3:$C$152,0)),"",IF(ISBLANK(OFFSET('Mock Database'!$T$2,MATCH($A111,'Mock Database'!$C$3:$C$152,0),0)),"",INDEX('Mock Database'!$T$3:$T$152,MATCH($A111,'Mock Database'!$C$3:$C$152,0))))</f>
        <v/>
      </c>
      <c r="H111" s="89" t="str">
        <f ca="1">IF(ISNA(MATCH($A111,'Mock Database'!$C$3:$C$152,0)),"",IF(ISBLANK(OFFSET('Mock Database'!$Y$2,MATCH($A111,'Mock Database'!$C$3:$C$152,0),0)),"",INDEX('Mock Database'!$Y$3:$Y$152,MATCH($A111,'Mock Database'!$C$3:$C$152,0))))</f>
        <v/>
      </c>
      <c r="I111" s="22" t="str">
        <f ca="1">IF(ISNA(MATCH($A111,'Mock Database'!$C$3:$C$152,0)),"",IF(ISBLANK(OFFSET('Mock Database'!$Z$2,MATCH($A111,'Mock Database'!$C$3:$C$152,0),0)),"",INDEX('Mock Database'!$Z$3:$Z$152,MATCH($A111,'Mock Database'!$C$3:$C$152,0))))</f>
        <v/>
      </c>
      <c r="J111" s="89" t="str">
        <f ca="1">IF(ISNA(MATCH($A111,'Mock Database'!$C$3:$C$152,0)),"",IF(ISBLANK(OFFSET('Mock Database'!$AE$2,MATCH($A111,'Mock Database'!$C$3:$C$152,0),0)),"",INDEX('Mock Database'!$AE$3:$AE$152,MATCH($A111,'Mock Database'!$C$3:$C$152,0))))</f>
        <v/>
      </c>
      <c r="K111" s="22" t="str">
        <f ca="1">IF(ISNA(MATCH($A111,'Mock Database'!$C$3:$C$152,0)),"",IF(ISBLANK(OFFSET('Mock Database'!$AF$2,MATCH($A111,'Mock Database'!$C$3:$C$152,0),0)),"",INDEX('Mock Database'!$AF$3:$AF$152,MATCH($A111,'Mock Database'!$C$3:$C$152,0))))</f>
        <v/>
      </c>
      <c r="N111" t="e">
        <f t="shared" si="11"/>
        <v>#N/A</v>
      </c>
      <c r="O111" s="89" t="e">
        <f t="shared" ca="1" si="12"/>
        <v>#N/A</v>
      </c>
      <c r="P111" s="22" t="e">
        <f t="shared" ca="1" si="13"/>
        <v>#N/A</v>
      </c>
      <c r="Q111" s="89" t="e">
        <f t="shared" ca="1" si="14"/>
        <v>#N/A</v>
      </c>
      <c r="R111" s="22" t="e">
        <f t="shared" ca="1" si="15"/>
        <v>#N/A</v>
      </c>
      <c r="S111" s="89" t="e">
        <f t="shared" ca="1" si="16"/>
        <v>#N/A</v>
      </c>
      <c r="T111" s="22" t="e">
        <f t="shared" ca="1" si="17"/>
        <v>#N/A</v>
      </c>
      <c r="U111" s="89" t="e">
        <f t="shared" ca="1" si="18"/>
        <v>#N/A</v>
      </c>
      <c r="V111" s="22" t="e">
        <f t="shared" ca="1" si="19"/>
        <v>#N/A</v>
      </c>
      <c r="AM111" t="e">
        <f t="shared" si="20"/>
        <v>#N/A</v>
      </c>
      <c r="AN111" t="e">
        <f t="shared" ca="1" si="21"/>
        <v>#N/A</v>
      </c>
    </row>
    <row r="112" spans="1:40" ht="15" customHeight="1" x14ac:dyDescent="0.3">
      <c r="A112" s="87">
        <v>111</v>
      </c>
      <c r="B112" t="str">
        <f>IFERROR(INDEX('Mock Database'!$D$3:$D$152,MATCH($A112,'Mock Database'!$C$3:$C$152,0)),"")</f>
        <v/>
      </c>
      <c r="C112" s="88" t="str">
        <f>IFERROR(INDEX('Mock Database'!$I$3:$I$152,MATCH($A112,'Mock Database'!$C$3:$C$152,0)),"")</f>
        <v/>
      </c>
      <c r="D112" s="89" t="str">
        <f ca="1">IF(ISNA(MATCH($A112,'Mock Database'!$C$3:$C$152,0)),"",IF(ISBLANK(OFFSET('Mock Database'!$M$2,MATCH($A112,'Mock Database'!$C$3:$C$152,0),0)),"",INDEX('Mock Database'!$M$3:$M$152,MATCH($A112,'Mock Database'!$C$3:$C$152,0))))</f>
        <v/>
      </c>
      <c r="E112" s="22" t="str">
        <f ca="1">IF(ISNA(MATCH($A112,'Mock Database'!$C$3:$C$152,0)),"",IF(ISBLANK(OFFSET('Mock Database'!$N$2,MATCH($A112,'Mock Database'!$C$3:$C$152,0),0)),"",INDEX('Mock Database'!$N$3:$N$152,MATCH($A112,'Mock Database'!$C$3:$C$152,0))))</f>
        <v/>
      </c>
      <c r="F112" s="89" t="str">
        <f ca="1">IF(ISNA(MATCH($A112,'Mock Database'!$C$3:$C$152,0)),"",IF(ISBLANK(OFFSET('Mock Database'!$S$2,MATCH($A112,'Mock Database'!$C$3:$C$152,0),0)),"",INDEX('Mock Database'!$S$3:$S$152,MATCH($A112,'Mock Database'!$C$3:$C$152,0))))</f>
        <v/>
      </c>
      <c r="G112" s="22" t="str">
        <f ca="1">IF(ISNA(MATCH($A112,'Mock Database'!$C$3:$C$152,0)),"",IF(ISBLANK(OFFSET('Mock Database'!$T$2,MATCH($A112,'Mock Database'!$C$3:$C$152,0),0)),"",INDEX('Mock Database'!$T$3:$T$152,MATCH($A112,'Mock Database'!$C$3:$C$152,0))))</f>
        <v/>
      </c>
      <c r="H112" s="89" t="str">
        <f ca="1">IF(ISNA(MATCH($A112,'Mock Database'!$C$3:$C$152,0)),"",IF(ISBLANK(OFFSET('Mock Database'!$Y$2,MATCH($A112,'Mock Database'!$C$3:$C$152,0),0)),"",INDEX('Mock Database'!$Y$3:$Y$152,MATCH($A112,'Mock Database'!$C$3:$C$152,0))))</f>
        <v/>
      </c>
      <c r="I112" s="22" t="str">
        <f ca="1">IF(ISNA(MATCH($A112,'Mock Database'!$C$3:$C$152,0)),"",IF(ISBLANK(OFFSET('Mock Database'!$Z$2,MATCH($A112,'Mock Database'!$C$3:$C$152,0),0)),"",INDEX('Mock Database'!$Z$3:$Z$152,MATCH($A112,'Mock Database'!$C$3:$C$152,0))))</f>
        <v/>
      </c>
      <c r="J112" s="89" t="str">
        <f ca="1">IF(ISNA(MATCH($A112,'Mock Database'!$C$3:$C$152,0)),"",IF(ISBLANK(OFFSET('Mock Database'!$AE$2,MATCH($A112,'Mock Database'!$C$3:$C$152,0),0)),"",INDEX('Mock Database'!$AE$3:$AE$152,MATCH($A112,'Mock Database'!$C$3:$C$152,0))))</f>
        <v/>
      </c>
      <c r="K112" s="22" t="str">
        <f ca="1">IF(ISNA(MATCH($A112,'Mock Database'!$C$3:$C$152,0)),"",IF(ISBLANK(OFFSET('Mock Database'!$AF$2,MATCH($A112,'Mock Database'!$C$3:$C$152,0),0)),"",INDEX('Mock Database'!$AF$3:$AF$152,MATCH($A112,'Mock Database'!$C$3:$C$152,0))))</f>
        <v/>
      </c>
      <c r="N112" t="e">
        <f t="shared" si="11"/>
        <v>#N/A</v>
      </c>
      <c r="O112" s="89" t="e">
        <f t="shared" ca="1" si="12"/>
        <v>#N/A</v>
      </c>
      <c r="P112" s="22" t="e">
        <f t="shared" ca="1" si="13"/>
        <v>#N/A</v>
      </c>
      <c r="Q112" s="89" t="e">
        <f t="shared" ca="1" si="14"/>
        <v>#N/A</v>
      </c>
      <c r="R112" s="22" t="e">
        <f t="shared" ca="1" si="15"/>
        <v>#N/A</v>
      </c>
      <c r="S112" s="89" t="e">
        <f t="shared" ca="1" si="16"/>
        <v>#N/A</v>
      </c>
      <c r="T112" s="22" t="e">
        <f t="shared" ca="1" si="17"/>
        <v>#N/A</v>
      </c>
      <c r="U112" s="89" t="e">
        <f t="shared" ca="1" si="18"/>
        <v>#N/A</v>
      </c>
      <c r="V112" s="22" t="e">
        <f t="shared" ca="1" si="19"/>
        <v>#N/A</v>
      </c>
      <c r="AM112" t="e">
        <f t="shared" si="20"/>
        <v>#N/A</v>
      </c>
      <c r="AN112" t="e">
        <f t="shared" ca="1" si="21"/>
        <v>#N/A</v>
      </c>
    </row>
    <row r="113" spans="1:40" ht="15" customHeight="1" x14ac:dyDescent="0.3">
      <c r="A113" s="87">
        <v>112</v>
      </c>
      <c r="B113" t="str">
        <f>IFERROR(INDEX('Mock Database'!$D$3:$D$152,MATCH($A113,'Mock Database'!$C$3:$C$152,0)),"")</f>
        <v/>
      </c>
      <c r="C113" s="88" t="str">
        <f>IFERROR(INDEX('Mock Database'!$I$3:$I$152,MATCH($A113,'Mock Database'!$C$3:$C$152,0)),"")</f>
        <v/>
      </c>
      <c r="D113" s="89" t="str">
        <f ca="1">IF(ISNA(MATCH($A113,'Mock Database'!$C$3:$C$152,0)),"",IF(ISBLANK(OFFSET('Mock Database'!$M$2,MATCH($A113,'Mock Database'!$C$3:$C$152,0),0)),"",INDEX('Mock Database'!$M$3:$M$152,MATCH($A113,'Mock Database'!$C$3:$C$152,0))))</f>
        <v/>
      </c>
      <c r="E113" s="22" t="str">
        <f ca="1">IF(ISNA(MATCH($A113,'Mock Database'!$C$3:$C$152,0)),"",IF(ISBLANK(OFFSET('Mock Database'!$N$2,MATCH($A113,'Mock Database'!$C$3:$C$152,0),0)),"",INDEX('Mock Database'!$N$3:$N$152,MATCH($A113,'Mock Database'!$C$3:$C$152,0))))</f>
        <v/>
      </c>
      <c r="F113" s="89" t="str">
        <f ca="1">IF(ISNA(MATCH($A113,'Mock Database'!$C$3:$C$152,0)),"",IF(ISBLANK(OFFSET('Mock Database'!$S$2,MATCH($A113,'Mock Database'!$C$3:$C$152,0),0)),"",INDEX('Mock Database'!$S$3:$S$152,MATCH($A113,'Mock Database'!$C$3:$C$152,0))))</f>
        <v/>
      </c>
      <c r="G113" s="22" t="str">
        <f ca="1">IF(ISNA(MATCH($A113,'Mock Database'!$C$3:$C$152,0)),"",IF(ISBLANK(OFFSET('Mock Database'!$T$2,MATCH($A113,'Mock Database'!$C$3:$C$152,0),0)),"",INDEX('Mock Database'!$T$3:$T$152,MATCH($A113,'Mock Database'!$C$3:$C$152,0))))</f>
        <v/>
      </c>
      <c r="H113" s="89" t="str">
        <f ca="1">IF(ISNA(MATCH($A113,'Mock Database'!$C$3:$C$152,0)),"",IF(ISBLANK(OFFSET('Mock Database'!$Y$2,MATCH($A113,'Mock Database'!$C$3:$C$152,0),0)),"",INDEX('Mock Database'!$Y$3:$Y$152,MATCH($A113,'Mock Database'!$C$3:$C$152,0))))</f>
        <v/>
      </c>
      <c r="I113" s="22" t="str">
        <f ca="1">IF(ISNA(MATCH($A113,'Mock Database'!$C$3:$C$152,0)),"",IF(ISBLANK(OFFSET('Mock Database'!$Z$2,MATCH($A113,'Mock Database'!$C$3:$C$152,0),0)),"",INDEX('Mock Database'!$Z$3:$Z$152,MATCH($A113,'Mock Database'!$C$3:$C$152,0))))</f>
        <v/>
      </c>
      <c r="J113" s="89" t="str">
        <f ca="1">IF(ISNA(MATCH($A113,'Mock Database'!$C$3:$C$152,0)),"",IF(ISBLANK(OFFSET('Mock Database'!$AE$2,MATCH($A113,'Mock Database'!$C$3:$C$152,0),0)),"",INDEX('Mock Database'!$AE$3:$AE$152,MATCH($A113,'Mock Database'!$C$3:$C$152,0))))</f>
        <v/>
      </c>
      <c r="K113" s="22" t="str">
        <f ca="1">IF(ISNA(MATCH($A113,'Mock Database'!$C$3:$C$152,0)),"",IF(ISBLANK(OFFSET('Mock Database'!$AF$2,MATCH($A113,'Mock Database'!$C$3:$C$152,0),0)),"",INDEX('Mock Database'!$AF$3:$AF$152,MATCH($A113,'Mock Database'!$C$3:$C$152,0))))</f>
        <v/>
      </c>
      <c r="N113" t="e">
        <f t="shared" si="11"/>
        <v>#N/A</v>
      </c>
      <c r="O113" s="89" t="e">
        <f t="shared" ca="1" si="12"/>
        <v>#N/A</v>
      </c>
      <c r="P113" s="22" t="e">
        <f t="shared" ca="1" si="13"/>
        <v>#N/A</v>
      </c>
      <c r="Q113" s="89" t="e">
        <f t="shared" ca="1" si="14"/>
        <v>#N/A</v>
      </c>
      <c r="R113" s="22" t="e">
        <f t="shared" ca="1" si="15"/>
        <v>#N/A</v>
      </c>
      <c r="S113" s="89" t="e">
        <f t="shared" ca="1" si="16"/>
        <v>#N/A</v>
      </c>
      <c r="T113" s="22" t="e">
        <f t="shared" ca="1" si="17"/>
        <v>#N/A</v>
      </c>
      <c r="U113" s="89" t="e">
        <f t="shared" ca="1" si="18"/>
        <v>#N/A</v>
      </c>
      <c r="V113" s="22" t="e">
        <f t="shared" ca="1" si="19"/>
        <v>#N/A</v>
      </c>
      <c r="AM113" t="e">
        <f t="shared" si="20"/>
        <v>#N/A</v>
      </c>
      <c r="AN113" t="e">
        <f t="shared" ca="1" si="21"/>
        <v>#N/A</v>
      </c>
    </row>
    <row r="114" spans="1:40" ht="15" customHeight="1" x14ac:dyDescent="0.3">
      <c r="A114" s="87">
        <v>113</v>
      </c>
      <c r="B114" t="str">
        <f>IFERROR(INDEX('Mock Database'!$D$3:$D$152,MATCH($A114,'Mock Database'!$C$3:$C$152,0)),"")</f>
        <v/>
      </c>
      <c r="C114" s="88" t="str">
        <f>IFERROR(INDEX('Mock Database'!$I$3:$I$152,MATCH($A114,'Mock Database'!$C$3:$C$152,0)),"")</f>
        <v/>
      </c>
      <c r="D114" s="89" t="str">
        <f ca="1">IF(ISNA(MATCH($A114,'Mock Database'!$C$3:$C$152,0)),"",IF(ISBLANK(OFFSET('Mock Database'!$M$2,MATCH($A114,'Mock Database'!$C$3:$C$152,0),0)),"",INDEX('Mock Database'!$M$3:$M$152,MATCH($A114,'Mock Database'!$C$3:$C$152,0))))</f>
        <v/>
      </c>
      <c r="E114" s="22" t="str">
        <f ca="1">IF(ISNA(MATCH($A114,'Mock Database'!$C$3:$C$152,0)),"",IF(ISBLANK(OFFSET('Mock Database'!$N$2,MATCH($A114,'Mock Database'!$C$3:$C$152,0),0)),"",INDEX('Mock Database'!$N$3:$N$152,MATCH($A114,'Mock Database'!$C$3:$C$152,0))))</f>
        <v/>
      </c>
      <c r="F114" s="89" t="str">
        <f ca="1">IF(ISNA(MATCH($A114,'Mock Database'!$C$3:$C$152,0)),"",IF(ISBLANK(OFFSET('Mock Database'!$S$2,MATCH($A114,'Mock Database'!$C$3:$C$152,0),0)),"",INDEX('Mock Database'!$S$3:$S$152,MATCH($A114,'Mock Database'!$C$3:$C$152,0))))</f>
        <v/>
      </c>
      <c r="G114" s="22" t="str">
        <f ca="1">IF(ISNA(MATCH($A114,'Mock Database'!$C$3:$C$152,0)),"",IF(ISBLANK(OFFSET('Mock Database'!$T$2,MATCH($A114,'Mock Database'!$C$3:$C$152,0),0)),"",INDEX('Mock Database'!$T$3:$T$152,MATCH($A114,'Mock Database'!$C$3:$C$152,0))))</f>
        <v/>
      </c>
      <c r="H114" s="89" t="str">
        <f ca="1">IF(ISNA(MATCH($A114,'Mock Database'!$C$3:$C$152,0)),"",IF(ISBLANK(OFFSET('Mock Database'!$Y$2,MATCH($A114,'Mock Database'!$C$3:$C$152,0),0)),"",INDEX('Mock Database'!$Y$3:$Y$152,MATCH($A114,'Mock Database'!$C$3:$C$152,0))))</f>
        <v/>
      </c>
      <c r="I114" s="22" t="str">
        <f ca="1">IF(ISNA(MATCH($A114,'Mock Database'!$C$3:$C$152,0)),"",IF(ISBLANK(OFFSET('Mock Database'!$Z$2,MATCH($A114,'Mock Database'!$C$3:$C$152,0),0)),"",INDEX('Mock Database'!$Z$3:$Z$152,MATCH($A114,'Mock Database'!$C$3:$C$152,0))))</f>
        <v/>
      </c>
      <c r="J114" s="89" t="str">
        <f ca="1">IF(ISNA(MATCH($A114,'Mock Database'!$C$3:$C$152,0)),"",IF(ISBLANK(OFFSET('Mock Database'!$AE$2,MATCH($A114,'Mock Database'!$C$3:$C$152,0),0)),"",INDEX('Mock Database'!$AE$3:$AE$152,MATCH($A114,'Mock Database'!$C$3:$C$152,0))))</f>
        <v/>
      </c>
      <c r="K114" s="22" t="str">
        <f ca="1">IF(ISNA(MATCH($A114,'Mock Database'!$C$3:$C$152,0)),"",IF(ISBLANK(OFFSET('Mock Database'!$AF$2,MATCH($A114,'Mock Database'!$C$3:$C$152,0),0)),"",INDEX('Mock Database'!$AF$3:$AF$152,MATCH($A114,'Mock Database'!$C$3:$C$152,0))))</f>
        <v/>
      </c>
      <c r="N114" t="e">
        <f t="shared" si="11"/>
        <v>#N/A</v>
      </c>
      <c r="O114" s="89" t="e">
        <f t="shared" ca="1" si="12"/>
        <v>#N/A</v>
      </c>
      <c r="P114" s="22" t="e">
        <f t="shared" ca="1" si="13"/>
        <v>#N/A</v>
      </c>
      <c r="Q114" s="89" t="e">
        <f t="shared" ca="1" si="14"/>
        <v>#N/A</v>
      </c>
      <c r="R114" s="22" t="e">
        <f t="shared" ca="1" si="15"/>
        <v>#N/A</v>
      </c>
      <c r="S114" s="89" t="e">
        <f t="shared" ca="1" si="16"/>
        <v>#N/A</v>
      </c>
      <c r="T114" s="22" t="e">
        <f t="shared" ca="1" si="17"/>
        <v>#N/A</v>
      </c>
      <c r="U114" s="89" t="e">
        <f t="shared" ca="1" si="18"/>
        <v>#N/A</v>
      </c>
      <c r="V114" s="22" t="e">
        <f t="shared" ca="1" si="19"/>
        <v>#N/A</v>
      </c>
      <c r="AM114" t="e">
        <f t="shared" si="20"/>
        <v>#N/A</v>
      </c>
      <c r="AN114" t="e">
        <f t="shared" ca="1" si="21"/>
        <v>#N/A</v>
      </c>
    </row>
    <row r="115" spans="1:40" ht="15" customHeight="1" x14ac:dyDescent="0.3">
      <c r="A115" s="87">
        <v>114</v>
      </c>
      <c r="B115" t="str">
        <f>IFERROR(INDEX('Mock Database'!$D$3:$D$152,MATCH($A115,'Mock Database'!$C$3:$C$152,0)),"")</f>
        <v/>
      </c>
      <c r="C115" s="88" t="str">
        <f>IFERROR(INDEX('Mock Database'!$I$3:$I$152,MATCH($A115,'Mock Database'!$C$3:$C$152,0)),"")</f>
        <v/>
      </c>
      <c r="D115" s="89" t="str">
        <f ca="1">IF(ISNA(MATCH($A115,'Mock Database'!$C$3:$C$152,0)),"",IF(ISBLANK(OFFSET('Mock Database'!$M$2,MATCH($A115,'Mock Database'!$C$3:$C$152,0),0)),"",INDEX('Mock Database'!$M$3:$M$152,MATCH($A115,'Mock Database'!$C$3:$C$152,0))))</f>
        <v/>
      </c>
      <c r="E115" s="22" t="str">
        <f ca="1">IF(ISNA(MATCH($A115,'Mock Database'!$C$3:$C$152,0)),"",IF(ISBLANK(OFFSET('Mock Database'!$N$2,MATCH($A115,'Mock Database'!$C$3:$C$152,0),0)),"",INDEX('Mock Database'!$N$3:$N$152,MATCH($A115,'Mock Database'!$C$3:$C$152,0))))</f>
        <v/>
      </c>
      <c r="F115" s="89" t="str">
        <f ca="1">IF(ISNA(MATCH($A115,'Mock Database'!$C$3:$C$152,0)),"",IF(ISBLANK(OFFSET('Mock Database'!$S$2,MATCH($A115,'Mock Database'!$C$3:$C$152,0),0)),"",INDEX('Mock Database'!$S$3:$S$152,MATCH($A115,'Mock Database'!$C$3:$C$152,0))))</f>
        <v/>
      </c>
      <c r="G115" s="22" t="str">
        <f ca="1">IF(ISNA(MATCH($A115,'Mock Database'!$C$3:$C$152,0)),"",IF(ISBLANK(OFFSET('Mock Database'!$T$2,MATCH($A115,'Mock Database'!$C$3:$C$152,0),0)),"",INDEX('Mock Database'!$T$3:$T$152,MATCH($A115,'Mock Database'!$C$3:$C$152,0))))</f>
        <v/>
      </c>
      <c r="H115" s="89" t="str">
        <f ca="1">IF(ISNA(MATCH($A115,'Mock Database'!$C$3:$C$152,0)),"",IF(ISBLANK(OFFSET('Mock Database'!$Y$2,MATCH($A115,'Mock Database'!$C$3:$C$152,0),0)),"",INDEX('Mock Database'!$Y$3:$Y$152,MATCH($A115,'Mock Database'!$C$3:$C$152,0))))</f>
        <v/>
      </c>
      <c r="I115" s="22" t="str">
        <f ca="1">IF(ISNA(MATCH($A115,'Mock Database'!$C$3:$C$152,0)),"",IF(ISBLANK(OFFSET('Mock Database'!$Z$2,MATCH($A115,'Mock Database'!$C$3:$C$152,0),0)),"",INDEX('Mock Database'!$Z$3:$Z$152,MATCH($A115,'Mock Database'!$C$3:$C$152,0))))</f>
        <v/>
      </c>
      <c r="J115" s="89" t="str">
        <f ca="1">IF(ISNA(MATCH($A115,'Mock Database'!$C$3:$C$152,0)),"",IF(ISBLANK(OFFSET('Mock Database'!$AE$2,MATCH($A115,'Mock Database'!$C$3:$C$152,0),0)),"",INDEX('Mock Database'!$AE$3:$AE$152,MATCH($A115,'Mock Database'!$C$3:$C$152,0))))</f>
        <v/>
      </c>
      <c r="K115" s="22" t="str">
        <f ca="1">IF(ISNA(MATCH($A115,'Mock Database'!$C$3:$C$152,0)),"",IF(ISBLANK(OFFSET('Mock Database'!$AF$2,MATCH($A115,'Mock Database'!$C$3:$C$152,0),0)),"",INDEX('Mock Database'!$AF$3:$AF$152,MATCH($A115,'Mock Database'!$C$3:$C$152,0))))</f>
        <v/>
      </c>
      <c r="N115" t="e">
        <f t="shared" si="11"/>
        <v>#N/A</v>
      </c>
      <c r="O115" s="89" t="e">
        <f t="shared" ca="1" si="12"/>
        <v>#N/A</v>
      </c>
      <c r="P115" s="22" t="e">
        <f t="shared" ca="1" si="13"/>
        <v>#N/A</v>
      </c>
      <c r="Q115" s="89" t="e">
        <f t="shared" ca="1" si="14"/>
        <v>#N/A</v>
      </c>
      <c r="R115" s="22" t="e">
        <f t="shared" ca="1" si="15"/>
        <v>#N/A</v>
      </c>
      <c r="S115" s="89" t="e">
        <f t="shared" ca="1" si="16"/>
        <v>#N/A</v>
      </c>
      <c r="T115" s="22" t="e">
        <f t="shared" ca="1" si="17"/>
        <v>#N/A</v>
      </c>
      <c r="U115" s="89" t="e">
        <f t="shared" ca="1" si="18"/>
        <v>#N/A</v>
      </c>
      <c r="V115" s="22" t="e">
        <f t="shared" ca="1" si="19"/>
        <v>#N/A</v>
      </c>
      <c r="AM115" t="e">
        <f t="shared" si="20"/>
        <v>#N/A</v>
      </c>
      <c r="AN115" t="e">
        <f t="shared" ca="1" si="21"/>
        <v>#N/A</v>
      </c>
    </row>
    <row r="116" spans="1:40" ht="15" customHeight="1" x14ac:dyDescent="0.3">
      <c r="A116" s="87">
        <v>115</v>
      </c>
      <c r="B116" t="str">
        <f>IFERROR(INDEX('Mock Database'!$D$3:$D$152,MATCH($A116,'Mock Database'!$C$3:$C$152,0)),"")</f>
        <v/>
      </c>
      <c r="C116" s="88" t="str">
        <f>IFERROR(INDEX('Mock Database'!$I$3:$I$152,MATCH($A116,'Mock Database'!$C$3:$C$152,0)),"")</f>
        <v/>
      </c>
      <c r="D116" s="89" t="str">
        <f ca="1">IF(ISNA(MATCH($A116,'Mock Database'!$C$3:$C$152,0)),"",IF(ISBLANK(OFFSET('Mock Database'!$M$2,MATCH($A116,'Mock Database'!$C$3:$C$152,0),0)),"",INDEX('Mock Database'!$M$3:$M$152,MATCH($A116,'Mock Database'!$C$3:$C$152,0))))</f>
        <v/>
      </c>
      <c r="E116" s="22" t="str">
        <f ca="1">IF(ISNA(MATCH($A116,'Mock Database'!$C$3:$C$152,0)),"",IF(ISBLANK(OFFSET('Mock Database'!$N$2,MATCH($A116,'Mock Database'!$C$3:$C$152,0),0)),"",INDEX('Mock Database'!$N$3:$N$152,MATCH($A116,'Mock Database'!$C$3:$C$152,0))))</f>
        <v/>
      </c>
      <c r="F116" s="89" t="str">
        <f ca="1">IF(ISNA(MATCH($A116,'Mock Database'!$C$3:$C$152,0)),"",IF(ISBLANK(OFFSET('Mock Database'!$S$2,MATCH($A116,'Mock Database'!$C$3:$C$152,0),0)),"",INDEX('Mock Database'!$S$3:$S$152,MATCH($A116,'Mock Database'!$C$3:$C$152,0))))</f>
        <v/>
      </c>
      <c r="G116" s="22" t="str">
        <f ca="1">IF(ISNA(MATCH($A116,'Mock Database'!$C$3:$C$152,0)),"",IF(ISBLANK(OFFSET('Mock Database'!$T$2,MATCH($A116,'Mock Database'!$C$3:$C$152,0),0)),"",INDEX('Mock Database'!$T$3:$T$152,MATCH($A116,'Mock Database'!$C$3:$C$152,0))))</f>
        <v/>
      </c>
      <c r="H116" s="89" t="str">
        <f ca="1">IF(ISNA(MATCH($A116,'Mock Database'!$C$3:$C$152,0)),"",IF(ISBLANK(OFFSET('Mock Database'!$Y$2,MATCH($A116,'Mock Database'!$C$3:$C$152,0),0)),"",INDEX('Mock Database'!$Y$3:$Y$152,MATCH($A116,'Mock Database'!$C$3:$C$152,0))))</f>
        <v/>
      </c>
      <c r="I116" s="22" t="str">
        <f ca="1">IF(ISNA(MATCH($A116,'Mock Database'!$C$3:$C$152,0)),"",IF(ISBLANK(OFFSET('Mock Database'!$Z$2,MATCH($A116,'Mock Database'!$C$3:$C$152,0),0)),"",INDEX('Mock Database'!$Z$3:$Z$152,MATCH($A116,'Mock Database'!$C$3:$C$152,0))))</f>
        <v/>
      </c>
      <c r="J116" s="89" t="str">
        <f ca="1">IF(ISNA(MATCH($A116,'Mock Database'!$C$3:$C$152,0)),"",IF(ISBLANK(OFFSET('Mock Database'!$AE$2,MATCH($A116,'Mock Database'!$C$3:$C$152,0),0)),"",INDEX('Mock Database'!$AE$3:$AE$152,MATCH($A116,'Mock Database'!$C$3:$C$152,0))))</f>
        <v/>
      </c>
      <c r="K116" s="22" t="str">
        <f ca="1">IF(ISNA(MATCH($A116,'Mock Database'!$C$3:$C$152,0)),"",IF(ISBLANK(OFFSET('Mock Database'!$AF$2,MATCH($A116,'Mock Database'!$C$3:$C$152,0),0)),"",INDEX('Mock Database'!$AF$3:$AF$152,MATCH($A116,'Mock Database'!$C$3:$C$152,0))))</f>
        <v/>
      </c>
      <c r="N116" t="e">
        <f t="shared" si="11"/>
        <v>#N/A</v>
      </c>
      <c r="O116" s="89" t="e">
        <f t="shared" ca="1" si="12"/>
        <v>#N/A</v>
      </c>
      <c r="P116" s="22" t="e">
        <f t="shared" ca="1" si="13"/>
        <v>#N/A</v>
      </c>
      <c r="Q116" s="89" t="e">
        <f t="shared" ca="1" si="14"/>
        <v>#N/A</v>
      </c>
      <c r="R116" s="22" t="e">
        <f t="shared" ca="1" si="15"/>
        <v>#N/A</v>
      </c>
      <c r="S116" s="89" t="e">
        <f t="shared" ca="1" si="16"/>
        <v>#N/A</v>
      </c>
      <c r="T116" s="22" t="e">
        <f t="shared" ca="1" si="17"/>
        <v>#N/A</v>
      </c>
      <c r="U116" s="89" t="e">
        <f t="shared" ca="1" si="18"/>
        <v>#N/A</v>
      </c>
      <c r="V116" s="22" t="e">
        <f t="shared" ca="1" si="19"/>
        <v>#N/A</v>
      </c>
      <c r="AM116" t="e">
        <f t="shared" si="20"/>
        <v>#N/A</v>
      </c>
      <c r="AN116" t="e">
        <f t="shared" ca="1" si="21"/>
        <v>#N/A</v>
      </c>
    </row>
    <row r="117" spans="1:40" ht="15" customHeight="1" x14ac:dyDescent="0.3">
      <c r="A117" s="87">
        <v>116</v>
      </c>
      <c r="B117" t="str">
        <f>IFERROR(INDEX('Mock Database'!$D$3:$D$152,MATCH($A117,'Mock Database'!$C$3:$C$152,0)),"")</f>
        <v/>
      </c>
      <c r="C117" s="88" t="str">
        <f>IFERROR(INDEX('Mock Database'!$I$3:$I$152,MATCH($A117,'Mock Database'!$C$3:$C$152,0)),"")</f>
        <v/>
      </c>
      <c r="D117" s="89" t="str">
        <f ca="1">IF(ISNA(MATCH($A117,'Mock Database'!$C$3:$C$152,0)),"",IF(ISBLANK(OFFSET('Mock Database'!$M$2,MATCH($A117,'Mock Database'!$C$3:$C$152,0),0)),"",INDEX('Mock Database'!$M$3:$M$152,MATCH($A117,'Mock Database'!$C$3:$C$152,0))))</f>
        <v/>
      </c>
      <c r="E117" s="22" t="str">
        <f ca="1">IF(ISNA(MATCH($A117,'Mock Database'!$C$3:$C$152,0)),"",IF(ISBLANK(OFFSET('Mock Database'!$N$2,MATCH($A117,'Mock Database'!$C$3:$C$152,0),0)),"",INDEX('Mock Database'!$N$3:$N$152,MATCH($A117,'Mock Database'!$C$3:$C$152,0))))</f>
        <v/>
      </c>
      <c r="F117" s="89" t="str">
        <f ca="1">IF(ISNA(MATCH($A117,'Mock Database'!$C$3:$C$152,0)),"",IF(ISBLANK(OFFSET('Mock Database'!$S$2,MATCH($A117,'Mock Database'!$C$3:$C$152,0),0)),"",INDEX('Mock Database'!$S$3:$S$152,MATCH($A117,'Mock Database'!$C$3:$C$152,0))))</f>
        <v/>
      </c>
      <c r="G117" s="22" t="str">
        <f ca="1">IF(ISNA(MATCH($A117,'Mock Database'!$C$3:$C$152,0)),"",IF(ISBLANK(OFFSET('Mock Database'!$T$2,MATCH($A117,'Mock Database'!$C$3:$C$152,0),0)),"",INDEX('Mock Database'!$T$3:$T$152,MATCH($A117,'Mock Database'!$C$3:$C$152,0))))</f>
        <v/>
      </c>
      <c r="H117" s="89" t="str">
        <f ca="1">IF(ISNA(MATCH($A117,'Mock Database'!$C$3:$C$152,0)),"",IF(ISBLANK(OFFSET('Mock Database'!$Y$2,MATCH($A117,'Mock Database'!$C$3:$C$152,0),0)),"",INDEX('Mock Database'!$Y$3:$Y$152,MATCH($A117,'Mock Database'!$C$3:$C$152,0))))</f>
        <v/>
      </c>
      <c r="I117" s="22" t="str">
        <f ca="1">IF(ISNA(MATCH($A117,'Mock Database'!$C$3:$C$152,0)),"",IF(ISBLANK(OFFSET('Mock Database'!$Z$2,MATCH($A117,'Mock Database'!$C$3:$C$152,0),0)),"",INDEX('Mock Database'!$Z$3:$Z$152,MATCH($A117,'Mock Database'!$C$3:$C$152,0))))</f>
        <v/>
      </c>
      <c r="J117" s="89" t="str">
        <f ca="1">IF(ISNA(MATCH($A117,'Mock Database'!$C$3:$C$152,0)),"",IF(ISBLANK(OFFSET('Mock Database'!$AE$2,MATCH($A117,'Mock Database'!$C$3:$C$152,0),0)),"",INDEX('Mock Database'!$AE$3:$AE$152,MATCH($A117,'Mock Database'!$C$3:$C$152,0))))</f>
        <v/>
      </c>
      <c r="K117" s="22" t="str">
        <f ca="1">IF(ISNA(MATCH($A117,'Mock Database'!$C$3:$C$152,0)),"",IF(ISBLANK(OFFSET('Mock Database'!$AF$2,MATCH($A117,'Mock Database'!$C$3:$C$152,0),0)),"",INDEX('Mock Database'!$AF$3:$AF$152,MATCH($A117,'Mock Database'!$C$3:$C$152,0))))</f>
        <v/>
      </c>
      <c r="N117" t="e">
        <f t="shared" si="11"/>
        <v>#N/A</v>
      </c>
      <c r="O117" s="89" t="e">
        <f t="shared" ca="1" si="12"/>
        <v>#N/A</v>
      </c>
      <c r="P117" s="22" t="e">
        <f t="shared" ca="1" si="13"/>
        <v>#N/A</v>
      </c>
      <c r="Q117" s="89" t="e">
        <f t="shared" ca="1" si="14"/>
        <v>#N/A</v>
      </c>
      <c r="R117" s="22" t="e">
        <f t="shared" ca="1" si="15"/>
        <v>#N/A</v>
      </c>
      <c r="S117" s="89" t="e">
        <f t="shared" ca="1" si="16"/>
        <v>#N/A</v>
      </c>
      <c r="T117" s="22" t="e">
        <f t="shared" ca="1" si="17"/>
        <v>#N/A</v>
      </c>
      <c r="U117" s="89" t="e">
        <f t="shared" ca="1" si="18"/>
        <v>#N/A</v>
      </c>
      <c r="V117" s="22" t="e">
        <f t="shared" ca="1" si="19"/>
        <v>#N/A</v>
      </c>
      <c r="AM117" t="e">
        <f t="shared" si="20"/>
        <v>#N/A</v>
      </c>
      <c r="AN117" t="e">
        <f t="shared" ca="1" si="21"/>
        <v>#N/A</v>
      </c>
    </row>
    <row r="118" spans="1:40" ht="15" customHeight="1" x14ac:dyDescent="0.3">
      <c r="A118" s="87">
        <v>117</v>
      </c>
      <c r="B118" t="str">
        <f>IFERROR(INDEX('Mock Database'!$D$3:$D$152,MATCH($A118,'Mock Database'!$C$3:$C$152,0)),"")</f>
        <v/>
      </c>
      <c r="C118" s="88" t="str">
        <f>IFERROR(INDEX('Mock Database'!$I$3:$I$152,MATCH($A118,'Mock Database'!$C$3:$C$152,0)),"")</f>
        <v/>
      </c>
      <c r="D118" s="89" t="str">
        <f ca="1">IF(ISNA(MATCH($A118,'Mock Database'!$C$3:$C$152,0)),"",IF(ISBLANK(OFFSET('Mock Database'!$M$2,MATCH($A118,'Mock Database'!$C$3:$C$152,0),0)),"",INDEX('Mock Database'!$M$3:$M$152,MATCH($A118,'Mock Database'!$C$3:$C$152,0))))</f>
        <v/>
      </c>
      <c r="E118" s="22" t="str">
        <f ca="1">IF(ISNA(MATCH($A118,'Mock Database'!$C$3:$C$152,0)),"",IF(ISBLANK(OFFSET('Mock Database'!$N$2,MATCH($A118,'Mock Database'!$C$3:$C$152,0),0)),"",INDEX('Mock Database'!$N$3:$N$152,MATCH($A118,'Mock Database'!$C$3:$C$152,0))))</f>
        <v/>
      </c>
      <c r="F118" s="89" t="str">
        <f ca="1">IF(ISNA(MATCH($A118,'Mock Database'!$C$3:$C$152,0)),"",IF(ISBLANK(OFFSET('Mock Database'!$S$2,MATCH($A118,'Mock Database'!$C$3:$C$152,0),0)),"",INDEX('Mock Database'!$S$3:$S$152,MATCH($A118,'Mock Database'!$C$3:$C$152,0))))</f>
        <v/>
      </c>
      <c r="G118" s="22" t="str">
        <f ca="1">IF(ISNA(MATCH($A118,'Mock Database'!$C$3:$C$152,0)),"",IF(ISBLANK(OFFSET('Mock Database'!$T$2,MATCH($A118,'Mock Database'!$C$3:$C$152,0),0)),"",INDEX('Mock Database'!$T$3:$T$152,MATCH($A118,'Mock Database'!$C$3:$C$152,0))))</f>
        <v/>
      </c>
      <c r="H118" s="89" t="str">
        <f ca="1">IF(ISNA(MATCH($A118,'Mock Database'!$C$3:$C$152,0)),"",IF(ISBLANK(OFFSET('Mock Database'!$Y$2,MATCH($A118,'Mock Database'!$C$3:$C$152,0),0)),"",INDEX('Mock Database'!$Y$3:$Y$152,MATCH($A118,'Mock Database'!$C$3:$C$152,0))))</f>
        <v/>
      </c>
      <c r="I118" s="22" t="str">
        <f ca="1">IF(ISNA(MATCH($A118,'Mock Database'!$C$3:$C$152,0)),"",IF(ISBLANK(OFFSET('Mock Database'!$Z$2,MATCH($A118,'Mock Database'!$C$3:$C$152,0),0)),"",INDEX('Mock Database'!$Z$3:$Z$152,MATCH($A118,'Mock Database'!$C$3:$C$152,0))))</f>
        <v/>
      </c>
      <c r="J118" s="89" t="str">
        <f ca="1">IF(ISNA(MATCH($A118,'Mock Database'!$C$3:$C$152,0)),"",IF(ISBLANK(OFFSET('Mock Database'!$AE$2,MATCH($A118,'Mock Database'!$C$3:$C$152,0),0)),"",INDEX('Mock Database'!$AE$3:$AE$152,MATCH($A118,'Mock Database'!$C$3:$C$152,0))))</f>
        <v/>
      </c>
      <c r="K118" s="22" t="str">
        <f ca="1">IF(ISNA(MATCH($A118,'Mock Database'!$C$3:$C$152,0)),"",IF(ISBLANK(OFFSET('Mock Database'!$AF$2,MATCH($A118,'Mock Database'!$C$3:$C$152,0),0)),"",INDEX('Mock Database'!$AF$3:$AF$152,MATCH($A118,'Mock Database'!$C$3:$C$152,0))))</f>
        <v/>
      </c>
      <c r="N118" t="e">
        <f t="shared" si="11"/>
        <v>#N/A</v>
      </c>
      <c r="O118" s="89" t="e">
        <f t="shared" ca="1" si="12"/>
        <v>#N/A</v>
      </c>
      <c r="P118" s="22" t="e">
        <f t="shared" ca="1" si="13"/>
        <v>#N/A</v>
      </c>
      <c r="Q118" s="89" t="e">
        <f t="shared" ca="1" si="14"/>
        <v>#N/A</v>
      </c>
      <c r="R118" s="22" t="e">
        <f t="shared" ca="1" si="15"/>
        <v>#N/A</v>
      </c>
      <c r="S118" s="89" t="e">
        <f t="shared" ca="1" si="16"/>
        <v>#N/A</v>
      </c>
      <c r="T118" s="22" t="e">
        <f t="shared" ca="1" si="17"/>
        <v>#N/A</v>
      </c>
      <c r="U118" s="89" t="e">
        <f t="shared" ca="1" si="18"/>
        <v>#N/A</v>
      </c>
      <c r="V118" s="22" t="e">
        <f t="shared" ca="1" si="19"/>
        <v>#N/A</v>
      </c>
      <c r="AM118" t="e">
        <f t="shared" si="20"/>
        <v>#N/A</v>
      </c>
      <c r="AN118" t="e">
        <f t="shared" ca="1" si="21"/>
        <v>#N/A</v>
      </c>
    </row>
    <row r="119" spans="1:40" ht="15" customHeight="1" x14ac:dyDescent="0.3">
      <c r="A119" s="87">
        <v>118</v>
      </c>
      <c r="B119" t="str">
        <f>IFERROR(INDEX('Mock Database'!$D$3:$D$152,MATCH($A119,'Mock Database'!$C$3:$C$152,0)),"")</f>
        <v/>
      </c>
      <c r="C119" s="88" t="str">
        <f>IFERROR(INDEX('Mock Database'!$I$3:$I$152,MATCH($A119,'Mock Database'!$C$3:$C$152,0)),"")</f>
        <v/>
      </c>
      <c r="D119" s="89" t="str">
        <f ca="1">IF(ISNA(MATCH($A119,'Mock Database'!$C$3:$C$152,0)),"",IF(ISBLANK(OFFSET('Mock Database'!$M$2,MATCH($A119,'Mock Database'!$C$3:$C$152,0),0)),"",INDEX('Mock Database'!$M$3:$M$152,MATCH($A119,'Mock Database'!$C$3:$C$152,0))))</f>
        <v/>
      </c>
      <c r="E119" s="22" t="str">
        <f ca="1">IF(ISNA(MATCH($A119,'Mock Database'!$C$3:$C$152,0)),"",IF(ISBLANK(OFFSET('Mock Database'!$N$2,MATCH($A119,'Mock Database'!$C$3:$C$152,0),0)),"",INDEX('Mock Database'!$N$3:$N$152,MATCH($A119,'Mock Database'!$C$3:$C$152,0))))</f>
        <v/>
      </c>
      <c r="F119" s="89" t="str">
        <f ca="1">IF(ISNA(MATCH($A119,'Mock Database'!$C$3:$C$152,0)),"",IF(ISBLANK(OFFSET('Mock Database'!$S$2,MATCH($A119,'Mock Database'!$C$3:$C$152,0),0)),"",INDEX('Mock Database'!$S$3:$S$152,MATCH($A119,'Mock Database'!$C$3:$C$152,0))))</f>
        <v/>
      </c>
      <c r="G119" s="22" t="str">
        <f ca="1">IF(ISNA(MATCH($A119,'Mock Database'!$C$3:$C$152,0)),"",IF(ISBLANK(OFFSET('Mock Database'!$T$2,MATCH($A119,'Mock Database'!$C$3:$C$152,0),0)),"",INDEX('Mock Database'!$T$3:$T$152,MATCH($A119,'Mock Database'!$C$3:$C$152,0))))</f>
        <v/>
      </c>
      <c r="H119" s="89" t="str">
        <f ca="1">IF(ISNA(MATCH($A119,'Mock Database'!$C$3:$C$152,0)),"",IF(ISBLANK(OFFSET('Mock Database'!$Y$2,MATCH($A119,'Mock Database'!$C$3:$C$152,0),0)),"",INDEX('Mock Database'!$Y$3:$Y$152,MATCH($A119,'Mock Database'!$C$3:$C$152,0))))</f>
        <v/>
      </c>
      <c r="I119" s="22" t="str">
        <f ca="1">IF(ISNA(MATCH($A119,'Mock Database'!$C$3:$C$152,0)),"",IF(ISBLANK(OFFSET('Mock Database'!$Z$2,MATCH($A119,'Mock Database'!$C$3:$C$152,0),0)),"",INDEX('Mock Database'!$Z$3:$Z$152,MATCH($A119,'Mock Database'!$C$3:$C$152,0))))</f>
        <v/>
      </c>
      <c r="J119" s="89" t="str">
        <f ca="1">IF(ISNA(MATCH($A119,'Mock Database'!$C$3:$C$152,0)),"",IF(ISBLANK(OFFSET('Mock Database'!$AE$2,MATCH($A119,'Mock Database'!$C$3:$C$152,0),0)),"",INDEX('Mock Database'!$AE$3:$AE$152,MATCH($A119,'Mock Database'!$C$3:$C$152,0))))</f>
        <v/>
      </c>
      <c r="K119" s="22" t="str">
        <f ca="1">IF(ISNA(MATCH($A119,'Mock Database'!$C$3:$C$152,0)),"",IF(ISBLANK(OFFSET('Mock Database'!$AF$2,MATCH($A119,'Mock Database'!$C$3:$C$152,0),0)),"",INDEX('Mock Database'!$AF$3:$AF$152,MATCH($A119,'Mock Database'!$C$3:$C$152,0))))</f>
        <v/>
      </c>
      <c r="N119" t="e">
        <f t="shared" si="11"/>
        <v>#N/A</v>
      </c>
      <c r="O119" s="89" t="e">
        <f t="shared" ca="1" si="12"/>
        <v>#N/A</v>
      </c>
      <c r="P119" s="22" t="e">
        <f t="shared" ca="1" si="13"/>
        <v>#N/A</v>
      </c>
      <c r="Q119" s="89" t="e">
        <f t="shared" ca="1" si="14"/>
        <v>#N/A</v>
      </c>
      <c r="R119" s="22" t="e">
        <f t="shared" ca="1" si="15"/>
        <v>#N/A</v>
      </c>
      <c r="S119" s="89" t="e">
        <f t="shared" ca="1" si="16"/>
        <v>#N/A</v>
      </c>
      <c r="T119" s="22" t="e">
        <f t="shared" ca="1" si="17"/>
        <v>#N/A</v>
      </c>
      <c r="U119" s="89" t="e">
        <f t="shared" ca="1" si="18"/>
        <v>#N/A</v>
      </c>
      <c r="V119" s="22" t="e">
        <f t="shared" ca="1" si="19"/>
        <v>#N/A</v>
      </c>
      <c r="AM119" t="e">
        <f t="shared" si="20"/>
        <v>#N/A</v>
      </c>
      <c r="AN119" t="e">
        <f t="shared" ca="1" si="21"/>
        <v>#N/A</v>
      </c>
    </row>
    <row r="120" spans="1:40" ht="15" customHeight="1" x14ac:dyDescent="0.3">
      <c r="A120" s="87">
        <v>119</v>
      </c>
      <c r="B120" t="str">
        <f>IFERROR(INDEX('Mock Database'!$D$3:$D$152,MATCH($A120,'Mock Database'!$C$3:$C$152,0)),"")</f>
        <v/>
      </c>
      <c r="C120" s="88" t="str">
        <f>IFERROR(INDEX('Mock Database'!$I$3:$I$152,MATCH($A120,'Mock Database'!$C$3:$C$152,0)),"")</f>
        <v/>
      </c>
      <c r="D120" s="89" t="str">
        <f ca="1">IF(ISNA(MATCH($A120,'Mock Database'!$C$3:$C$152,0)),"",IF(ISBLANK(OFFSET('Mock Database'!$M$2,MATCH($A120,'Mock Database'!$C$3:$C$152,0),0)),"",INDEX('Mock Database'!$M$3:$M$152,MATCH($A120,'Mock Database'!$C$3:$C$152,0))))</f>
        <v/>
      </c>
      <c r="E120" s="22" t="str">
        <f ca="1">IF(ISNA(MATCH($A120,'Mock Database'!$C$3:$C$152,0)),"",IF(ISBLANK(OFFSET('Mock Database'!$N$2,MATCH($A120,'Mock Database'!$C$3:$C$152,0),0)),"",INDEX('Mock Database'!$N$3:$N$152,MATCH($A120,'Mock Database'!$C$3:$C$152,0))))</f>
        <v/>
      </c>
      <c r="F120" s="89" t="str">
        <f ca="1">IF(ISNA(MATCH($A120,'Mock Database'!$C$3:$C$152,0)),"",IF(ISBLANK(OFFSET('Mock Database'!$S$2,MATCH($A120,'Mock Database'!$C$3:$C$152,0),0)),"",INDEX('Mock Database'!$S$3:$S$152,MATCH($A120,'Mock Database'!$C$3:$C$152,0))))</f>
        <v/>
      </c>
      <c r="G120" s="22" t="str">
        <f ca="1">IF(ISNA(MATCH($A120,'Mock Database'!$C$3:$C$152,0)),"",IF(ISBLANK(OFFSET('Mock Database'!$T$2,MATCH($A120,'Mock Database'!$C$3:$C$152,0),0)),"",INDEX('Mock Database'!$T$3:$T$152,MATCH($A120,'Mock Database'!$C$3:$C$152,0))))</f>
        <v/>
      </c>
      <c r="H120" s="89" t="str">
        <f ca="1">IF(ISNA(MATCH($A120,'Mock Database'!$C$3:$C$152,0)),"",IF(ISBLANK(OFFSET('Mock Database'!$Y$2,MATCH($A120,'Mock Database'!$C$3:$C$152,0),0)),"",INDEX('Mock Database'!$Y$3:$Y$152,MATCH($A120,'Mock Database'!$C$3:$C$152,0))))</f>
        <v/>
      </c>
      <c r="I120" s="22" t="str">
        <f ca="1">IF(ISNA(MATCH($A120,'Mock Database'!$C$3:$C$152,0)),"",IF(ISBLANK(OFFSET('Mock Database'!$Z$2,MATCH($A120,'Mock Database'!$C$3:$C$152,0),0)),"",INDEX('Mock Database'!$Z$3:$Z$152,MATCH($A120,'Mock Database'!$C$3:$C$152,0))))</f>
        <v/>
      </c>
      <c r="J120" s="89" t="str">
        <f ca="1">IF(ISNA(MATCH($A120,'Mock Database'!$C$3:$C$152,0)),"",IF(ISBLANK(OFFSET('Mock Database'!$AE$2,MATCH($A120,'Mock Database'!$C$3:$C$152,0),0)),"",INDEX('Mock Database'!$AE$3:$AE$152,MATCH($A120,'Mock Database'!$C$3:$C$152,0))))</f>
        <v/>
      </c>
      <c r="K120" s="22" t="str">
        <f ca="1">IF(ISNA(MATCH($A120,'Mock Database'!$C$3:$C$152,0)),"",IF(ISBLANK(OFFSET('Mock Database'!$AF$2,MATCH($A120,'Mock Database'!$C$3:$C$152,0),0)),"",INDEX('Mock Database'!$AF$3:$AF$152,MATCH($A120,'Mock Database'!$C$3:$C$152,0))))</f>
        <v/>
      </c>
      <c r="N120" t="e">
        <f t="shared" si="11"/>
        <v>#N/A</v>
      </c>
      <c r="O120" s="89" t="e">
        <f t="shared" ca="1" si="12"/>
        <v>#N/A</v>
      </c>
      <c r="P120" s="22" t="e">
        <f t="shared" ca="1" si="13"/>
        <v>#N/A</v>
      </c>
      <c r="Q120" s="89" t="e">
        <f t="shared" ca="1" si="14"/>
        <v>#N/A</v>
      </c>
      <c r="R120" s="22" t="e">
        <f t="shared" ca="1" si="15"/>
        <v>#N/A</v>
      </c>
      <c r="S120" s="89" t="e">
        <f t="shared" ca="1" si="16"/>
        <v>#N/A</v>
      </c>
      <c r="T120" s="22" t="e">
        <f t="shared" ca="1" si="17"/>
        <v>#N/A</v>
      </c>
      <c r="U120" s="89" t="e">
        <f t="shared" ca="1" si="18"/>
        <v>#N/A</v>
      </c>
      <c r="V120" s="22" t="e">
        <f t="shared" ca="1" si="19"/>
        <v>#N/A</v>
      </c>
      <c r="AM120" t="e">
        <f t="shared" si="20"/>
        <v>#N/A</v>
      </c>
      <c r="AN120" t="e">
        <f t="shared" ca="1" si="21"/>
        <v>#N/A</v>
      </c>
    </row>
    <row r="121" spans="1:40" ht="15" customHeight="1" x14ac:dyDescent="0.3">
      <c r="A121" s="87">
        <v>120</v>
      </c>
      <c r="B121" t="str">
        <f>IFERROR(INDEX('Mock Database'!$D$3:$D$152,MATCH($A121,'Mock Database'!$C$3:$C$152,0)),"")</f>
        <v/>
      </c>
      <c r="C121" s="88" t="str">
        <f>IFERROR(INDEX('Mock Database'!$I$3:$I$152,MATCH($A121,'Mock Database'!$C$3:$C$152,0)),"")</f>
        <v/>
      </c>
      <c r="D121" s="89" t="str">
        <f ca="1">IF(ISNA(MATCH($A121,'Mock Database'!$C$3:$C$152,0)),"",IF(ISBLANK(OFFSET('Mock Database'!$M$2,MATCH($A121,'Mock Database'!$C$3:$C$152,0),0)),"",INDEX('Mock Database'!$M$3:$M$152,MATCH($A121,'Mock Database'!$C$3:$C$152,0))))</f>
        <v/>
      </c>
      <c r="E121" s="22" t="str">
        <f ca="1">IF(ISNA(MATCH($A121,'Mock Database'!$C$3:$C$152,0)),"",IF(ISBLANK(OFFSET('Mock Database'!$N$2,MATCH($A121,'Mock Database'!$C$3:$C$152,0),0)),"",INDEX('Mock Database'!$N$3:$N$152,MATCH($A121,'Mock Database'!$C$3:$C$152,0))))</f>
        <v/>
      </c>
      <c r="F121" s="89" t="str">
        <f ca="1">IF(ISNA(MATCH($A121,'Mock Database'!$C$3:$C$152,0)),"",IF(ISBLANK(OFFSET('Mock Database'!$S$2,MATCH($A121,'Mock Database'!$C$3:$C$152,0),0)),"",INDEX('Mock Database'!$S$3:$S$152,MATCH($A121,'Mock Database'!$C$3:$C$152,0))))</f>
        <v/>
      </c>
      <c r="G121" s="22" t="str">
        <f ca="1">IF(ISNA(MATCH($A121,'Mock Database'!$C$3:$C$152,0)),"",IF(ISBLANK(OFFSET('Mock Database'!$T$2,MATCH($A121,'Mock Database'!$C$3:$C$152,0),0)),"",INDEX('Mock Database'!$T$3:$T$152,MATCH($A121,'Mock Database'!$C$3:$C$152,0))))</f>
        <v/>
      </c>
      <c r="H121" s="89" t="str">
        <f ca="1">IF(ISNA(MATCH($A121,'Mock Database'!$C$3:$C$152,0)),"",IF(ISBLANK(OFFSET('Mock Database'!$Y$2,MATCH($A121,'Mock Database'!$C$3:$C$152,0),0)),"",INDEX('Mock Database'!$Y$3:$Y$152,MATCH($A121,'Mock Database'!$C$3:$C$152,0))))</f>
        <v/>
      </c>
      <c r="I121" s="22" t="str">
        <f ca="1">IF(ISNA(MATCH($A121,'Mock Database'!$C$3:$C$152,0)),"",IF(ISBLANK(OFFSET('Mock Database'!$Z$2,MATCH($A121,'Mock Database'!$C$3:$C$152,0),0)),"",INDEX('Mock Database'!$Z$3:$Z$152,MATCH($A121,'Mock Database'!$C$3:$C$152,0))))</f>
        <v/>
      </c>
      <c r="J121" s="89" t="str">
        <f ca="1">IF(ISNA(MATCH($A121,'Mock Database'!$C$3:$C$152,0)),"",IF(ISBLANK(OFFSET('Mock Database'!$AE$2,MATCH($A121,'Mock Database'!$C$3:$C$152,0),0)),"",INDEX('Mock Database'!$AE$3:$AE$152,MATCH($A121,'Mock Database'!$C$3:$C$152,0))))</f>
        <v/>
      </c>
      <c r="K121" s="22" t="str">
        <f ca="1">IF(ISNA(MATCH($A121,'Mock Database'!$C$3:$C$152,0)),"",IF(ISBLANK(OFFSET('Mock Database'!$AF$2,MATCH($A121,'Mock Database'!$C$3:$C$152,0),0)),"",INDEX('Mock Database'!$AF$3:$AF$152,MATCH($A121,'Mock Database'!$C$3:$C$152,0))))</f>
        <v/>
      </c>
      <c r="N121" t="e">
        <f t="shared" si="11"/>
        <v>#N/A</v>
      </c>
      <c r="O121" s="89" t="e">
        <f t="shared" ca="1" si="12"/>
        <v>#N/A</v>
      </c>
      <c r="P121" s="22" t="e">
        <f t="shared" ca="1" si="13"/>
        <v>#N/A</v>
      </c>
      <c r="Q121" s="89" t="e">
        <f t="shared" ca="1" si="14"/>
        <v>#N/A</v>
      </c>
      <c r="R121" s="22" t="e">
        <f t="shared" ca="1" si="15"/>
        <v>#N/A</v>
      </c>
      <c r="S121" s="89" t="e">
        <f t="shared" ca="1" si="16"/>
        <v>#N/A</v>
      </c>
      <c r="T121" s="22" t="e">
        <f t="shared" ca="1" si="17"/>
        <v>#N/A</v>
      </c>
      <c r="U121" s="89" t="e">
        <f t="shared" ca="1" si="18"/>
        <v>#N/A</v>
      </c>
      <c r="V121" s="22" t="e">
        <f t="shared" ca="1" si="19"/>
        <v>#N/A</v>
      </c>
      <c r="AM121" t="e">
        <f t="shared" si="20"/>
        <v>#N/A</v>
      </c>
      <c r="AN121" t="e">
        <f t="shared" ca="1" si="21"/>
        <v>#N/A</v>
      </c>
    </row>
    <row r="122" spans="1:40" ht="15" customHeight="1" x14ac:dyDescent="0.3">
      <c r="A122" s="87">
        <v>121</v>
      </c>
      <c r="B122" t="str">
        <f>IFERROR(INDEX('Mock Database'!$D$3:$D$152,MATCH($A122,'Mock Database'!$C$3:$C$152,0)),"")</f>
        <v/>
      </c>
      <c r="C122" s="88" t="str">
        <f>IFERROR(INDEX('Mock Database'!$I$3:$I$152,MATCH($A122,'Mock Database'!$C$3:$C$152,0)),"")</f>
        <v/>
      </c>
      <c r="D122" s="89" t="str">
        <f ca="1">IF(ISNA(MATCH($A122,'Mock Database'!$C$3:$C$152,0)),"",IF(ISBLANK(OFFSET('Mock Database'!$M$2,MATCH($A122,'Mock Database'!$C$3:$C$152,0),0)),"",INDEX('Mock Database'!$M$3:$M$152,MATCH($A122,'Mock Database'!$C$3:$C$152,0))))</f>
        <v/>
      </c>
      <c r="E122" s="22" t="str">
        <f ca="1">IF(ISNA(MATCH($A122,'Mock Database'!$C$3:$C$152,0)),"",IF(ISBLANK(OFFSET('Mock Database'!$N$2,MATCH($A122,'Mock Database'!$C$3:$C$152,0),0)),"",INDEX('Mock Database'!$N$3:$N$152,MATCH($A122,'Mock Database'!$C$3:$C$152,0))))</f>
        <v/>
      </c>
      <c r="F122" s="89" t="str">
        <f ca="1">IF(ISNA(MATCH($A122,'Mock Database'!$C$3:$C$152,0)),"",IF(ISBLANK(OFFSET('Mock Database'!$S$2,MATCH($A122,'Mock Database'!$C$3:$C$152,0),0)),"",INDEX('Mock Database'!$S$3:$S$152,MATCH($A122,'Mock Database'!$C$3:$C$152,0))))</f>
        <v/>
      </c>
      <c r="G122" s="22" t="str">
        <f ca="1">IF(ISNA(MATCH($A122,'Mock Database'!$C$3:$C$152,0)),"",IF(ISBLANK(OFFSET('Mock Database'!$T$2,MATCH($A122,'Mock Database'!$C$3:$C$152,0),0)),"",INDEX('Mock Database'!$T$3:$T$152,MATCH($A122,'Mock Database'!$C$3:$C$152,0))))</f>
        <v/>
      </c>
      <c r="H122" s="89" t="str">
        <f ca="1">IF(ISNA(MATCH($A122,'Mock Database'!$C$3:$C$152,0)),"",IF(ISBLANK(OFFSET('Mock Database'!$Y$2,MATCH($A122,'Mock Database'!$C$3:$C$152,0),0)),"",INDEX('Mock Database'!$Y$3:$Y$152,MATCH($A122,'Mock Database'!$C$3:$C$152,0))))</f>
        <v/>
      </c>
      <c r="I122" s="22" t="str">
        <f ca="1">IF(ISNA(MATCH($A122,'Mock Database'!$C$3:$C$152,0)),"",IF(ISBLANK(OFFSET('Mock Database'!$Z$2,MATCH($A122,'Mock Database'!$C$3:$C$152,0),0)),"",INDEX('Mock Database'!$Z$3:$Z$152,MATCH($A122,'Mock Database'!$C$3:$C$152,0))))</f>
        <v/>
      </c>
      <c r="J122" s="89" t="str">
        <f ca="1">IF(ISNA(MATCH($A122,'Mock Database'!$C$3:$C$152,0)),"",IF(ISBLANK(OFFSET('Mock Database'!$AE$2,MATCH($A122,'Mock Database'!$C$3:$C$152,0),0)),"",INDEX('Mock Database'!$AE$3:$AE$152,MATCH($A122,'Mock Database'!$C$3:$C$152,0))))</f>
        <v/>
      </c>
      <c r="K122" s="22" t="str">
        <f ca="1">IF(ISNA(MATCH($A122,'Mock Database'!$C$3:$C$152,0)),"",IF(ISBLANK(OFFSET('Mock Database'!$AF$2,MATCH($A122,'Mock Database'!$C$3:$C$152,0),0)),"",INDEX('Mock Database'!$AF$3:$AF$152,MATCH($A122,'Mock Database'!$C$3:$C$152,0))))</f>
        <v/>
      </c>
      <c r="N122" t="e">
        <f t="shared" si="11"/>
        <v>#N/A</v>
      </c>
      <c r="O122" s="89" t="e">
        <f t="shared" ca="1" si="12"/>
        <v>#N/A</v>
      </c>
      <c r="P122" s="22" t="e">
        <f t="shared" ca="1" si="13"/>
        <v>#N/A</v>
      </c>
      <c r="Q122" s="89" t="e">
        <f t="shared" ca="1" si="14"/>
        <v>#N/A</v>
      </c>
      <c r="R122" s="22" t="e">
        <f t="shared" ca="1" si="15"/>
        <v>#N/A</v>
      </c>
      <c r="S122" s="89" t="e">
        <f t="shared" ca="1" si="16"/>
        <v>#N/A</v>
      </c>
      <c r="T122" s="22" t="e">
        <f t="shared" ca="1" si="17"/>
        <v>#N/A</v>
      </c>
      <c r="U122" s="89" t="e">
        <f t="shared" ca="1" si="18"/>
        <v>#N/A</v>
      </c>
      <c r="V122" s="22" t="e">
        <f t="shared" ca="1" si="19"/>
        <v>#N/A</v>
      </c>
      <c r="AM122" t="e">
        <f t="shared" si="20"/>
        <v>#N/A</v>
      </c>
      <c r="AN122" t="e">
        <f t="shared" ca="1" si="21"/>
        <v>#N/A</v>
      </c>
    </row>
    <row r="123" spans="1:40" ht="15" customHeight="1" x14ac:dyDescent="0.3">
      <c r="A123" s="87">
        <v>122</v>
      </c>
      <c r="B123" t="str">
        <f>IFERROR(INDEX('Mock Database'!$D$3:$D$152,MATCH($A123,'Mock Database'!$C$3:$C$152,0)),"")</f>
        <v/>
      </c>
      <c r="C123" s="88" t="str">
        <f>IFERROR(INDEX('Mock Database'!$I$3:$I$152,MATCH($A123,'Mock Database'!$C$3:$C$152,0)),"")</f>
        <v/>
      </c>
      <c r="D123" s="89" t="str">
        <f ca="1">IF(ISNA(MATCH($A123,'Mock Database'!$C$3:$C$152,0)),"",IF(ISBLANK(OFFSET('Mock Database'!$M$2,MATCH($A123,'Mock Database'!$C$3:$C$152,0),0)),"",INDEX('Mock Database'!$M$3:$M$152,MATCH($A123,'Mock Database'!$C$3:$C$152,0))))</f>
        <v/>
      </c>
      <c r="E123" s="22" t="str">
        <f ca="1">IF(ISNA(MATCH($A123,'Mock Database'!$C$3:$C$152,0)),"",IF(ISBLANK(OFFSET('Mock Database'!$N$2,MATCH($A123,'Mock Database'!$C$3:$C$152,0),0)),"",INDEX('Mock Database'!$N$3:$N$152,MATCH($A123,'Mock Database'!$C$3:$C$152,0))))</f>
        <v/>
      </c>
      <c r="F123" s="89" t="str">
        <f ca="1">IF(ISNA(MATCH($A123,'Mock Database'!$C$3:$C$152,0)),"",IF(ISBLANK(OFFSET('Mock Database'!$S$2,MATCH($A123,'Mock Database'!$C$3:$C$152,0),0)),"",INDEX('Mock Database'!$S$3:$S$152,MATCH($A123,'Mock Database'!$C$3:$C$152,0))))</f>
        <v/>
      </c>
      <c r="G123" s="22" t="str">
        <f ca="1">IF(ISNA(MATCH($A123,'Mock Database'!$C$3:$C$152,0)),"",IF(ISBLANK(OFFSET('Mock Database'!$T$2,MATCH($A123,'Mock Database'!$C$3:$C$152,0),0)),"",INDEX('Mock Database'!$T$3:$T$152,MATCH($A123,'Mock Database'!$C$3:$C$152,0))))</f>
        <v/>
      </c>
      <c r="H123" s="89" t="str">
        <f ca="1">IF(ISNA(MATCH($A123,'Mock Database'!$C$3:$C$152,0)),"",IF(ISBLANK(OFFSET('Mock Database'!$Y$2,MATCH($A123,'Mock Database'!$C$3:$C$152,0),0)),"",INDEX('Mock Database'!$Y$3:$Y$152,MATCH($A123,'Mock Database'!$C$3:$C$152,0))))</f>
        <v/>
      </c>
      <c r="I123" s="22" t="str">
        <f ca="1">IF(ISNA(MATCH($A123,'Mock Database'!$C$3:$C$152,0)),"",IF(ISBLANK(OFFSET('Mock Database'!$Z$2,MATCH($A123,'Mock Database'!$C$3:$C$152,0),0)),"",INDEX('Mock Database'!$Z$3:$Z$152,MATCH($A123,'Mock Database'!$C$3:$C$152,0))))</f>
        <v/>
      </c>
      <c r="J123" s="89" t="str">
        <f ca="1">IF(ISNA(MATCH($A123,'Mock Database'!$C$3:$C$152,0)),"",IF(ISBLANK(OFFSET('Mock Database'!$AE$2,MATCH($A123,'Mock Database'!$C$3:$C$152,0),0)),"",INDEX('Mock Database'!$AE$3:$AE$152,MATCH($A123,'Mock Database'!$C$3:$C$152,0))))</f>
        <v/>
      </c>
      <c r="K123" s="22" t="str">
        <f ca="1">IF(ISNA(MATCH($A123,'Mock Database'!$C$3:$C$152,0)),"",IF(ISBLANK(OFFSET('Mock Database'!$AF$2,MATCH($A123,'Mock Database'!$C$3:$C$152,0),0)),"",INDEX('Mock Database'!$AF$3:$AF$152,MATCH($A123,'Mock Database'!$C$3:$C$152,0))))</f>
        <v/>
      </c>
      <c r="N123" t="e">
        <f t="shared" si="11"/>
        <v>#N/A</v>
      </c>
      <c r="O123" s="89" t="e">
        <f t="shared" ca="1" si="12"/>
        <v>#N/A</v>
      </c>
      <c r="P123" s="22" t="e">
        <f t="shared" ca="1" si="13"/>
        <v>#N/A</v>
      </c>
      <c r="Q123" s="89" t="e">
        <f t="shared" ca="1" si="14"/>
        <v>#N/A</v>
      </c>
      <c r="R123" s="22" t="e">
        <f t="shared" ca="1" si="15"/>
        <v>#N/A</v>
      </c>
      <c r="S123" s="89" t="e">
        <f t="shared" ca="1" si="16"/>
        <v>#N/A</v>
      </c>
      <c r="T123" s="22" t="e">
        <f t="shared" ca="1" si="17"/>
        <v>#N/A</v>
      </c>
      <c r="U123" s="89" t="e">
        <f t="shared" ca="1" si="18"/>
        <v>#N/A</v>
      </c>
      <c r="V123" s="22" t="e">
        <f t="shared" ca="1" si="19"/>
        <v>#N/A</v>
      </c>
      <c r="AM123" t="e">
        <f t="shared" si="20"/>
        <v>#N/A</v>
      </c>
      <c r="AN123" t="e">
        <f t="shared" ca="1" si="21"/>
        <v>#N/A</v>
      </c>
    </row>
    <row r="124" spans="1:40" ht="15" customHeight="1" x14ac:dyDescent="0.3">
      <c r="A124" s="87">
        <v>123</v>
      </c>
      <c r="B124" t="str">
        <f>IFERROR(INDEX('Mock Database'!$D$3:$D$152,MATCH($A124,'Mock Database'!$C$3:$C$152,0)),"")</f>
        <v/>
      </c>
      <c r="C124" s="88" t="str">
        <f>IFERROR(INDEX('Mock Database'!$I$3:$I$152,MATCH($A124,'Mock Database'!$C$3:$C$152,0)),"")</f>
        <v/>
      </c>
      <c r="D124" s="89" t="str">
        <f ca="1">IF(ISNA(MATCH($A124,'Mock Database'!$C$3:$C$152,0)),"",IF(ISBLANK(OFFSET('Mock Database'!$M$2,MATCH($A124,'Mock Database'!$C$3:$C$152,0),0)),"",INDEX('Mock Database'!$M$3:$M$152,MATCH($A124,'Mock Database'!$C$3:$C$152,0))))</f>
        <v/>
      </c>
      <c r="E124" s="22" t="str">
        <f ca="1">IF(ISNA(MATCH($A124,'Mock Database'!$C$3:$C$152,0)),"",IF(ISBLANK(OFFSET('Mock Database'!$N$2,MATCH($A124,'Mock Database'!$C$3:$C$152,0),0)),"",INDEX('Mock Database'!$N$3:$N$152,MATCH($A124,'Mock Database'!$C$3:$C$152,0))))</f>
        <v/>
      </c>
      <c r="F124" s="89" t="str">
        <f ca="1">IF(ISNA(MATCH($A124,'Mock Database'!$C$3:$C$152,0)),"",IF(ISBLANK(OFFSET('Mock Database'!$S$2,MATCH($A124,'Mock Database'!$C$3:$C$152,0),0)),"",INDEX('Mock Database'!$S$3:$S$152,MATCH($A124,'Mock Database'!$C$3:$C$152,0))))</f>
        <v/>
      </c>
      <c r="G124" s="22" t="str">
        <f ca="1">IF(ISNA(MATCH($A124,'Mock Database'!$C$3:$C$152,0)),"",IF(ISBLANK(OFFSET('Mock Database'!$T$2,MATCH($A124,'Mock Database'!$C$3:$C$152,0),0)),"",INDEX('Mock Database'!$T$3:$T$152,MATCH($A124,'Mock Database'!$C$3:$C$152,0))))</f>
        <v/>
      </c>
      <c r="H124" s="89" t="str">
        <f ca="1">IF(ISNA(MATCH($A124,'Mock Database'!$C$3:$C$152,0)),"",IF(ISBLANK(OFFSET('Mock Database'!$Y$2,MATCH($A124,'Mock Database'!$C$3:$C$152,0),0)),"",INDEX('Mock Database'!$Y$3:$Y$152,MATCH($A124,'Mock Database'!$C$3:$C$152,0))))</f>
        <v/>
      </c>
      <c r="I124" s="22" t="str">
        <f ca="1">IF(ISNA(MATCH($A124,'Mock Database'!$C$3:$C$152,0)),"",IF(ISBLANK(OFFSET('Mock Database'!$Z$2,MATCH($A124,'Mock Database'!$C$3:$C$152,0),0)),"",INDEX('Mock Database'!$Z$3:$Z$152,MATCH($A124,'Mock Database'!$C$3:$C$152,0))))</f>
        <v/>
      </c>
      <c r="J124" s="89" t="str">
        <f ca="1">IF(ISNA(MATCH($A124,'Mock Database'!$C$3:$C$152,0)),"",IF(ISBLANK(OFFSET('Mock Database'!$AE$2,MATCH($A124,'Mock Database'!$C$3:$C$152,0),0)),"",INDEX('Mock Database'!$AE$3:$AE$152,MATCH($A124,'Mock Database'!$C$3:$C$152,0))))</f>
        <v/>
      </c>
      <c r="K124" s="22" t="str">
        <f ca="1">IF(ISNA(MATCH($A124,'Mock Database'!$C$3:$C$152,0)),"",IF(ISBLANK(OFFSET('Mock Database'!$AF$2,MATCH($A124,'Mock Database'!$C$3:$C$152,0),0)),"",INDEX('Mock Database'!$AF$3:$AF$152,MATCH($A124,'Mock Database'!$C$3:$C$152,0))))</f>
        <v/>
      </c>
      <c r="N124" t="e">
        <f t="shared" si="11"/>
        <v>#N/A</v>
      </c>
      <c r="O124" s="89" t="e">
        <f t="shared" ca="1" si="12"/>
        <v>#N/A</v>
      </c>
      <c r="P124" s="22" t="e">
        <f t="shared" ca="1" si="13"/>
        <v>#N/A</v>
      </c>
      <c r="Q124" s="89" t="e">
        <f t="shared" ca="1" si="14"/>
        <v>#N/A</v>
      </c>
      <c r="R124" s="22" t="e">
        <f t="shared" ca="1" si="15"/>
        <v>#N/A</v>
      </c>
      <c r="S124" s="89" t="e">
        <f t="shared" ca="1" si="16"/>
        <v>#N/A</v>
      </c>
      <c r="T124" s="22" t="e">
        <f t="shared" ca="1" si="17"/>
        <v>#N/A</v>
      </c>
      <c r="U124" s="89" t="e">
        <f t="shared" ca="1" si="18"/>
        <v>#N/A</v>
      </c>
      <c r="V124" s="22" t="e">
        <f t="shared" ca="1" si="19"/>
        <v>#N/A</v>
      </c>
      <c r="AM124" t="e">
        <f t="shared" si="20"/>
        <v>#N/A</v>
      </c>
      <c r="AN124" t="e">
        <f t="shared" ca="1" si="21"/>
        <v>#N/A</v>
      </c>
    </row>
    <row r="125" spans="1:40" ht="15" customHeight="1" x14ac:dyDescent="0.3">
      <c r="A125" s="87">
        <v>124</v>
      </c>
      <c r="B125" t="str">
        <f>IFERROR(INDEX('Mock Database'!$D$3:$D$152,MATCH($A125,'Mock Database'!$C$3:$C$152,0)),"")</f>
        <v/>
      </c>
      <c r="C125" s="88" t="str">
        <f>IFERROR(INDEX('Mock Database'!$I$3:$I$152,MATCH($A125,'Mock Database'!$C$3:$C$152,0)),"")</f>
        <v/>
      </c>
      <c r="D125" s="89" t="str">
        <f ca="1">IF(ISNA(MATCH($A125,'Mock Database'!$C$3:$C$152,0)),"",IF(ISBLANK(OFFSET('Mock Database'!$M$2,MATCH($A125,'Mock Database'!$C$3:$C$152,0),0)),"",INDEX('Mock Database'!$M$3:$M$152,MATCH($A125,'Mock Database'!$C$3:$C$152,0))))</f>
        <v/>
      </c>
      <c r="E125" s="22" t="str">
        <f ca="1">IF(ISNA(MATCH($A125,'Mock Database'!$C$3:$C$152,0)),"",IF(ISBLANK(OFFSET('Mock Database'!$N$2,MATCH($A125,'Mock Database'!$C$3:$C$152,0),0)),"",INDEX('Mock Database'!$N$3:$N$152,MATCH($A125,'Mock Database'!$C$3:$C$152,0))))</f>
        <v/>
      </c>
      <c r="F125" s="89" t="str">
        <f ca="1">IF(ISNA(MATCH($A125,'Mock Database'!$C$3:$C$152,0)),"",IF(ISBLANK(OFFSET('Mock Database'!$S$2,MATCH($A125,'Mock Database'!$C$3:$C$152,0),0)),"",INDEX('Mock Database'!$S$3:$S$152,MATCH($A125,'Mock Database'!$C$3:$C$152,0))))</f>
        <v/>
      </c>
      <c r="G125" s="22" t="str">
        <f ca="1">IF(ISNA(MATCH($A125,'Mock Database'!$C$3:$C$152,0)),"",IF(ISBLANK(OFFSET('Mock Database'!$T$2,MATCH($A125,'Mock Database'!$C$3:$C$152,0),0)),"",INDEX('Mock Database'!$T$3:$T$152,MATCH($A125,'Mock Database'!$C$3:$C$152,0))))</f>
        <v/>
      </c>
      <c r="H125" s="89" t="str">
        <f ca="1">IF(ISNA(MATCH($A125,'Mock Database'!$C$3:$C$152,0)),"",IF(ISBLANK(OFFSET('Mock Database'!$Y$2,MATCH($A125,'Mock Database'!$C$3:$C$152,0),0)),"",INDEX('Mock Database'!$Y$3:$Y$152,MATCH($A125,'Mock Database'!$C$3:$C$152,0))))</f>
        <v/>
      </c>
      <c r="I125" s="22" t="str">
        <f ca="1">IF(ISNA(MATCH($A125,'Mock Database'!$C$3:$C$152,0)),"",IF(ISBLANK(OFFSET('Mock Database'!$Z$2,MATCH($A125,'Mock Database'!$C$3:$C$152,0),0)),"",INDEX('Mock Database'!$Z$3:$Z$152,MATCH($A125,'Mock Database'!$C$3:$C$152,0))))</f>
        <v/>
      </c>
      <c r="J125" s="89" t="str">
        <f ca="1">IF(ISNA(MATCH($A125,'Mock Database'!$C$3:$C$152,0)),"",IF(ISBLANK(OFFSET('Mock Database'!$AE$2,MATCH($A125,'Mock Database'!$C$3:$C$152,0),0)),"",INDEX('Mock Database'!$AE$3:$AE$152,MATCH($A125,'Mock Database'!$C$3:$C$152,0))))</f>
        <v/>
      </c>
      <c r="K125" s="22" t="str">
        <f ca="1">IF(ISNA(MATCH($A125,'Mock Database'!$C$3:$C$152,0)),"",IF(ISBLANK(OFFSET('Mock Database'!$AF$2,MATCH($A125,'Mock Database'!$C$3:$C$152,0),0)),"",INDEX('Mock Database'!$AF$3:$AF$152,MATCH($A125,'Mock Database'!$C$3:$C$152,0))))</f>
        <v/>
      </c>
      <c r="N125" t="e">
        <f t="shared" si="11"/>
        <v>#N/A</v>
      </c>
      <c r="O125" s="89" t="e">
        <f t="shared" ca="1" si="12"/>
        <v>#N/A</v>
      </c>
      <c r="P125" s="22" t="e">
        <f t="shared" ca="1" si="13"/>
        <v>#N/A</v>
      </c>
      <c r="Q125" s="89" t="e">
        <f t="shared" ca="1" si="14"/>
        <v>#N/A</v>
      </c>
      <c r="R125" s="22" t="e">
        <f t="shared" ca="1" si="15"/>
        <v>#N/A</v>
      </c>
      <c r="S125" s="89" t="e">
        <f t="shared" ca="1" si="16"/>
        <v>#N/A</v>
      </c>
      <c r="T125" s="22" t="e">
        <f t="shared" ca="1" si="17"/>
        <v>#N/A</v>
      </c>
      <c r="U125" s="89" t="e">
        <f t="shared" ca="1" si="18"/>
        <v>#N/A</v>
      </c>
      <c r="V125" s="22" t="e">
        <f t="shared" ca="1" si="19"/>
        <v>#N/A</v>
      </c>
      <c r="AM125" t="e">
        <f t="shared" si="20"/>
        <v>#N/A</v>
      </c>
      <c r="AN125" t="e">
        <f t="shared" ca="1" si="21"/>
        <v>#N/A</v>
      </c>
    </row>
    <row r="126" spans="1:40" ht="15" customHeight="1" x14ac:dyDescent="0.3">
      <c r="A126" s="87">
        <v>125</v>
      </c>
      <c r="B126" t="str">
        <f>IFERROR(INDEX('Mock Database'!$D$3:$D$152,MATCH($A126,'Mock Database'!$C$3:$C$152,0)),"")</f>
        <v/>
      </c>
      <c r="C126" s="88" t="str">
        <f>IFERROR(INDEX('Mock Database'!$I$3:$I$152,MATCH($A126,'Mock Database'!$C$3:$C$152,0)),"")</f>
        <v/>
      </c>
      <c r="D126" s="89" t="str">
        <f ca="1">IF(ISNA(MATCH($A126,'Mock Database'!$C$3:$C$152,0)),"",IF(ISBLANK(OFFSET('Mock Database'!$M$2,MATCH($A126,'Mock Database'!$C$3:$C$152,0),0)),"",INDEX('Mock Database'!$M$3:$M$152,MATCH($A126,'Mock Database'!$C$3:$C$152,0))))</f>
        <v/>
      </c>
      <c r="E126" s="22" t="str">
        <f ca="1">IF(ISNA(MATCH($A126,'Mock Database'!$C$3:$C$152,0)),"",IF(ISBLANK(OFFSET('Mock Database'!$N$2,MATCH($A126,'Mock Database'!$C$3:$C$152,0),0)),"",INDEX('Mock Database'!$N$3:$N$152,MATCH($A126,'Mock Database'!$C$3:$C$152,0))))</f>
        <v/>
      </c>
      <c r="F126" s="89" t="str">
        <f ca="1">IF(ISNA(MATCH($A126,'Mock Database'!$C$3:$C$152,0)),"",IF(ISBLANK(OFFSET('Mock Database'!$S$2,MATCH($A126,'Mock Database'!$C$3:$C$152,0),0)),"",INDEX('Mock Database'!$S$3:$S$152,MATCH($A126,'Mock Database'!$C$3:$C$152,0))))</f>
        <v/>
      </c>
      <c r="G126" s="22" t="str">
        <f ca="1">IF(ISNA(MATCH($A126,'Mock Database'!$C$3:$C$152,0)),"",IF(ISBLANK(OFFSET('Mock Database'!$T$2,MATCH($A126,'Mock Database'!$C$3:$C$152,0),0)),"",INDEX('Mock Database'!$T$3:$T$152,MATCH($A126,'Mock Database'!$C$3:$C$152,0))))</f>
        <v/>
      </c>
      <c r="H126" s="89" t="str">
        <f ca="1">IF(ISNA(MATCH($A126,'Mock Database'!$C$3:$C$152,0)),"",IF(ISBLANK(OFFSET('Mock Database'!$Y$2,MATCH($A126,'Mock Database'!$C$3:$C$152,0),0)),"",INDEX('Mock Database'!$Y$3:$Y$152,MATCH($A126,'Mock Database'!$C$3:$C$152,0))))</f>
        <v/>
      </c>
      <c r="I126" s="22" t="str">
        <f ca="1">IF(ISNA(MATCH($A126,'Mock Database'!$C$3:$C$152,0)),"",IF(ISBLANK(OFFSET('Mock Database'!$Z$2,MATCH($A126,'Mock Database'!$C$3:$C$152,0),0)),"",INDEX('Mock Database'!$Z$3:$Z$152,MATCH($A126,'Mock Database'!$C$3:$C$152,0))))</f>
        <v/>
      </c>
      <c r="J126" s="89" t="str">
        <f ca="1">IF(ISNA(MATCH($A126,'Mock Database'!$C$3:$C$152,0)),"",IF(ISBLANK(OFFSET('Mock Database'!$AE$2,MATCH($A126,'Mock Database'!$C$3:$C$152,0),0)),"",INDEX('Mock Database'!$AE$3:$AE$152,MATCH($A126,'Mock Database'!$C$3:$C$152,0))))</f>
        <v/>
      </c>
      <c r="K126" s="22" t="str">
        <f ca="1">IF(ISNA(MATCH($A126,'Mock Database'!$C$3:$C$152,0)),"",IF(ISBLANK(OFFSET('Mock Database'!$AF$2,MATCH($A126,'Mock Database'!$C$3:$C$152,0),0)),"",INDEX('Mock Database'!$AF$3:$AF$152,MATCH($A126,'Mock Database'!$C$3:$C$152,0))))</f>
        <v/>
      </c>
      <c r="N126" t="e">
        <f t="shared" si="11"/>
        <v>#N/A</v>
      </c>
      <c r="O126" s="89" t="e">
        <f t="shared" ca="1" si="12"/>
        <v>#N/A</v>
      </c>
      <c r="P126" s="22" t="e">
        <f t="shared" ca="1" si="13"/>
        <v>#N/A</v>
      </c>
      <c r="Q126" s="89" t="e">
        <f t="shared" ca="1" si="14"/>
        <v>#N/A</v>
      </c>
      <c r="R126" s="22" t="e">
        <f t="shared" ca="1" si="15"/>
        <v>#N/A</v>
      </c>
      <c r="S126" s="89" t="e">
        <f t="shared" ca="1" si="16"/>
        <v>#N/A</v>
      </c>
      <c r="T126" s="22" t="e">
        <f t="shared" ca="1" si="17"/>
        <v>#N/A</v>
      </c>
      <c r="U126" s="89" t="e">
        <f t="shared" ca="1" si="18"/>
        <v>#N/A</v>
      </c>
      <c r="V126" s="22" t="e">
        <f t="shared" ca="1" si="19"/>
        <v>#N/A</v>
      </c>
      <c r="AM126" t="e">
        <f t="shared" si="20"/>
        <v>#N/A</v>
      </c>
      <c r="AN126" t="e">
        <f t="shared" ca="1" si="21"/>
        <v>#N/A</v>
      </c>
    </row>
    <row r="127" spans="1:40" ht="15" customHeight="1" x14ac:dyDescent="0.3">
      <c r="A127" s="87">
        <v>126</v>
      </c>
      <c r="B127" t="str">
        <f>IFERROR(INDEX('Mock Database'!$D$3:$D$152,MATCH($A127,'Mock Database'!$C$3:$C$152,0)),"")</f>
        <v/>
      </c>
      <c r="C127" s="88" t="str">
        <f>IFERROR(INDEX('Mock Database'!$I$3:$I$152,MATCH($A127,'Mock Database'!$C$3:$C$152,0)),"")</f>
        <v/>
      </c>
      <c r="D127" s="89" t="str">
        <f ca="1">IF(ISNA(MATCH($A127,'Mock Database'!$C$3:$C$152,0)),"",IF(ISBLANK(OFFSET('Mock Database'!$M$2,MATCH($A127,'Mock Database'!$C$3:$C$152,0),0)),"",INDEX('Mock Database'!$M$3:$M$152,MATCH($A127,'Mock Database'!$C$3:$C$152,0))))</f>
        <v/>
      </c>
      <c r="E127" s="22" t="str">
        <f ca="1">IF(ISNA(MATCH($A127,'Mock Database'!$C$3:$C$152,0)),"",IF(ISBLANK(OFFSET('Mock Database'!$N$2,MATCH($A127,'Mock Database'!$C$3:$C$152,0),0)),"",INDEX('Mock Database'!$N$3:$N$152,MATCH($A127,'Mock Database'!$C$3:$C$152,0))))</f>
        <v/>
      </c>
      <c r="F127" s="89" t="str">
        <f ca="1">IF(ISNA(MATCH($A127,'Mock Database'!$C$3:$C$152,0)),"",IF(ISBLANK(OFFSET('Mock Database'!$S$2,MATCH($A127,'Mock Database'!$C$3:$C$152,0),0)),"",INDEX('Mock Database'!$S$3:$S$152,MATCH($A127,'Mock Database'!$C$3:$C$152,0))))</f>
        <v/>
      </c>
      <c r="G127" s="22" t="str">
        <f ca="1">IF(ISNA(MATCH($A127,'Mock Database'!$C$3:$C$152,0)),"",IF(ISBLANK(OFFSET('Mock Database'!$T$2,MATCH($A127,'Mock Database'!$C$3:$C$152,0),0)),"",INDEX('Mock Database'!$T$3:$T$152,MATCH($A127,'Mock Database'!$C$3:$C$152,0))))</f>
        <v/>
      </c>
      <c r="H127" s="89" t="str">
        <f ca="1">IF(ISNA(MATCH($A127,'Mock Database'!$C$3:$C$152,0)),"",IF(ISBLANK(OFFSET('Mock Database'!$Y$2,MATCH($A127,'Mock Database'!$C$3:$C$152,0),0)),"",INDEX('Mock Database'!$Y$3:$Y$152,MATCH($A127,'Mock Database'!$C$3:$C$152,0))))</f>
        <v/>
      </c>
      <c r="I127" s="22" t="str">
        <f ca="1">IF(ISNA(MATCH($A127,'Mock Database'!$C$3:$C$152,0)),"",IF(ISBLANK(OFFSET('Mock Database'!$Z$2,MATCH($A127,'Mock Database'!$C$3:$C$152,0),0)),"",INDEX('Mock Database'!$Z$3:$Z$152,MATCH($A127,'Mock Database'!$C$3:$C$152,0))))</f>
        <v/>
      </c>
      <c r="J127" s="89" t="str">
        <f ca="1">IF(ISNA(MATCH($A127,'Mock Database'!$C$3:$C$152,0)),"",IF(ISBLANK(OFFSET('Mock Database'!$AE$2,MATCH($A127,'Mock Database'!$C$3:$C$152,0),0)),"",INDEX('Mock Database'!$AE$3:$AE$152,MATCH($A127,'Mock Database'!$C$3:$C$152,0))))</f>
        <v/>
      </c>
      <c r="K127" s="22" t="str">
        <f ca="1">IF(ISNA(MATCH($A127,'Mock Database'!$C$3:$C$152,0)),"",IF(ISBLANK(OFFSET('Mock Database'!$AF$2,MATCH($A127,'Mock Database'!$C$3:$C$152,0),0)),"",INDEX('Mock Database'!$AF$3:$AF$152,MATCH($A127,'Mock Database'!$C$3:$C$152,0))))</f>
        <v/>
      </c>
      <c r="N127" t="e">
        <f t="shared" si="11"/>
        <v>#N/A</v>
      </c>
      <c r="O127" s="89" t="e">
        <f t="shared" ca="1" si="12"/>
        <v>#N/A</v>
      </c>
      <c r="P127" s="22" t="e">
        <f t="shared" ca="1" si="13"/>
        <v>#N/A</v>
      </c>
      <c r="Q127" s="89" t="e">
        <f t="shared" ca="1" si="14"/>
        <v>#N/A</v>
      </c>
      <c r="R127" s="22" t="e">
        <f t="shared" ca="1" si="15"/>
        <v>#N/A</v>
      </c>
      <c r="S127" s="89" t="e">
        <f t="shared" ca="1" si="16"/>
        <v>#N/A</v>
      </c>
      <c r="T127" s="22" t="e">
        <f t="shared" ca="1" si="17"/>
        <v>#N/A</v>
      </c>
      <c r="U127" s="89" t="e">
        <f t="shared" ca="1" si="18"/>
        <v>#N/A</v>
      </c>
      <c r="V127" s="22" t="e">
        <f t="shared" ca="1" si="19"/>
        <v>#N/A</v>
      </c>
      <c r="AM127" t="e">
        <f t="shared" si="20"/>
        <v>#N/A</v>
      </c>
      <c r="AN127" t="e">
        <f t="shared" ca="1" si="21"/>
        <v>#N/A</v>
      </c>
    </row>
    <row r="128" spans="1:40" ht="15" customHeight="1" x14ac:dyDescent="0.3">
      <c r="A128" s="87">
        <v>127</v>
      </c>
      <c r="B128" t="str">
        <f>IFERROR(INDEX('Mock Database'!$D$3:$D$152,MATCH($A128,'Mock Database'!$C$3:$C$152,0)),"")</f>
        <v/>
      </c>
      <c r="C128" s="88" t="str">
        <f>IFERROR(INDEX('Mock Database'!$I$3:$I$152,MATCH($A128,'Mock Database'!$C$3:$C$152,0)),"")</f>
        <v/>
      </c>
      <c r="D128" s="89" t="str">
        <f ca="1">IF(ISNA(MATCH($A128,'Mock Database'!$C$3:$C$152,0)),"",IF(ISBLANK(OFFSET('Mock Database'!$M$2,MATCH($A128,'Mock Database'!$C$3:$C$152,0),0)),"",INDEX('Mock Database'!$M$3:$M$152,MATCH($A128,'Mock Database'!$C$3:$C$152,0))))</f>
        <v/>
      </c>
      <c r="E128" s="22" t="str">
        <f ca="1">IF(ISNA(MATCH($A128,'Mock Database'!$C$3:$C$152,0)),"",IF(ISBLANK(OFFSET('Mock Database'!$N$2,MATCH($A128,'Mock Database'!$C$3:$C$152,0),0)),"",INDEX('Mock Database'!$N$3:$N$152,MATCH($A128,'Mock Database'!$C$3:$C$152,0))))</f>
        <v/>
      </c>
      <c r="F128" s="89" t="str">
        <f ca="1">IF(ISNA(MATCH($A128,'Mock Database'!$C$3:$C$152,0)),"",IF(ISBLANK(OFFSET('Mock Database'!$S$2,MATCH($A128,'Mock Database'!$C$3:$C$152,0),0)),"",INDEX('Mock Database'!$S$3:$S$152,MATCH($A128,'Mock Database'!$C$3:$C$152,0))))</f>
        <v/>
      </c>
      <c r="G128" s="22" t="str">
        <f ca="1">IF(ISNA(MATCH($A128,'Mock Database'!$C$3:$C$152,0)),"",IF(ISBLANK(OFFSET('Mock Database'!$T$2,MATCH($A128,'Mock Database'!$C$3:$C$152,0),0)),"",INDEX('Mock Database'!$T$3:$T$152,MATCH($A128,'Mock Database'!$C$3:$C$152,0))))</f>
        <v/>
      </c>
      <c r="H128" s="89" t="str">
        <f ca="1">IF(ISNA(MATCH($A128,'Mock Database'!$C$3:$C$152,0)),"",IF(ISBLANK(OFFSET('Mock Database'!$Y$2,MATCH($A128,'Mock Database'!$C$3:$C$152,0),0)),"",INDEX('Mock Database'!$Y$3:$Y$152,MATCH($A128,'Mock Database'!$C$3:$C$152,0))))</f>
        <v/>
      </c>
      <c r="I128" s="22" t="str">
        <f ca="1">IF(ISNA(MATCH($A128,'Mock Database'!$C$3:$C$152,0)),"",IF(ISBLANK(OFFSET('Mock Database'!$Z$2,MATCH($A128,'Mock Database'!$C$3:$C$152,0),0)),"",INDEX('Mock Database'!$Z$3:$Z$152,MATCH($A128,'Mock Database'!$C$3:$C$152,0))))</f>
        <v/>
      </c>
      <c r="J128" s="89" t="str">
        <f ca="1">IF(ISNA(MATCH($A128,'Mock Database'!$C$3:$C$152,0)),"",IF(ISBLANK(OFFSET('Mock Database'!$AE$2,MATCH($A128,'Mock Database'!$C$3:$C$152,0),0)),"",INDEX('Mock Database'!$AE$3:$AE$152,MATCH($A128,'Mock Database'!$C$3:$C$152,0))))</f>
        <v/>
      </c>
      <c r="K128" s="22" t="str">
        <f ca="1">IF(ISNA(MATCH($A128,'Mock Database'!$C$3:$C$152,0)),"",IF(ISBLANK(OFFSET('Mock Database'!$AF$2,MATCH($A128,'Mock Database'!$C$3:$C$152,0),0)),"",INDEX('Mock Database'!$AF$3:$AF$152,MATCH($A128,'Mock Database'!$C$3:$C$152,0))))</f>
        <v/>
      </c>
      <c r="N128" t="e">
        <f t="shared" si="11"/>
        <v>#N/A</v>
      </c>
      <c r="O128" s="89" t="e">
        <f t="shared" ca="1" si="12"/>
        <v>#N/A</v>
      </c>
      <c r="P128" s="22" t="e">
        <f t="shared" ca="1" si="13"/>
        <v>#N/A</v>
      </c>
      <c r="Q128" s="89" t="e">
        <f t="shared" ca="1" si="14"/>
        <v>#N/A</v>
      </c>
      <c r="R128" s="22" t="e">
        <f t="shared" ca="1" si="15"/>
        <v>#N/A</v>
      </c>
      <c r="S128" s="89" t="e">
        <f t="shared" ca="1" si="16"/>
        <v>#N/A</v>
      </c>
      <c r="T128" s="22" t="e">
        <f t="shared" ca="1" si="17"/>
        <v>#N/A</v>
      </c>
      <c r="U128" s="89" t="e">
        <f t="shared" ca="1" si="18"/>
        <v>#N/A</v>
      </c>
      <c r="V128" s="22" t="e">
        <f t="shared" ca="1" si="19"/>
        <v>#N/A</v>
      </c>
      <c r="AM128" t="e">
        <f t="shared" si="20"/>
        <v>#N/A</v>
      </c>
      <c r="AN128" t="e">
        <f t="shared" ca="1" si="21"/>
        <v>#N/A</v>
      </c>
    </row>
    <row r="129" spans="1:40" ht="15" customHeight="1" x14ac:dyDescent="0.3">
      <c r="A129" s="87">
        <v>128</v>
      </c>
      <c r="B129" t="str">
        <f>IFERROR(INDEX('Mock Database'!$D$3:$D$152,MATCH($A129,'Mock Database'!$C$3:$C$152,0)),"")</f>
        <v/>
      </c>
      <c r="C129" s="88" t="str">
        <f>IFERROR(INDEX('Mock Database'!$I$3:$I$152,MATCH($A129,'Mock Database'!$C$3:$C$152,0)),"")</f>
        <v/>
      </c>
      <c r="D129" s="89" t="str">
        <f ca="1">IF(ISNA(MATCH($A129,'Mock Database'!$C$3:$C$152,0)),"",IF(ISBLANK(OFFSET('Mock Database'!$M$2,MATCH($A129,'Mock Database'!$C$3:$C$152,0),0)),"",INDEX('Mock Database'!$M$3:$M$152,MATCH($A129,'Mock Database'!$C$3:$C$152,0))))</f>
        <v/>
      </c>
      <c r="E129" s="22" t="str">
        <f ca="1">IF(ISNA(MATCH($A129,'Mock Database'!$C$3:$C$152,0)),"",IF(ISBLANK(OFFSET('Mock Database'!$N$2,MATCH($A129,'Mock Database'!$C$3:$C$152,0),0)),"",INDEX('Mock Database'!$N$3:$N$152,MATCH($A129,'Mock Database'!$C$3:$C$152,0))))</f>
        <v/>
      </c>
      <c r="F129" s="89" t="str">
        <f ca="1">IF(ISNA(MATCH($A129,'Mock Database'!$C$3:$C$152,0)),"",IF(ISBLANK(OFFSET('Mock Database'!$S$2,MATCH($A129,'Mock Database'!$C$3:$C$152,0),0)),"",INDEX('Mock Database'!$S$3:$S$152,MATCH($A129,'Mock Database'!$C$3:$C$152,0))))</f>
        <v/>
      </c>
      <c r="G129" s="22" t="str">
        <f ca="1">IF(ISNA(MATCH($A129,'Mock Database'!$C$3:$C$152,0)),"",IF(ISBLANK(OFFSET('Mock Database'!$T$2,MATCH($A129,'Mock Database'!$C$3:$C$152,0),0)),"",INDEX('Mock Database'!$T$3:$T$152,MATCH($A129,'Mock Database'!$C$3:$C$152,0))))</f>
        <v/>
      </c>
      <c r="H129" s="89" t="str">
        <f ca="1">IF(ISNA(MATCH($A129,'Mock Database'!$C$3:$C$152,0)),"",IF(ISBLANK(OFFSET('Mock Database'!$Y$2,MATCH($A129,'Mock Database'!$C$3:$C$152,0),0)),"",INDEX('Mock Database'!$Y$3:$Y$152,MATCH($A129,'Mock Database'!$C$3:$C$152,0))))</f>
        <v/>
      </c>
      <c r="I129" s="22" t="str">
        <f ca="1">IF(ISNA(MATCH($A129,'Mock Database'!$C$3:$C$152,0)),"",IF(ISBLANK(OFFSET('Mock Database'!$Z$2,MATCH($A129,'Mock Database'!$C$3:$C$152,0),0)),"",INDEX('Mock Database'!$Z$3:$Z$152,MATCH($A129,'Mock Database'!$C$3:$C$152,0))))</f>
        <v/>
      </c>
      <c r="J129" s="89" t="str">
        <f ca="1">IF(ISNA(MATCH($A129,'Mock Database'!$C$3:$C$152,0)),"",IF(ISBLANK(OFFSET('Mock Database'!$AE$2,MATCH($A129,'Mock Database'!$C$3:$C$152,0),0)),"",INDEX('Mock Database'!$AE$3:$AE$152,MATCH($A129,'Mock Database'!$C$3:$C$152,0))))</f>
        <v/>
      </c>
      <c r="K129" s="22" t="str">
        <f ca="1">IF(ISNA(MATCH($A129,'Mock Database'!$C$3:$C$152,0)),"",IF(ISBLANK(OFFSET('Mock Database'!$AF$2,MATCH($A129,'Mock Database'!$C$3:$C$152,0),0)),"",INDEX('Mock Database'!$AF$3:$AF$152,MATCH($A129,'Mock Database'!$C$3:$C$152,0))))</f>
        <v/>
      </c>
      <c r="N129" t="e">
        <f t="shared" si="11"/>
        <v>#N/A</v>
      </c>
      <c r="O129" s="89" t="e">
        <f t="shared" ca="1" si="12"/>
        <v>#N/A</v>
      </c>
      <c r="P129" s="22" t="e">
        <f t="shared" ca="1" si="13"/>
        <v>#N/A</v>
      </c>
      <c r="Q129" s="89" t="e">
        <f t="shared" ca="1" si="14"/>
        <v>#N/A</v>
      </c>
      <c r="R129" s="22" t="e">
        <f t="shared" ca="1" si="15"/>
        <v>#N/A</v>
      </c>
      <c r="S129" s="89" t="e">
        <f t="shared" ca="1" si="16"/>
        <v>#N/A</v>
      </c>
      <c r="T129" s="22" t="e">
        <f t="shared" ca="1" si="17"/>
        <v>#N/A</v>
      </c>
      <c r="U129" s="89" t="e">
        <f t="shared" ca="1" si="18"/>
        <v>#N/A</v>
      </c>
      <c r="V129" s="22" t="e">
        <f t="shared" ca="1" si="19"/>
        <v>#N/A</v>
      </c>
      <c r="AM129" t="e">
        <f t="shared" si="20"/>
        <v>#N/A</v>
      </c>
      <c r="AN129" t="e">
        <f t="shared" ca="1" si="21"/>
        <v>#N/A</v>
      </c>
    </row>
    <row r="130" spans="1:40" ht="15" customHeight="1" x14ac:dyDescent="0.3">
      <c r="A130" s="87">
        <v>129</v>
      </c>
      <c r="B130" t="str">
        <f>IFERROR(INDEX('Mock Database'!$D$3:$D$152,MATCH($A130,'Mock Database'!$C$3:$C$152,0)),"")</f>
        <v/>
      </c>
      <c r="C130" s="88" t="str">
        <f>IFERROR(INDEX('Mock Database'!$I$3:$I$152,MATCH($A130,'Mock Database'!$C$3:$C$152,0)),"")</f>
        <v/>
      </c>
      <c r="D130" s="89" t="str">
        <f ca="1">IF(ISNA(MATCH($A130,'Mock Database'!$C$3:$C$152,0)),"",IF(ISBLANK(OFFSET('Mock Database'!$M$2,MATCH($A130,'Mock Database'!$C$3:$C$152,0),0)),"",INDEX('Mock Database'!$M$3:$M$152,MATCH($A130,'Mock Database'!$C$3:$C$152,0))))</f>
        <v/>
      </c>
      <c r="E130" s="22" t="str">
        <f ca="1">IF(ISNA(MATCH($A130,'Mock Database'!$C$3:$C$152,0)),"",IF(ISBLANK(OFFSET('Mock Database'!$N$2,MATCH($A130,'Mock Database'!$C$3:$C$152,0),0)),"",INDEX('Mock Database'!$N$3:$N$152,MATCH($A130,'Mock Database'!$C$3:$C$152,0))))</f>
        <v/>
      </c>
      <c r="F130" s="89" t="str">
        <f ca="1">IF(ISNA(MATCH($A130,'Mock Database'!$C$3:$C$152,0)),"",IF(ISBLANK(OFFSET('Mock Database'!$S$2,MATCH($A130,'Mock Database'!$C$3:$C$152,0),0)),"",INDEX('Mock Database'!$S$3:$S$152,MATCH($A130,'Mock Database'!$C$3:$C$152,0))))</f>
        <v/>
      </c>
      <c r="G130" s="22" t="str">
        <f ca="1">IF(ISNA(MATCH($A130,'Mock Database'!$C$3:$C$152,0)),"",IF(ISBLANK(OFFSET('Mock Database'!$T$2,MATCH($A130,'Mock Database'!$C$3:$C$152,0),0)),"",INDEX('Mock Database'!$T$3:$T$152,MATCH($A130,'Mock Database'!$C$3:$C$152,0))))</f>
        <v/>
      </c>
      <c r="H130" s="89" t="str">
        <f ca="1">IF(ISNA(MATCH($A130,'Mock Database'!$C$3:$C$152,0)),"",IF(ISBLANK(OFFSET('Mock Database'!$Y$2,MATCH($A130,'Mock Database'!$C$3:$C$152,0),0)),"",INDEX('Mock Database'!$Y$3:$Y$152,MATCH($A130,'Mock Database'!$C$3:$C$152,0))))</f>
        <v/>
      </c>
      <c r="I130" s="22" t="str">
        <f ca="1">IF(ISNA(MATCH($A130,'Mock Database'!$C$3:$C$152,0)),"",IF(ISBLANK(OFFSET('Mock Database'!$Z$2,MATCH($A130,'Mock Database'!$C$3:$C$152,0),0)),"",INDEX('Mock Database'!$Z$3:$Z$152,MATCH($A130,'Mock Database'!$C$3:$C$152,0))))</f>
        <v/>
      </c>
      <c r="J130" s="89" t="str">
        <f ca="1">IF(ISNA(MATCH($A130,'Mock Database'!$C$3:$C$152,0)),"",IF(ISBLANK(OFFSET('Mock Database'!$AE$2,MATCH($A130,'Mock Database'!$C$3:$C$152,0),0)),"",INDEX('Mock Database'!$AE$3:$AE$152,MATCH($A130,'Mock Database'!$C$3:$C$152,0))))</f>
        <v/>
      </c>
      <c r="K130" s="22" t="str">
        <f ca="1">IF(ISNA(MATCH($A130,'Mock Database'!$C$3:$C$152,0)),"",IF(ISBLANK(OFFSET('Mock Database'!$AF$2,MATCH($A130,'Mock Database'!$C$3:$C$152,0),0)),"",INDEX('Mock Database'!$AF$3:$AF$152,MATCH($A130,'Mock Database'!$C$3:$C$152,0))))</f>
        <v/>
      </c>
      <c r="N130" t="e">
        <f t="shared" si="11"/>
        <v>#N/A</v>
      </c>
      <c r="O130" s="89" t="e">
        <f t="shared" ca="1" si="12"/>
        <v>#N/A</v>
      </c>
      <c r="P130" s="22" t="e">
        <f t="shared" ca="1" si="13"/>
        <v>#N/A</v>
      </c>
      <c r="Q130" s="89" t="e">
        <f t="shared" ca="1" si="14"/>
        <v>#N/A</v>
      </c>
      <c r="R130" s="22" t="e">
        <f t="shared" ca="1" si="15"/>
        <v>#N/A</v>
      </c>
      <c r="S130" s="89" t="e">
        <f t="shared" ca="1" si="16"/>
        <v>#N/A</v>
      </c>
      <c r="T130" s="22" t="e">
        <f t="shared" ca="1" si="17"/>
        <v>#N/A</v>
      </c>
      <c r="U130" s="89" t="e">
        <f t="shared" ca="1" si="18"/>
        <v>#N/A</v>
      </c>
      <c r="V130" s="22" t="e">
        <f t="shared" ca="1" si="19"/>
        <v>#N/A</v>
      </c>
      <c r="AM130" t="e">
        <f t="shared" si="20"/>
        <v>#N/A</v>
      </c>
      <c r="AN130" t="e">
        <f t="shared" ca="1" si="21"/>
        <v>#N/A</v>
      </c>
    </row>
    <row r="131" spans="1:40" ht="15" customHeight="1" x14ac:dyDescent="0.3">
      <c r="A131" s="87">
        <v>130</v>
      </c>
      <c r="B131" t="str">
        <f>IFERROR(INDEX('Mock Database'!$D$3:$D$152,MATCH($A131,'Mock Database'!$C$3:$C$152,0)),"")</f>
        <v/>
      </c>
      <c r="C131" s="88" t="str">
        <f>IFERROR(INDEX('Mock Database'!$I$3:$I$152,MATCH($A131,'Mock Database'!$C$3:$C$152,0)),"")</f>
        <v/>
      </c>
      <c r="D131" s="89" t="str">
        <f ca="1">IF(ISNA(MATCH($A131,'Mock Database'!$C$3:$C$152,0)),"",IF(ISBLANK(OFFSET('Mock Database'!$M$2,MATCH($A131,'Mock Database'!$C$3:$C$152,0),0)),"",INDEX('Mock Database'!$M$3:$M$152,MATCH($A131,'Mock Database'!$C$3:$C$152,0))))</f>
        <v/>
      </c>
      <c r="E131" s="22" t="str">
        <f ca="1">IF(ISNA(MATCH($A131,'Mock Database'!$C$3:$C$152,0)),"",IF(ISBLANK(OFFSET('Mock Database'!$N$2,MATCH($A131,'Mock Database'!$C$3:$C$152,0),0)),"",INDEX('Mock Database'!$N$3:$N$152,MATCH($A131,'Mock Database'!$C$3:$C$152,0))))</f>
        <v/>
      </c>
      <c r="F131" s="89" t="str">
        <f ca="1">IF(ISNA(MATCH($A131,'Mock Database'!$C$3:$C$152,0)),"",IF(ISBLANK(OFFSET('Mock Database'!$S$2,MATCH($A131,'Mock Database'!$C$3:$C$152,0),0)),"",INDEX('Mock Database'!$S$3:$S$152,MATCH($A131,'Mock Database'!$C$3:$C$152,0))))</f>
        <v/>
      </c>
      <c r="G131" s="22" t="str">
        <f ca="1">IF(ISNA(MATCH($A131,'Mock Database'!$C$3:$C$152,0)),"",IF(ISBLANK(OFFSET('Mock Database'!$T$2,MATCH($A131,'Mock Database'!$C$3:$C$152,0),0)),"",INDEX('Mock Database'!$T$3:$T$152,MATCH($A131,'Mock Database'!$C$3:$C$152,0))))</f>
        <v/>
      </c>
      <c r="H131" s="89" t="str">
        <f ca="1">IF(ISNA(MATCH($A131,'Mock Database'!$C$3:$C$152,0)),"",IF(ISBLANK(OFFSET('Mock Database'!$Y$2,MATCH($A131,'Mock Database'!$C$3:$C$152,0),0)),"",INDEX('Mock Database'!$Y$3:$Y$152,MATCH($A131,'Mock Database'!$C$3:$C$152,0))))</f>
        <v/>
      </c>
      <c r="I131" s="22" t="str">
        <f ca="1">IF(ISNA(MATCH($A131,'Mock Database'!$C$3:$C$152,0)),"",IF(ISBLANK(OFFSET('Mock Database'!$Z$2,MATCH($A131,'Mock Database'!$C$3:$C$152,0),0)),"",INDEX('Mock Database'!$Z$3:$Z$152,MATCH($A131,'Mock Database'!$C$3:$C$152,0))))</f>
        <v/>
      </c>
      <c r="J131" s="89" t="str">
        <f ca="1">IF(ISNA(MATCH($A131,'Mock Database'!$C$3:$C$152,0)),"",IF(ISBLANK(OFFSET('Mock Database'!$AE$2,MATCH($A131,'Mock Database'!$C$3:$C$152,0),0)),"",INDEX('Mock Database'!$AE$3:$AE$152,MATCH($A131,'Mock Database'!$C$3:$C$152,0))))</f>
        <v/>
      </c>
      <c r="K131" s="22" t="str">
        <f ca="1">IF(ISNA(MATCH($A131,'Mock Database'!$C$3:$C$152,0)),"",IF(ISBLANK(OFFSET('Mock Database'!$AF$2,MATCH($A131,'Mock Database'!$C$3:$C$152,0),0)),"",INDEX('Mock Database'!$AF$3:$AF$152,MATCH($A131,'Mock Database'!$C$3:$C$152,0))))</f>
        <v/>
      </c>
      <c r="N131" t="e">
        <f t="shared" ref="N131:N194" si="22">IF($B131="",NA(),$B131)</f>
        <v>#N/A</v>
      </c>
      <c r="O131" s="89" t="e">
        <f t="shared" ref="O131:O194" ca="1" si="23">IF($D131="",NA(),$D131)</f>
        <v>#N/A</v>
      </c>
      <c r="P131" s="22" t="e">
        <f t="shared" ref="P131:P194" ca="1" si="24">IF($E131="",NA(),$E131)</f>
        <v>#N/A</v>
      </c>
      <c r="Q131" s="89" t="e">
        <f t="shared" ref="Q131:Q194" ca="1" si="25">IF($F131="",NA(),$F131)</f>
        <v>#N/A</v>
      </c>
      <c r="R131" s="22" t="e">
        <f t="shared" ref="R131:R194" ca="1" si="26">IF($G131="",NA(),$G131)</f>
        <v>#N/A</v>
      </c>
      <c r="S131" s="89" t="e">
        <f t="shared" ref="S131:S194" ca="1" si="27">IF($H131="",NA(),$H131)</f>
        <v>#N/A</v>
      </c>
      <c r="T131" s="22" t="e">
        <f t="shared" ref="T131:T194" ca="1" si="28">IF($I131="",NA(),$I131)</f>
        <v>#N/A</v>
      </c>
      <c r="U131" s="89" t="e">
        <f t="shared" ref="U131:U194" ca="1" si="29">IF($J131="",NA(),$J131)</f>
        <v>#N/A</v>
      </c>
      <c r="V131" s="22" t="e">
        <f t="shared" ref="V131:V194" ca="1" si="30">IF($K131="",NA(),$K131)</f>
        <v>#N/A</v>
      </c>
      <c r="AM131" t="e">
        <f t="shared" ref="AM131:AM194" si="31">IF($B131="",NA(),$A131)</f>
        <v>#N/A</v>
      </c>
      <c r="AN131" t="e">
        <f t="shared" ref="AN131:AN194" ca="1" si="32">$U131</f>
        <v>#N/A</v>
      </c>
    </row>
    <row r="132" spans="1:40" ht="15" customHeight="1" x14ac:dyDescent="0.3">
      <c r="A132" s="87">
        <v>131</v>
      </c>
      <c r="B132" t="str">
        <f>IFERROR(INDEX('Mock Database'!$D$3:$D$152,MATCH($A132,'Mock Database'!$C$3:$C$152,0)),"")</f>
        <v/>
      </c>
      <c r="C132" s="88" t="str">
        <f>IFERROR(INDEX('Mock Database'!$I$3:$I$152,MATCH($A132,'Mock Database'!$C$3:$C$152,0)),"")</f>
        <v/>
      </c>
      <c r="D132" s="89" t="str">
        <f ca="1">IF(ISNA(MATCH($A132,'Mock Database'!$C$3:$C$152,0)),"",IF(ISBLANK(OFFSET('Mock Database'!$M$2,MATCH($A132,'Mock Database'!$C$3:$C$152,0),0)),"",INDEX('Mock Database'!$M$3:$M$152,MATCH($A132,'Mock Database'!$C$3:$C$152,0))))</f>
        <v/>
      </c>
      <c r="E132" s="22" t="str">
        <f ca="1">IF(ISNA(MATCH($A132,'Mock Database'!$C$3:$C$152,0)),"",IF(ISBLANK(OFFSET('Mock Database'!$N$2,MATCH($A132,'Mock Database'!$C$3:$C$152,0),0)),"",INDEX('Mock Database'!$N$3:$N$152,MATCH($A132,'Mock Database'!$C$3:$C$152,0))))</f>
        <v/>
      </c>
      <c r="F132" s="89" t="str">
        <f ca="1">IF(ISNA(MATCH($A132,'Mock Database'!$C$3:$C$152,0)),"",IF(ISBLANK(OFFSET('Mock Database'!$S$2,MATCH($A132,'Mock Database'!$C$3:$C$152,0),0)),"",INDEX('Mock Database'!$S$3:$S$152,MATCH($A132,'Mock Database'!$C$3:$C$152,0))))</f>
        <v/>
      </c>
      <c r="G132" s="22" t="str">
        <f ca="1">IF(ISNA(MATCH($A132,'Mock Database'!$C$3:$C$152,0)),"",IF(ISBLANK(OFFSET('Mock Database'!$T$2,MATCH($A132,'Mock Database'!$C$3:$C$152,0),0)),"",INDEX('Mock Database'!$T$3:$T$152,MATCH($A132,'Mock Database'!$C$3:$C$152,0))))</f>
        <v/>
      </c>
      <c r="H132" s="89" t="str">
        <f ca="1">IF(ISNA(MATCH($A132,'Mock Database'!$C$3:$C$152,0)),"",IF(ISBLANK(OFFSET('Mock Database'!$Y$2,MATCH($A132,'Mock Database'!$C$3:$C$152,0),0)),"",INDEX('Mock Database'!$Y$3:$Y$152,MATCH($A132,'Mock Database'!$C$3:$C$152,0))))</f>
        <v/>
      </c>
      <c r="I132" s="22" t="str">
        <f ca="1">IF(ISNA(MATCH($A132,'Mock Database'!$C$3:$C$152,0)),"",IF(ISBLANK(OFFSET('Mock Database'!$Z$2,MATCH($A132,'Mock Database'!$C$3:$C$152,0),0)),"",INDEX('Mock Database'!$Z$3:$Z$152,MATCH($A132,'Mock Database'!$C$3:$C$152,0))))</f>
        <v/>
      </c>
      <c r="J132" s="89" t="str">
        <f ca="1">IF(ISNA(MATCH($A132,'Mock Database'!$C$3:$C$152,0)),"",IF(ISBLANK(OFFSET('Mock Database'!$AE$2,MATCH($A132,'Mock Database'!$C$3:$C$152,0),0)),"",INDEX('Mock Database'!$AE$3:$AE$152,MATCH($A132,'Mock Database'!$C$3:$C$152,0))))</f>
        <v/>
      </c>
      <c r="K132" s="22" t="str">
        <f ca="1">IF(ISNA(MATCH($A132,'Mock Database'!$C$3:$C$152,0)),"",IF(ISBLANK(OFFSET('Mock Database'!$AF$2,MATCH($A132,'Mock Database'!$C$3:$C$152,0),0)),"",INDEX('Mock Database'!$AF$3:$AF$152,MATCH($A132,'Mock Database'!$C$3:$C$152,0))))</f>
        <v/>
      </c>
      <c r="N132" t="e">
        <f t="shared" si="22"/>
        <v>#N/A</v>
      </c>
      <c r="O132" s="89" t="e">
        <f t="shared" ca="1" si="23"/>
        <v>#N/A</v>
      </c>
      <c r="P132" s="22" t="e">
        <f t="shared" ca="1" si="24"/>
        <v>#N/A</v>
      </c>
      <c r="Q132" s="89" t="e">
        <f t="shared" ca="1" si="25"/>
        <v>#N/A</v>
      </c>
      <c r="R132" s="22" t="e">
        <f t="shared" ca="1" si="26"/>
        <v>#N/A</v>
      </c>
      <c r="S132" s="89" t="e">
        <f t="shared" ca="1" si="27"/>
        <v>#N/A</v>
      </c>
      <c r="T132" s="22" t="e">
        <f t="shared" ca="1" si="28"/>
        <v>#N/A</v>
      </c>
      <c r="U132" s="89" t="e">
        <f t="shared" ca="1" si="29"/>
        <v>#N/A</v>
      </c>
      <c r="V132" s="22" t="e">
        <f t="shared" ca="1" si="30"/>
        <v>#N/A</v>
      </c>
      <c r="AM132" t="e">
        <f t="shared" si="31"/>
        <v>#N/A</v>
      </c>
      <c r="AN132" t="e">
        <f t="shared" ca="1" si="32"/>
        <v>#N/A</v>
      </c>
    </row>
    <row r="133" spans="1:40" ht="15" customHeight="1" x14ac:dyDescent="0.3">
      <c r="A133" s="87">
        <v>132</v>
      </c>
      <c r="B133" t="str">
        <f>IFERROR(INDEX('Mock Database'!$D$3:$D$152,MATCH($A133,'Mock Database'!$C$3:$C$152,0)),"")</f>
        <v/>
      </c>
      <c r="C133" s="88" t="str">
        <f>IFERROR(INDEX('Mock Database'!$I$3:$I$152,MATCH($A133,'Mock Database'!$C$3:$C$152,0)),"")</f>
        <v/>
      </c>
      <c r="D133" s="89" t="str">
        <f ca="1">IF(ISNA(MATCH($A133,'Mock Database'!$C$3:$C$152,0)),"",IF(ISBLANK(OFFSET('Mock Database'!$M$2,MATCH($A133,'Mock Database'!$C$3:$C$152,0),0)),"",INDEX('Mock Database'!$M$3:$M$152,MATCH($A133,'Mock Database'!$C$3:$C$152,0))))</f>
        <v/>
      </c>
      <c r="E133" s="22" t="str">
        <f ca="1">IF(ISNA(MATCH($A133,'Mock Database'!$C$3:$C$152,0)),"",IF(ISBLANK(OFFSET('Mock Database'!$N$2,MATCH($A133,'Mock Database'!$C$3:$C$152,0),0)),"",INDEX('Mock Database'!$N$3:$N$152,MATCH($A133,'Mock Database'!$C$3:$C$152,0))))</f>
        <v/>
      </c>
      <c r="F133" s="89" t="str">
        <f ca="1">IF(ISNA(MATCH($A133,'Mock Database'!$C$3:$C$152,0)),"",IF(ISBLANK(OFFSET('Mock Database'!$S$2,MATCH($A133,'Mock Database'!$C$3:$C$152,0),0)),"",INDEX('Mock Database'!$S$3:$S$152,MATCH($A133,'Mock Database'!$C$3:$C$152,0))))</f>
        <v/>
      </c>
      <c r="G133" s="22" t="str">
        <f ca="1">IF(ISNA(MATCH($A133,'Mock Database'!$C$3:$C$152,0)),"",IF(ISBLANK(OFFSET('Mock Database'!$T$2,MATCH($A133,'Mock Database'!$C$3:$C$152,0),0)),"",INDEX('Mock Database'!$T$3:$T$152,MATCH($A133,'Mock Database'!$C$3:$C$152,0))))</f>
        <v/>
      </c>
      <c r="H133" s="89" t="str">
        <f ca="1">IF(ISNA(MATCH($A133,'Mock Database'!$C$3:$C$152,0)),"",IF(ISBLANK(OFFSET('Mock Database'!$Y$2,MATCH($A133,'Mock Database'!$C$3:$C$152,0),0)),"",INDEX('Mock Database'!$Y$3:$Y$152,MATCH($A133,'Mock Database'!$C$3:$C$152,0))))</f>
        <v/>
      </c>
      <c r="I133" s="22" t="str">
        <f ca="1">IF(ISNA(MATCH($A133,'Mock Database'!$C$3:$C$152,0)),"",IF(ISBLANK(OFFSET('Mock Database'!$Z$2,MATCH($A133,'Mock Database'!$C$3:$C$152,0),0)),"",INDEX('Mock Database'!$Z$3:$Z$152,MATCH($A133,'Mock Database'!$C$3:$C$152,0))))</f>
        <v/>
      </c>
      <c r="J133" s="89" t="str">
        <f ca="1">IF(ISNA(MATCH($A133,'Mock Database'!$C$3:$C$152,0)),"",IF(ISBLANK(OFFSET('Mock Database'!$AE$2,MATCH($A133,'Mock Database'!$C$3:$C$152,0),0)),"",INDEX('Mock Database'!$AE$3:$AE$152,MATCH($A133,'Mock Database'!$C$3:$C$152,0))))</f>
        <v/>
      </c>
      <c r="K133" s="22" t="str">
        <f ca="1">IF(ISNA(MATCH($A133,'Mock Database'!$C$3:$C$152,0)),"",IF(ISBLANK(OFFSET('Mock Database'!$AF$2,MATCH($A133,'Mock Database'!$C$3:$C$152,0),0)),"",INDEX('Mock Database'!$AF$3:$AF$152,MATCH($A133,'Mock Database'!$C$3:$C$152,0))))</f>
        <v/>
      </c>
      <c r="N133" t="e">
        <f t="shared" si="22"/>
        <v>#N/A</v>
      </c>
      <c r="O133" s="89" t="e">
        <f t="shared" ca="1" si="23"/>
        <v>#N/A</v>
      </c>
      <c r="P133" s="22" t="e">
        <f t="shared" ca="1" si="24"/>
        <v>#N/A</v>
      </c>
      <c r="Q133" s="89" t="e">
        <f t="shared" ca="1" si="25"/>
        <v>#N/A</v>
      </c>
      <c r="R133" s="22" t="e">
        <f t="shared" ca="1" si="26"/>
        <v>#N/A</v>
      </c>
      <c r="S133" s="89" t="e">
        <f t="shared" ca="1" si="27"/>
        <v>#N/A</v>
      </c>
      <c r="T133" s="22" t="e">
        <f t="shared" ca="1" si="28"/>
        <v>#N/A</v>
      </c>
      <c r="U133" s="89" t="e">
        <f t="shared" ca="1" si="29"/>
        <v>#N/A</v>
      </c>
      <c r="V133" s="22" t="e">
        <f t="shared" ca="1" si="30"/>
        <v>#N/A</v>
      </c>
      <c r="AM133" t="e">
        <f t="shared" si="31"/>
        <v>#N/A</v>
      </c>
      <c r="AN133" t="e">
        <f t="shared" ca="1" si="32"/>
        <v>#N/A</v>
      </c>
    </row>
    <row r="134" spans="1:40" ht="15" customHeight="1" x14ac:dyDescent="0.3">
      <c r="A134" s="87">
        <v>133</v>
      </c>
      <c r="B134" t="str">
        <f>IFERROR(INDEX('Mock Database'!$D$3:$D$152,MATCH($A134,'Mock Database'!$C$3:$C$152,0)),"")</f>
        <v/>
      </c>
      <c r="C134" s="88" t="str">
        <f>IFERROR(INDEX('Mock Database'!$I$3:$I$152,MATCH($A134,'Mock Database'!$C$3:$C$152,0)),"")</f>
        <v/>
      </c>
      <c r="D134" s="89" t="str">
        <f ca="1">IF(ISNA(MATCH($A134,'Mock Database'!$C$3:$C$152,0)),"",IF(ISBLANK(OFFSET('Mock Database'!$M$2,MATCH($A134,'Mock Database'!$C$3:$C$152,0),0)),"",INDEX('Mock Database'!$M$3:$M$152,MATCH($A134,'Mock Database'!$C$3:$C$152,0))))</f>
        <v/>
      </c>
      <c r="E134" s="22" t="str">
        <f ca="1">IF(ISNA(MATCH($A134,'Mock Database'!$C$3:$C$152,0)),"",IF(ISBLANK(OFFSET('Mock Database'!$N$2,MATCH($A134,'Mock Database'!$C$3:$C$152,0),0)),"",INDEX('Mock Database'!$N$3:$N$152,MATCH($A134,'Mock Database'!$C$3:$C$152,0))))</f>
        <v/>
      </c>
      <c r="F134" s="89" t="str">
        <f ca="1">IF(ISNA(MATCH($A134,'Mock Database'!$C$3:$C$152,0)),"",IF(ISBLANK(OFFSET('Mock Database'!$S$2,MATCH($A134,'Mock Database'!$C$3:$C$152,0),0)),"",INDEX('Mock Database'!$S$3:$S$152,MATCH($A134,'Mock Database'!$C$3:$C$152,0))))</f>
        <v/>
      </c>
      <c r="G134" s="22" t="str">
        <f ca="1">IF(ISNA(MATCH($A134,'Mock Database'!$C$3:$C$152,0)),"",IF(ISBLANK(OFFSET('Mock Database'!$T$2,MATCH($A134,'Mock Database'!$C$3:$C$152,0),0)),"",INDEX('Mock Database'!$T$3:$T$152,MATCH($A134,'Mock Database'!$C$3:$C$152,0))))</f>
        <v/>
      </c>
      <c r="H134" s="89" t="str">
        <f ca="1">IF(ISNA(MATCH($A134,'Mock Database'!$C$3:$C$152,0)),"",IF(ISBLANK(OFFSET('Mock Database'!$Y$2,MATCH($A134,'Mock Database'!$C$3:$C$152,0),0)),"",INDEX('Mock Database'!$Y$3:$Y$152,MATCH($A134,'Mock Database'!$C$3:$C$152,0))))</f>
        <v/>
      </c>
      <c r="I134" s="22" t="str">
        <f ca="1">IF(ISNA(MATCH($A134,'Mock Database'!$C$3:$C$152,0)),"",IF(ISBLANK(OFFSET('Mock Database'!$Z$2,MATCH($A134,'Mock Database'!$C$3:$C$152,0),0)),"",INDEX('Mock Database'!$Z$3:$Z$152,MATCH($A134,'Mock Database'!$C$3:$C$152,0))))</f>
        <v/>
      </c>
      <c r="J134" s="89" t="str">
        <f ca="1">IF(ISNA(MATCH($A134,'Mock Database'!$C$3:$C$152,0)),"",IF(ISBLANK(OFFSET('Mock Database'!$AE$2,MATCH($A134,'Mock Database'!$C$3:$C$152,0),0)),"",INDEX('Mock Database'!$AE$3:$AE$152,MATCH($A134,'Mock Database'!$C$3:$C$152,0))))</f>
        <v/>
      </c>
      <c r="K134" s="22" t="str">
        <f ca="1">IF(ISNA(MATCH($A134,'Mock Database'!$C$3:$C$152,0)),"",IF(ISBLANK(OFFSET('Mock Database'!$AF$2,MATCH($A134,'Mock Database'!$C$3:$C$152,0),0)),"",INDEX('Mock Database'!$AF$3:$AF$152,MATCH($A134,'Mock Database'!$C$3:$C$152,0))))</f>
        <v/>
      </c>
      <c r="N134" t="e">
        <f t="shared" si="22"/>
        <v>#N/A</v>
      </c>
      <c r="O134" s="89" t="e">
        <f t="shared" ca="1" si="23"/>
        <v>#N/A</v>
      </c>
      <c r="P134" s="22" t="e">
        <f t="shared" ca="1" si="24"/>
        <v>#N/A</v>
      </c>
      <c r="Q134" s="89" t="e">
        <f t="shared" ca="1" si="25"/>
        <v>#N/A</v>
      </c>
      <c r="R134" s="22" t="e">
        <f t="shared" ca="1" si="26"/>
        <v>#N/A</v>
      </c>
      <c r="S134" s="89" t="e">
        <f t="shared" ca="1" si="27"/>
        <v>#N/A</v>
      </c>
      <c r="T134" s="22" t="e">
        <f t="shared" ca="1" si="28"/>
        <v>#N/A</v>
      </c>
      <c r="U134" s="89" t="e">
        <f t="shared" ca="1" si="29"/>
        <v>#N/A</v>
      </c>
      <c r="V134" s="22" t="e">
        <f t="shared" ca="1" si="30"/>
        <v>#N/A</v>
      </c>
      <c r="AM134" t="e">
        <f t="shared" si="31"/>
        <v>#N/A</v>
      </c>
      <c r="AN134" t="e">
        <f t="shared" ca="1" si="32"/>
        <v>#N/A</v>
      </c>
    </row>
    <row r="135" spans="1:40" ht="15" customHeight="1" x14ac:dyDescent="0.3">
      <c r="A135" s="87">
        <v>134</v>
      </c>
      <c r="B135" t="str">
        <f>IFERROR(INDEX('Mock Database'!$D$3:$D$152,MATCH($A135,'Mock Database'!$C$3:$C$152,0)),"")</f>
        <v/>
      </c>
      <c r="C135" s="88" t="str">
        <f>IFERROR(INDEX('Mock Database'!$I$3:$I$152,MATCH($A135,'Mock Database'!$C$3:$C$152,0)),"")</f>
        <v/>
      </c>
      <c r="D135" s="89" t="str">
        <f ca="1">IF(ISNA(MATCH($A135,'Mock Database'!$C$3:$C$152,0)),"",IF(ISBLANK(OFFSET('Mock Database'!$M$2,MATCH($A135,'Mock Database'!$C$3:$C$152,0),0)),"",INDEX('Mock Database'!$M$3:$M$152,MATCH($A135,'Mock Database'!$C$3:$C$152,0))))</f>
        <v/>
      </c>
      <c r="E135" s="22" t="str">
        <f ca="1">IF(ISNA(MATCH($A135,'Mock Database'!$C$3:$C$152,0)),"",IF(ISBLANK(OFFSET('Mock Database'!$N$2,MATCH($A135,'Mock Database'!$C$3:$C$152,0),0)),"",INDEX('Mock Database'!$N$3:$N$152,MATCH($A135,'Mock Database'!$C$3:$C$152,0))))</f>
        <v/>
      </c>
      <c r="F135" s="89" t="str">
        <f ca="1">IF(ISNA(MATCH($A135,'Mock Database'!$C$3:$C$152,0)),"",IF(ISBLANK(OFFSET('Mock Database'!$S$2,MATCH($A135,'Mock Database'!$C$3:$C$152,0),0)),"",INDEX('Mock Database'!$S$3:$S$152,MATCH($A135,'Mock Database'!$C$3:$C$152,0))))</f>
        <v/>
      </c>
      <c r="G135" s="22" t="str">
        <f ca="1">IF(ISNA(MATCH($A135,'Mock Database'!$C$3:$C$152,0)),"",IF(ISBLANK(OFFSET('Mock Database'!$T$2,MATCH($A135,'Mock Database'!$C$3:$C$152,0),0)),"",INDEX('Mock Database'!$T$3:$T$152,MATCH($A135,'Mock Database'!$C$3:$C$152,0))))</f>
        <v/>
      </c>
      <c r="H135" s="89" t="str">
        <f ca="1">IF(ISNA(MATCH($A135,'Mock Database'!$C$3:$C$152,0)),"",IF(ISBLANK(OFFSET('Mock Database'!$Y$2,MATCH($A135,'Mock Database'!$C$3:$C$152,0),0)),"",INDEX('Mock Database'!$Y$3:$Y$152,MATCH($A135,'Mock Database'!$C$3:$C$152,0))))</f>
        <v/>
      </c>
      <c r="I135" s="22" t="str">
        <f ca="1">IF(ISNA(MATCH($A135,'Mock Database'!$C$3:$C$152,0)),"",IF(ISBLANK(OFFSET('Mock Database'!$Z$2,MATCH($A135,'Mock Database'!$C$3:$C$152,0),0)),"",INDEX('Mock Database'!$Z$3:$Z$152,MATCH($A135,'Mock Database'!$C$3:$C$152,0))))</f>
        <v/>
      </c>
      <c r="J135" s="89" t="str">
        <f ca="1">IF(ISNA(MATCH($A135,'Mock Database'!$C$3:$C$152,0)),"",IF(ISBLANK(OFFSET('Mock Database'!$AE$2,MATCH($A135,'Mock Database'!$C$3:$C$152,0),0)),"",INDEX('Mock Database'!$AE$3:$AE$152,MATCH($A135,'Mock Database'!$C$3:$C$152,0))))</f>
        <v/>
      </c>
      <c r="K135" s="22" t="str">
        <f ca="1">IF(ISNA(MATCH($A135,'Mock Database'!$C$3:$C$152,0)),"",IF(ISBLANK(OFFSET('Mock Database'!$AF$2,MATCH($A135,'Mock Database'!$C$3:$C$152,0),0)),"",INDEX('Mock Database'!$AF$3:$AF$152,MATCH($A135,'Mock Database'!$C$3:$C$152,0))))</f>
        <v/>
      </c>
      <c r="N135" t="e">
        <f t="shared" si="22"/>
        <v>#N/A</v>
      </c>
      <c r="O135" s="89" t="e">
        <f t="shared" ca="1" si="23"/>
        <v>#N/A</v>
      </c>
      <c r="P135" s="22" t="e">
        <f t="shared" ca="1" si="24"/>
        <v>#N/A</v>
      </c>
      <c r="Q135" s="89" t="e">
        <f t="shared" ca="1" si="25"/>
        <v>#N/A</v>
      </c>
      <c r="R135" s="22" t="e">
        <f t="shared" ca="1" si="26"/>
        <v>#N/A</v>
      </c>
      <c r="S135" s="89" t="e">
        <f t="shared" ca="1" si="27"/>
        <v>#N/A</v>
      </c>
      <c r="T135" s="22" t="e">
        <f t="shared" ca="1" si="28"/>
        <v>#N/A</v>
      </c>
      <c r="U135" s="89" t="e">
        <f t="shared" ca="1" si="29"/>
        <v>#N/A</v>
      </c>
      <c r="V135" s="22" t="e">
        <f t="shared" ca="1" si="30"/>
        <v>#N/A</v>
      </c>
      <c r="AM135" t="e">
        <f t="shared" si="31"/>
        <v>#N/A</v>
      </c>
      <c r="AN135" t="e">
        <f t="shared" ca="1" si="32"/>
        <v>#N/A</v>
      </c>
    </row>
    <row r="136" spans="1:40" ht="15" customHeight="1" x14ac:dyDescent="0.3">
      <c r="A136" s="87">
        <v>135</v>
      </c>
      <c r="B136" t="str">
        <f>IFERROR(INDEX('Mock Database'!$D$3:$D$152,MATCH($A136,'Mock Database'!$C$3:$C$152,0)),"")</f>
        <v/>
      </c>
      <c r="C136" s="88" t="str">
        <f>IFERROR(INDEX('Mock Database'!$I$3:$I$152,MATCH($A136,'Mock Database'!$C$3:$C$152,0)),"")</f>
        <v/>
      </c>
      <c r="D136" s="89" t="str">
        <f ca="1">IF(ISNA(MATCH($A136,'Mock Database'!$C$3:$C$152,0)),"",IF(ISBLANK(OFFSET('Mock Database'!$M$2,MATCH($A136,'Mock Database'!$C$3:$C$152,0),0)),"",INDEX('Mock Database'!$M$3:$M$152,MATCH($A136,'Mock Database'!$C$3:$C$152,0))))</f>
        <v/>
      </c>
      <c r="E136" s="22" t="str">
        <f ca="1">IF(ISNA(MATCH($A136,'Mock Database'!$C$3:$C$152,0)),"",IF(ISBLANK(OFFSET('Mock Database'!$N$2,MATCH($A136,'Mock Database'!$C$3:$C$152,0),0)),"",INDEX('Mock Database'!$N$3:$N$152,MATCH($A136,'Mock Database'!$C$3:$C$152,0))))</f>
        <v/>
      </c>
      <c r="F136" s="89" t="str">
        <f ca="1">IF(ISNA(MATCH($A136,'Mock Database'!$C$3:$C$152,0)),"",IF(ISBLANK(OFFSET('Mock Database'!$S$2,MATCH($A136,'Mock Database'!$C$3:$C$152,0),0)),"",INDEX('Mock Database'!$S$3:$S$152,MATCH($A136,'Mock Database'!$C$3:$C$152,0))))</f>
        <v/>
      </c>
      <c r="G136" s="22" t="str">
        <f ca="1">IF(ISNA(MATCH($A136,'Mock Database'!$C$3:$C$152,0)),"",IF(ISBLANK(OFFSET('Mock Database'!$T$2,MATCH($A136,'Mock Database'!$C$3:$C$152,0),0)),"",INDEX('Mock Database'!$T$3:$T$152,MATCH($A136,'Mock Database'!$C$3:$C$152,0))))</f>
        <v/>
      </c>
      <c r="H136" s="89" t="str">
        <f ca="1">IF(ISNA(MATCH($A136,'Mock Database'!$C$3:$C$152,0)),"",IF(ISBLANK(OFFSET('Mock Database'!$Y$2,MATCH($A136,'Mock Database'!$C$3:$C$152,0),0)),"",INDEX('Mock Database'!$Y$3:$Y$152,MATCH($A136,'Mock Database'!$C$3:$C$152,0))))</f>
        <v/>
      </c>
      <c r="I136" s="22" t="str">
        <f ca="1">IF(ISNA(MATCH($A136,'Mock Database'!$C$3:$C$152,0)),"",IF(ISBLANK(OFFSET('Mock Database'!$Z$2,MATCH($A136,'Mock Database'!$C$3:$C$152,0),0)),"",INDEX('Mock Database'!$Z$3:$Z$152,MATCH($A136,'Mock Database'!$C$3:$C$152,0))))</f>
        <v/>
      </c>
      <c r="J136" s="89" t="str">
        <f ca="1">IF(ISNA(MATCH($A136,'Mock Database'!$C$3:$C$152,0)),"",IF(ISBLANK(OFFSET('Mock Database'!$AE$2,MATCH($A136,'Mock Database'!$C$3:$C$152,0),0)),"",INDEX('Mock Database'!$AE$3:$AE$152,MATCH($A136,'Mock Database'!$C$3:$C$152,0))))</f>
        <v/>
      </c>
      <c r="K136" s="22" t="str">
        <f ca="1">IF(ISNA(MATCH($A136,'Mock Database'!$C$3:$C$152,0)),"",IF(ISBLANK(OFFSET('Mock Database'!$AF$2,MATCH($A136,'Mock Database'!$C$3:$C$152,0),0)),"",INDEX('Mock Database'!$AF$3:$AF$152,MATCH($A136,'Mock Database'!$C$3:$C$152,0))))</f>
        <v/>
      </c>
      <c r="N136" t="e">
        <f t="shared" si="22"/>
        <v>#N/A</v>
      </c>
      <c r="O136" s="89" t="e">
        <f t="shared" ca="1" si="23"/>
        <v>#N/A</v>
      </c>
      <c r="P136" s="22" t="e">
        <f t="shared" ca="1" si="24"/>
        <v>#N/A</v>
      </c>
      <c r="Q136" s="89" t="e">
        <f t="shared" ca="1" si="25"/>
        <v>#N/A</v>
      </c>
      <c r="R136" s="22" t="e">
        <f t="shared" ca="1" si="26"/>
        <v>#N/A</v>
      </c>
      <c r="S136" s="89" t="e">
        <f t="shared" ca="1" si="27"/>
        <v>#N/A</v>
      </c>
      <c r="T136" s="22" t="e">
        <f t="shared" ca="1" si="28"/>
        <v>#N/A</v>
      </c>
      <c r="U136" s="89" t="e">
        <f t="shared" ca="1" si="29"/>
        <v>#N/A</v>
      </c>
      <c r="V136" s="22" t="e">
        <f t="shared" ca="1" si="30"/>
        <v>#N/A</v>
      </c>
      <c r="AM136" t="e">
        <f t="shared" si="31"/>
        <v>#N/A</v>
      </c>
      <c r="AN136" t="e">
        <f t="shared" ca="1" si="32"/>
        <v>#N/A</v>
      </c>
    </row>
    <row r="137" spans="1:40" ht="15" customHeight="1" x14ac:dyDescent="0.3">
      <c r="A137" s="87">
        <v>136</v>
      </c>
      <c r="B137" t="str">
        <f>IFERROR(INDEX('Mock Database'!$D$3:$D$152,MATCH($A137,'Mock Database'!$C$3:$C$152,0)),"")</f>
        <v/>
      </c>
      <c r="C137" s="88" t="str">
        <f>IFERROR(INDEX('Mock Database'!$I$3:$I$152,MATCH($A137,'Mock Database'!$C$3:$C$152,0)),"")</f>
        <v/>
      </c>
      <c r="D137" s="89" t="str">
        <f ca="1">IF(ISNA(MATCH($A137,'Mock Database'!$C$3:$C$152,0)),"",IF(ISBLANK(OFFSET('Mock Database'!$M$2,MATCH($A137,'Mock Database'!$C$3:$C$152,0),0)),"",INDEX('Mock Database'!$M$3:$M$152,MATCH($A137,'Mock Database'!$C$3:$C$152,0))))</f>
        <v/>
      </c>
      <c r="E137" s="22" t="str">
        <f ca="1">IF(ISNA(MATCH($A137,'Mock Database'!$C$3:$C$152,0)),"",IF(ISBLANK(OFFSET('Mock Database'!$N$2,MATCH($A137,'Mock Database'!$C$3:$C$152,0),0)),"",INDEX('Mock Database'!$N$3:$N$152,MATCH($A137,'Mock Database'!$C$3:$C$152,0))))</f>
        <v/>
      </c>
      <c r="F137" s="89" t="str">
        <f ca="1">IF(ISNA(MATCH($A137,'Mock Database'!$C$3:$C$152,0)),"",IF(ISBLANK(OFFSET('Mock Database'!$S$2,MATCH($A137,'Mock Database'!$C$3:$C$152,0),0)),"",INDEX('Mock Database'!$S$3:$S$152,MATCH($A137,'Mock Database'!$C$3:$C$152,0))))</f>
        <v/>
      </c>
      <c r="G137" s="22" t="str">
        <f ca="1">IF(ISNA(MATCH($A137,'Mock Database'!$C$3:$C$152,0)),"",IF(ISBLANK(OFFSET('Mock Database'!$T$2,MATCH($A137,'Mock Database'!$C$3:$C$152,0),0)),"",INDEX('Mock Database'!$T$3:$T$152,MATCH($A137,'Mock Database'!$C$3:$C$152,0))))</f>
        <v/>
      </c>
      <c r="H137" s="89" t="str">
        <f ca="1">IF(ISNA(MATCH($A137,'Mock Database'!$C$3:$C$152,0)),"",IF(ISBLANK(OFFSET('Mock Database'!$Y$2,MATCH($A137,'Mock Database'!$C$3:$C$152,0),0)),"",INDEX('Mock Database'!$Y$3:$Y$152,MATCH($A137,'Mock Database'!$C$3:$C$152,0))))</f>
        <v/>
      </c>
      <c r="I137" s="22" t="str">
        <f ca="1">IF(ISNA(MATCH($A137,'Mock Database'!$C$3:$C$152,0)),"",IF(ISBLANK(OFFSET('Mock Database'!$Z$2,MATCH($A137,'Mock Database'!$C$3:$C$152,0),0)),"",INDEX('Mock Database'!$Z$3:$Z$152,MATCH($A137,'Mock Database'!$C$3:$C$152,0))))</f>
        <v/>
      </c>
      <c r="J137" s="89" t="str">
        <f ca="1">IF(ISNA(MATCH($A137,'Mock Database'!$C$3:$C$152,0)),"",IF(ISBLANK(OFFSET('Mock Database'!$AE$2,MATCH($A137,'Mock Database'!$C$3:$C$152,0),0)),"",INDEX('Mock Database'!$AE$3:$AE$152,MATCH($A137,'Mock Database'!$C$3:$C$152,0))))</f>
        <v/>
      </c>
      <c r="K137" s="22" t="str">
        <f ca="1">IF(ISNA(MATCH($A137,'Mock Database'!$C$3:$C$152,0)),"",IF(ISBLANK(OFFSET('Mock Database'!$AF$2,MATCH($A137,'Mock Database'!$C$3:$C$152,0),0)),"",INDEX('Mock Database'!$AF$3:$AF$152,MATCH($A137,'Mock Database'!$C$3:$C$152,0))))</f>
        <v/>
      </c>
      <c r="N137" t="e">
        <f t="shared" si="22"/>
        <v>#N/A</v>
      </c>
      <c r="O137" s="89" t="e">
        <f t="shared" ca="1" si="23"/>
        <v>#N/A</v>
      </c>
      <c r="P137" s="22" t="e">
        <f t="shared" ca="1" si="24"/>
        <v>#N/A</v>
      </c>
      <c r="Q137" s="89" t="e">
        <f t="shared" ca="1" si="25"/>
        <v>#N/A</v>
      </c>
      <c r="R137" s="22" t="e">
        <f t="shared" ca="1" si="26"/>
        <v>#N/A</v>
      </c>
      <c r="S137" s="89" t="e">
        <f t="shared" ca="1" si="27"/>
        <v>#N/A</v>
      </c>
      <c r="T137" s="22" t="e">
        <f t="shared" ca="1" si="28"/>
        <v>#N/A</v>
      </c>
      <c r="U137" s="89" t="e">
        <f t="shared" ca="1" si="29"/>
        <v>#N/A</v>
      </c>
      <c r="V137" s="22" t="e">
        <f t="shared" ca="1" si="30"/>
        <v>#N/A</v>
      </c>
      <c r="AM137" t="e">
        <f t="shared" si="31"/>
        <v>#N/A</v>
      </c>
      <c r="AN137" t="e">
        <f t="shared" ca="1" si="32"/>
        <v>#N/A</v>
      </c>
    </row>
    <row r="138" spans="1:40" ht="15" customHeight="1" x14ac:dyDescent="0.3">
      <c r="A138" s="87">
        <v>137</v>
      </c>
      <c r="B138" t="str">
        <f>IFERROR(INDEX('Mock Database'!$D$3:$D$152,MATCH($A138,'Mock Database'!$C$3:$C$152,0)),"")</f>
        <v/>
      </c>
      <c r="C138" s="88" t="str">
        <f>IFERROR(INDEX('Mock Database'!$I$3:$I$152,MATCH($A138,'Mock Database'!$C$3:$C$152,0)),"")</f>
        <v/>
      </c>
      <c r="D138" s="89" t="str">
        <f ca="1">IF(ISNA(MATCH($A138,'Mock Database'!$C$3:$C$152,0)),"",IF(ISBLANK(OFFSET('Mock Database'!$M$2,MATCH($A138,'Mock Database'!$C$3:$C$152,0),0)),"",INDEX('Mock Database'!$M$3:$M$152,MATCH($A138,'Mock Database'!$C$3:$C$152,0))))</f>
        <v/>
      </c>
      <c r="E138" s="22" t="str">
        <f ca="1">IF(ISNA(MATCH($A138,'Mock Database'!$C$3:$C$152,0)),"",IF(ISBLANK(OFFSET('Mock Database'!$N$2,MATCH($A138,'Mock Database'!$C$3:$C$152,0),0)),"",INDEX('Mock Database'!$N$3:$N$152,MATCH($A138,'Mock Database'!$C$3:$C$152,0))))</f>
        <v/>
      </c>
      <c r="F138" s="89" t="str">
        <f ca="1">IF(ISNA(MATCH($A138,'Mock Database'!$C$3:$C$152,0)),"",IF(ISBLANK(OFFSET('Mock Database'!$S$2,MATCH($A138,'Mock Database'!$C$3:$C$152,0),0)),"",INDEX('Mock Database'!$S$3:$S$152,MATCH($A138,'Mock Database'!$C$3:$C$152,0))))</f>
        <v/>
      </c>
      <c r="G138" s="22" t="str">
        <f ca="1">IF(ISNA(MATCH($A138,'Mock Database'!$C$3:$C$152,0)),"",IF(ISBLANK(OFFSET('Mock Database'!$T$2,MATCH($A138,'Mock Database'!$C$3:$C$152,0),0)),"",INDEX('Mock Database'!$T$3:$T$152,MATCH($A138,'Mock Database'!$C$3:$C$152,0))))</f>
        <v/>
      </c>
      <c r="H138" s="89" t="str">
        <f ca="1">IF(ISNA(MATCH($A138,'Mock Database'!$C$3:$C$152,0)),"",IF(ISBLANK(OFFSET('Mock Database'!$Y$2,MATCH($A138,'Mock Database'!$C$3:$C$152,0),0)),"",INDEX('Mock Database'!$Y$3:$Y$152,MATCH($A138,'Mock Database'!$C$3:$C$152,0))))</f>
        <v/>
      </c>
      <c r="I138" s="22" t="str">
        <f ca="1">IF(ISNA(MATCH($A138,'Mock Database'!$C$3:$C$152,0)),"",IF(ISBLANK(OFFSET('Mock Database'!$Z$2,MATCH($A138,'Mock Database'!$C$3:$C$152,0),0)),"",INDEX('Mock Database'!$Z$3:$Z$152,MATCH($A138,'Mock Database'!$C$3:$C$152,0))))</f>
        <v/>
      </c>
      <c r="J138" s="89" t="str">
        <f ca="1">IF(ISNA(MATCH($A138,'Mock Database'!$C$3:$C$152,0)),"",IF(ISBLANK(OFFSET('Mock Database'!$AE$2,MATCH($A138,'Mock Database'!$C$3:$C$152,0),0)),"",INDEX('Mock Database'!$AE$3:$AE$152,MATCH($A138,'Mock Database'!$C$3:$C$152,0))))</f>
        <v/>
      </c>
      <c r="K138" s="22" t="str">
        <f ca="1">IF(ISNA(MATCH($A138,'Mock Database'!$C$3:$C$152,0)),"",IF(ISBLANK(OFFSET('Mock Database'!$AF$2,MATCH($A138,'Mock Database'!$C$3:$C$152,0),0)),"",INDEX('Mock Database'!$AF$3:$AF$152,MATCH($A138,'Mock Database'!$C$3:$C$152,0))))</f>
        <v/>
      </c>
      <c r="N138" t="e">
        <f t="shared" si="22"/>
        <v>#N/A</v>
      </c>
      <c r="O138" s="89" t="e">
        <f t="shared" ca="1" si="23"/>
        <v>#N/A</v>
      </c>
      <c r="P138" s="22" t="e">
        <f t="shared" ca="1" si="24"/>
        <v>#N/A</v>
      </c>
      <c r="Q138" s="89" t="e">
        <f t="shared" ca="1" si="25"/>
        <v>#N/A</v>
      </c>
      <c r="R138" s="22" t="e">
        <f t="shared" ca="1" si="26"/>
        <v>#N/A</v>
      </c>
      <c r="S138" s="89" t="e">
        <f t="shared" ca="1" si="27"/>
        <v>#N/A</v>
      </c>
      <c r="T138" s="22" t="e">
        <f t="shared" ca="1" si="28"/>
        <v>#N/A</v>
      </c>
      <c r="U138" s="89" t="e">
        <f t="shared" ca="1" si="29"/>
        <v>#N/A</v>
      </c>
      <c r="V138" s="22" t="e">
        <f t="shared" ca="1" si="30"/>
        <v>#N/A</v>
      </c>
      <c r="AM138" t="e">
        <f t="shared" si="31"/>
        <v>#N/A</v>
      </c>
      <c r="AN138" t="e">
        <f t="shared" ca="1" si="32"/>
        <v>#N/A</v>
      </c>
    </row>
    <row r="139" spans="1:40" ht="15" customHeight="1" x14ac:dyDescent="0.3">
      <c r="A139" s="87">
        <v>138</v>
      </c>
      <c r="B139" t="str">
        <f>IFERROR(INDEX('Mock Database'!$D$3:$D$152,MATCH($A139,'Mock Database'!$C$3:$C$152,0)),"")</f>
        <v/>
      </c>
      <c r="C139" s="88" t="str">
        <f>IFERROR(INDEX('Mock Database'!$I$3:$I$152,MATCH($A139,'Mock Database'!$C$3:$C$152,0)),"")</f>
        <v/>
      </c>
      <c r="D139" s="89" t="str">
        <f ca="1">IF(ISNA(MATCH($A139,'Mock Database'!$C$3:$C$152,0)),"",IF(ISBLANK(OFFSET('Mock Database'!$M$2,MATCH($A139,'Mock Database'!$C$3:$C$152,0),0)),"",INDEX('Mock Database'!$M$3:$M$152,MATCH($A139,'Mock Database'!$C$3:$C$152,0))))</f>
        <v/>
      </c>
      <c r="E139" s="22" t="str">
        <f ca="1">IF(ISNA(MATCH($A139,'Mock Database'!$C$3:$C$152,0)),"",IF(ISBLANK(OFFSET('Mock Database'!$N$2,MATCH($A139,'Mock Database'!$C$3:$C$152,0),0)),"",INDEX('Mock Database'!$N$3:$N$152,MATCH($A139,'Mock Database'!$C$3:$C$152,0))))</f>
        <v/>
      </c>
      <c r="F139" s="89" t="str">
        <f ca="1">IF(ISNA(MATCH($A139,'Mock Database'!$C$3:$C$152,0)),"",IF(ISBLANK(OFFSET('Mock Database'!$S$2,MATCH($A139,'Mock Database'!$C$3:$C$152,0),0)),"",INDEX('Mock Database'!$S$3:$S$152,MATCH($A139,'Mock Database'!$C$3:$C$152,0))))</f>
        <v/>
      </c>
      <c r="G139" s="22" t="str">
        <f ca="1">IF(ISNA(MATCH($A139,'Mock Database'!$C$3:$C$152,0)),"",IF(ISBLANK(OFFSET('Mock Database'!$T$2,MATCH($A139,'Mock Database'!$C$3:$C$152,0),0)),"",INDEX('Mock Database'!$T$3:$T$152,MATCH($A139,'Mock Database'!$C$3:$C$152,0))))</f>
        <v/>
      </c>
      <c r="H139" s="89" t="str">
        <f ca="1">IF(ISNA(MATCH($A139,'Mock Database'!$C$3:$C$152,0)),"",IF(ISBLANK(OFFSET('Mock Database'!$Y$2,MATCH($A139,'Mock Database'!$C$3:$C$152,0),0)),"",INDEX('Mock Database'!$Y$3:$Y$152,MATCH($A139,'Mock Database'!$C$3:$C$152,0))))</f>
        <v/>
      </c>
      <c r="I139" s="22" t="str">
        <f ca="1">IF(ISNA(MATCH($A139,'Mock Database'!$C$3:$C$152,0)),"",IF(ISBLANK(OFFSET('Mock Database'!$Z$2,MATCH($A139,'Mock Database'!$C$3:$C$152,0),0)),"",INDEX('Mock Database'!$Z$3:$Z$152,MATCH($A139,'Mock Database'!$C$3:$C$152,0))))</f>
        <v/>
      </c>
      <c r="J139" s="89" t="str">
        <f ca="1">IF(ISNA(MATCH($A139,'Mock Database'!$C$3:$C$152,0)),"",IF(ISBLANK(OFFSET('Mock Database'!$AE$2,MATCH($A139,'Mock Database'!$C$3:$C$152,0),0)),"",INDEX('Mock Database'!$AE$3:$AE$152,MATCH($A139,'Mock Database'!$C$3:$C$152,0))))</f>
        <v/>
      </c>
      <c r="K139" s="22" t="str">
        <f ca="1">IF(ISNA(MATCH($A139,'Mock Database'!$C$3:$C$152,0)),"",IF(ISBLANK(OFFSET('Mock Database'!$AF$2,MATCH($A139,'Mock Database'!$C$3:$C$152,0),0)),"",INDEX('Mock Database'!$AF$3:$AF$152,MATCH($A139,'Mock Database'!$C$3:$C$152,0))))</f>
        <v/>
      </c>
      <c r="N139" t="e">
        <f t="shared" si="22"/>
        <v>#N/A</v>
      </c>
      <c r="O139" s="89" t="e">
        <f t="shared" ca="1" si="23"/>
        <v>#N/A</v>
      </c>
      <c r="P139" s="22" t="e">
        <f t="shared" ca="1" si="24"/>
        <v>#N/A</v>
      </c>
      <c r="Q139" s="89" t="e">
        <f t="shared" ca="1" si="25"/>
        <v>#N/A</v>
      </c>
      <c r="R139" s="22" t="e">
        <f t="shared" ca="1" si="26"/>
        <v>#N/A</v>
      </c>
      <c r="S139" s="89" t="e">
        <f t="shared" ca="1" si="27"/>
        <v>#N/A</v>
      </c>
      <c r="T139" s="22" t="e">
        <f t="shared" ca="1" si="28"/>
        <v>#N/A</v>
      </c>
      <c r="U139" s="89" t="e">
        <f t="shared" ca="1" si="29"/>
        <v>#N/A</v>
      </c>
      <c r="V139" s="22" t="e">
        <f t="shared" ca="1" si="30"/>
        <v>#N/A</v>
      </c>
      <c r="AM139" t="e">
        <f t="shared" si="31"/>
        <v>#N/A</v>
      </c>
      <c r="AN139" t="e">
        <f t="shared" ca="1" si="32"/>
        <v>#N/A</v>
      </c>
    </row>
    <row r="140" spans="1:40" ht="15" customHeight="1" x14ac:dyDescent="0.3">
      <c r="A140" s="87">
        <v>139</v>
      </c>
      <c r="B140" t="str">
        <f>IFERROR(INDEX('Mock Database'!$D$3:$D$152,MATCH($A140,'Mock Database'!$C$3:$C$152,0)),"")</f>
        <v/>
      </c>
      <c r="C140" s="88" t="str">
        <f>IFERROR(INDEX('Mock Database'!$I$3:$I$152,MATCH($A140,'Mock Database'!$C$3:$C$152,0)),"")</f>
        <v/>
      </c>
      <c r="D140" s="89" t="str">
        <f ca="1">IF(ISNA(MATCH($A140,'Mock Database'!$C$3:$C$152,0)),"",IF(ISBLANK(OFFSET('Mock Database'!$M$2,MATCH($A140,'Mock Database'!$C$3:$C$152,0),0)),"",INDEX('Mock Database'!$M$3:$M$152,MATCH($A140,'Mock Database'!$C$3:$C$152,0))))</f>
        <v/>
      </c>
      <c r="E140" s="22" t="str">
        <f ca="1">IF(ISNA(MATCH($A140,'Mock Database'!$C$3:$C$152,0)),"",IF(ISBLANK(OFFSET('Mock Database'!$N$2,MATCH($A140,'Mock Database'!$C$3:$C$152,0),0)),"",INDEX('Mock Database'!$N$3:$N$152,MATCH($A140,'Mock Database'!$C$3:$C$152,0))))</f>
        <v/>
      </c>
      <c r="F140" s="89" t="str">
        <f ca="1">IF(ISNA(MATCH($A140,'Mock Database'!$C$3:$C$152,0)),"",IF(ISBLANK(OFFSET('Mock Database'!$S$2,MATCH($A140,'Mock Database'!$C$3:$C$152,0),0)),"",INDEX('Mock Database'!$S$3:$S$152,MATCH($A140,'Mock Database'!$C$3:$C$152,0))))</f>
        <v/>
      </c>
      <c r="G140" s="22" t="str">
        <f ca="1">IF(ISNA(MATCH($A140,'Mock Database'!$C$3:$C$152,0)),"",IF(ISBLANK(OFFSET('Mock Database'!$T$2,MATCH($A140,'Mock Database'!$C$3:$C$152,0),0)),"",INDEX('Mock Database'!$T$3:$T$152,MATCH($A140,'Mock Database'!$C$3:$C$152,0))))</f>
        <v/>
      </c>
      <c r="H140" s="89" t="str">
        <f ca="1">IF(ISNA(MATCH($A140,'Mock Database'!$C$3:$C$152,0)),"",IF(ISBLANK(OFFSET('Mock Database'!$Y$2,MATCH($A140,'Mock Database'!$C$3:$C$152,0),0)),"",INDEX('Mock Database'!$Y$3:$Y$152,MATCH($A140,'Mock Database'!$C$3:$C$152,0))))</f>
        <v/>
      </c>
      <c r="I140" s="22" t="str">
        <f ca="1">IF(ISNA(MATCH($A140,'Mock Database'!$C$3:$C$152,0)),"",IF(ISBLANK(OFFSET('Mock Database'!$Z$2,MATCH($A140,'Mock Database'!$C$3:$C$152,0),0)),"",INDEX('Mock Database'!$Z$3:$Z$152,MATCH($A140,'Mock Database'!$C$3:$C$152,0))))</f>
        <v/>
      </c>
      <c r="J140" s="89" t="str">
        <f ca="1">IF(ISNA(MATCH($A140,'Mock Database'!$C$3:$C$152,0)),"",IF(ISBLANK(OFFSET('Mock Database'!$AE$2,MATCH($A140,'Mock Database'!$C$3:$C$152,0),0)),"",INDEX('Mock Database'!$AE$3:$AE$152,MATCH($A140,'Mock Database'!$C$3:$C$152,0))))</f>
        <v/>
      </c>
      <c r="K140" s="22" t="str">
        <f ca="1">IF(ISNA(MATCH($A140,'Mock Database'!$C$3:$C$152,0)),"",IF(ISBLANK(OFFSET('Mock Database'!$AF$2,MATCH($A140,'Mock Database'!$C$3:$C$152,0),0)),"",INDEX('Mock Database'!$AF$3:$AF$152,MATCH($A140,'Mock Database'!$C$3:$C$152,0))))</f>
        <v/>
      </c>
      <c r="N140" t="e">
        <f t="shared" si="22"/>
        <v>#N/A</v>
      </c>
      <c r="O140" s="89" t="e">
        <f t="shared" ca="1" si="23"/>
        <v>#N/A</v>
      </c>
      <c r="P140" s="22" t="e">
        <f t="shared" ca="1" si="24"/>
        <v>#N/A</v>
      </c>
      <c r="Q140" s="89" t="e">
        <f t="shared" ca="1" si="25"/>
        <v>#N/A</v>
      </c>
      <c r="R140" s="22" t="e">
        <f t="shared" ca="1" si="26"/>
        <v>#N/A</v>
      </c>
      <c r="S140" s="89" t="e">
        <f t="shared" ca="1" si="27"/>
        <v>#N/A</v>
      </c>
      <c r="T140" s="22" t="e">
        <f t="shared" ca="1" si="28"/>
        <v>#N/A</v>
      </c>
      <c r="U140" s="89" t="e">
        <f t="shared" ca="1" si="29"/>
        <v>#N/A</v>
      </c>
      <c r="V140" s="22" t="e">
        <f t="shared" ca="1" si="30"/>
        <v>#N/A</v>
      </c>
      <c r="AM140" t="e">
        <f t="shared" si="31"/>
        <v>#N/A</v>
      </c>
      <c r="AN140" t="e">
        <f t="shared" ca="1" si="32"/>
        <v>#N/A</v>
      </c>
    </row>
    <row r="141" spans="1:40" ht="15" customHeight="1" x14ac:dyDescent="0.3">
      <c r="A141" s="87">
        <v>140</v>
      </c>
      <c r="B141" t="str">
        <f>IFERROR(INDEX('Mock Database'!$D$3:$D$152,MATCH($A141,'Mock Database'!$C$3:$C$152,0)),"")</f>
        <v/>
      </c>
      <c r="C141" s="88" t="str">
        <f>IFERROR(INDEX('Mock Database'!$I$3:$I$152,MATCH($A141,'Mock Database'!$C$3:$C$152,0)),"")</f>
        <v/>
      </c>
      <c r="D141" s="89" t="str">
        <f ca="1">IF(ISNA(MATCH($A141,'Mock Database'!$C$3:$C$152,0)),"",IF(ISBLANK(OFFSET('Mock Database'!$M$2,MATCH($A141,'Mock Database'!$C$3:$C$152,0),0)),"",INDEX('Mock Database'!$M$3:$M$152,MATCH($A141,'Mock Database'!$C$3:$C$152,0))))</f>
        <v/>
      </c>
      <c r="E141" s="22" t="str">
        <f ca="1">IF(ISNA(MATCH($A141,'Mock Database'!$C$3:$C$152,0)),"",IF(ISBLANK(OFFSET('Mock Database'!$N$2,MATCH($A141,'Mock Database'!$C$3:$C$152,0),0)),"",INDEX('Mock Database'!$N$3:$N$152,MATCH($A141,'Mock Database'!$C$3:$C$152,0))))</f>
        <v/>
      </c>
      <c r="F141" s="89" t="str">
        <f ca="1">IF(ISNA(MATCH($A141,'Mock Database'!$C$3:$C$152,0)),"",IF(ISBLANK(OFFSET('Mock Database'!$S$2,MATCH($A141,'Mock Database'!$C$3:$C$152,0),0)),"",INDEX('Mock Database'!$S$3:$S$152,MATCH($A141,'Mock Database'!$C$3:$C$152,0))))</f>
        <v/>
      </c>
      <c r="G141" s="22" t="str">
        <f ca="1">IF(ISNA(MATCH($A141,'Mock Database'!$C$3:$C$152,0)),"",IF(ISBLANK(OFFSET('Mock Database'!$T$2,MATCH($A141,'Mock Database'!$C$3:$C$152,0),0)),"",INDEX('Mock Database'!$T$3:$T$152,MATCH($A141,'Mock Database'!$C$3:$C$152,0))))</f>
        <v/>
      </c>
      <c r="H141" s="89" t="str">
        <f ca="1">IF(ISNA(MATCH($A141,'Mock Database'!$C$3:$C$152,0)),"",IF(ISBLANK(OFFSET('Mock Database'!$Y$2,MATCH($A141,'Mock Database'!$C$3:$C$152,0),0)),"",INDEX('Mock Database'!$Y$3:$Y$152,MATCH($A141,'Mock Database'!$C$3:$C$152,0))))</f>
        <v/>
      </c>
      <c r="I141" s="22" t="str">
        <f ca="1">IF(ISNA(MATCH($A141,'Mock Database'!$C$3:$C$152,0)),"",IF(ISBLANK(OFFSET('Mock Database'!$Z$2,MATCH($A141,'Mock Database'!$C$3:$C$152,0),0)),"",INDEX('Mock Database'!$Z$3:$Z$152,MATCH($A141,'Mock Database'!$C$3:$C$152,0))))</f>
        <v/>
      </c>
      <c r="J141" s="89" t="str">
        <f ca="1">IF(ISNA(MATCH($A141,'Mock Database'!$C$3:$C$152,0)),"",IF(ISBLANK(OFFSET('Mock Database'!$AE$2,MATCH($A141,'Mock Database'!$C$3:$C$152,0),0)),"",INDEX('Mock Database'!$AE$3:$AE$152,MATCH($A141,'Mock Database'!$C$3:$C$152,0))))</f>
        <v/>
      </c>
      <c r="K141" s="22" t="str">
        <f ca="1">IF(ISNA(MATCH($A141,'Mock Database'!$C$3:$C$152,0)),"",IF(ISBLANK(OFFSET('Mock Database'!$AF$2,MATCH($A141,'Mock Database'!$C$3:$C$152,0),0)),"",INDEX('Mock Database'!$AF$3:$AF$152,MATCH($A141,'Mock Database'!$C$3:$C$152,0))))</f>
        <v/>
      </c>
      <c r="N141" t="e">
        <f t="shared" si="22"/>
        <v>#N/A</v>
      </c>
      <c r="O141" s="89" t="e">
        <f t="shared" ca="1" si="23"/>
        <v>#N/A</v>
      </c>
      <c r="P141" s="22" t="e">
        <f t="shared" ca="1" si="24"/>
        <v>#N/A</v>
      </c>
      <c r="Q141" s="89" t="e">
        <f t="shared" ca="1" si="25"/>
        <v>#N/A</v>
      </c>
      <c r="R141" s="22" t="e">
        <f t="shared" ca="1" si="26"/>
        <v>#N/A</v>
      </c>
      <c r="S141" s="89" t="e">
        <f t="shared" ca="1" si="27"/>
        <v>#N/A</v>
      </c>
      <c r="T141" s="22" t="e">
        <f t="shared" ca="1" si="28"/>
        <v>#N/A</v>
      </c>
      <c r="U141" s="89" t="e">
        <f t="shared" ca="1" si="29"/>
        <v>#N/A</v>
      </c>
      <c r="V141" s="22" t="e">
        <f t="shared" ca="1" si="30"/>
        <v>#N/A</v>
      </c>
      <c r="AM141" t="e">
        <f t="shared" si="31"/>
        <v>#N/A</v>
      </c>
      <c r="AN141" t="e">
        <f t="shared" ca="1" si="32"/>
        <v>#N/A</v>
      </c>
    </row>
    <row r="142" spans="1:40" ht="15" customHeight="1" x14ac:dyDescent="0.3">
      <c r="A142" s="87">
        <v>141</v>
      </c>
      <c r="B142" t="str">
        <f>IFERROR(INDEX('Mock Database'!$D$3:$D$152,MATCH($A142,'Mock Database'!$C$3:$C$152,0)),"")</f>
        <v/>
      </c>
      <c r="C142" s="88" t="str">
        <f>IFERROR(INDEX('Mock Database'!$I$3:$I$152,MATCH($A142,'Mock Database'!$C$3:$C$152,0)),"")</f>
        <v/>
      </c>
      <c r="D142" s="89" t="str">
        <f ca="1">IF(ISNA(MATCH($A142,'Mock Database'!$C$3:$C$152,0)),"",IF(ISBLANK(OFFSET('Mock Database'!$M$2,MATCH($A142,'Mock Database'!$C$3:$C$152,0),0)),"",INDEX('Mock Database'!$M$3:$M$152,MATCH($A142,'Mock Database'!$C$3:$C$152,0))))</f>
        <v/>
      </c>
      <c r="E142" s="22" t="str">
        <f ca="1">IF(ISNA(MATCH($A142,'Mock Database'!$C$3:$C$152,0)),"",IF(ISBLANK(OFFSET('Mock Database'!$N$2,MATCH($A142,'Mock Database'!$C$3:$C$152,0),0)),"",INDEX('Mock Database'!$N$3:$N$152,MATCH($A142,'Mock Database'!$C$3:$C$152,0))))</f>
        <v/>
      </c>
      <c r="F142" s="89" t="str">
        <f ca="1">IF(ISNA(MATCH($A142,'Mock Database'!$C$3:$C$152,0)),"",IF(ISBLANK(OFFSET('Mock Database'!$S$2,MATCH($A142,'Mock Database'!$C$3:$C$152,0),0)),"",INDEX('Mock Database'!$S$3:$S$152,MATCH($A142,'Mock Database'!$C$3:$C$152,0))))</f>
        <v/>
      </c>
      <c r="G142" s="22" t="str">
        <f ca="1">IF(ISNA(MATCH($A142,'Mock Database'!$C$3:$C$152,0)),"",IF(ISBLANK(OFFSET('Mock Database'!$T$2,MATCH($A142,'Mock Database'!$C$3:$C$152,0),0)),"",INDEX('Mock Database'!$T$3:$T$152,MATCH($A142,'Mock Database'!$C$3:$C$152,0))))</f>
        <v/>
      </c>
      <c r="H142" s="89" t="str">
        <f ca="1">IF(ISNA(MATCH($A142,'Mock Database'!$C$3:$C$152,0)),"",IF(ISBLANK(OFFSET('Mock Database'!$Y$2,MATCH($A142,'Mock Database'!$C$3:$C$152,0),0)),"",INDEX('Mock Database'!$Y$3:$Y$152,MATCH($A142,'Mock Database'!$C$3:$C$152,0))))</f>
        <v/>
      </c>
      <c r="I142" s="22" t="str">
        <f ca="1">IF(ISNA(MATCH($A142,'Mock Database'!$C$3:$C$152,0)),"",IF(ISBLANK(OFFSET('Mock Database'!$Z$2,MATCH($A142,'Mock Database'!$C$3:$C$152,0),0)),"",INDEX('Mock Database'!$Z$3:$Z$152,MATCH($A142,'Mock Database'!$C$3:$C$152,0))))</f>
        <v/>
      </c>
      <c r="J142" s="89" t="str">
        <f ca="1">IF(ISNA(MATCH($A142,'Mock Database'!$C$3:$C$152,0)),"",IF(ISBLANK(OFFSET('Mock Database'!$AE$2,MATCH($A142,'Mock Database'!$C$3:$C$152,0),0)),"",INDEX('Mock Database'!$AE$3:$AE$152,MATCH($A142,'Mock Database'!$C$3:$C$152,0))))</f>
        <v/>
      </c>
      <c r="K142" s="22" t="str">
        <f ca="1">IF(ISNA(MATCH($A142,'Mock Database'!$C$3:$C$152,0)),"",IF(ISBLANK(OFFSET('Mock Database'!$AF$2,MATCH($A142,'Mock Database'!$C$3:$C$152,0),0)),"",INDEX('Mock Database'!$AF$3:$AF$152,MATCH($A142,'Mock Database'!$C$3:$C$152,0))))</f>
        <v/>
      </c>
      <c r="N142" t="e">
        <f t="shared" si="22"/>
        <v>#N/A</v>
      </c>
      <c r="O142" s="89" t="e">
        <f t="shared" ca="1" si="23"/>
        <v>#N/A</v>
      </c>
      <c r="P142" s="22" t="e">
        <f t="shared" ca="1" si="24"/>
        <v>#N/A</v>
      </c>
      <c r="Q142" s="89" t="e">
        <f t="shared" ca="1" si="25"/>
        <v>#N/A</v>
      </c>
      <c r="R142" s="22" t="e">
        <f t="shared" ca="1" si="26"/>
        <v>#N/A</v>
      </c>
      <c r="S142" s="89" t="e">
        <f t="shared" ca="1" si="27"/>
        <v>#N/A</v>
      </c>
      <c r="T142" s="22" t="e">
        <f t="shared" ca="1" si="28"/>
        <v>#N/A</v>
      </c>
      <c r="U142" s="89" t="e">
        <f t="shared" ca="1" si="29"/>
        <v>#N/A</v>
      </c>
      <c r="V142" s="22" t="e">
        <f t="shared" ca="1" si="30"/>
        <v>#N/A</v>
      </c>
      <c r="AM142" t="e">
        <f t="shared" si="31"/>
        <v>#N/A</v>
      </c>
      <c r="AN142" t="e">
        <f t="shared" ca="1" si="32"/>
        <v>#N/A</v>
      </c>
    </row>
    <row r="143" spans="1:40" ht="15" customHeight="1" x14ac:dyDescent="0.3">
      <c r="A143" s="87">
        <v>142</v>
      </c>
      <c r="B143" t="str">
        <f>IFERROR(INDEX('Mock Database'!$D$3:$D$152,MATCH($A143,'Mock Database'!$C$3:$C$152,0)),"")</f>
        <v/>
      </c>
      <c r="C143" s="88" t="str">
        <f>IFERROR(INDEX('Mock Database'!$I$3:$I$152,MATCH($A143,'Mock Database'!$C$3:$C$152,0)),"")</f>
        <v/>
      </c>
      <c r="D143" s="89" t="str">
        <f ca="1">IF(ISNA(MATCH($A143,'Mock Database'!$C$3:$C$152,0)),"",IF(ISBLANK(OFFSET('Mock Database'!$M$2,MATCH($A143,'Mock Database'!$C$3:$C$152,0),0)),"",INDEX('Mock Database'!$M$3:$M$152,MATCH($A143,'Mock Database'!$C$3:$C$152,0))))</f>
        <v/>
      </c>
      <c r="E143" s="22" t="str">
        <f ca="1">IF(ISNA(MATCH($A143,'Mock Database'!$C$3:$C$152,0)),"",IF(ISBLANK(OFFSET('Mock Database'!$N$2,MATCH($A143,'Mock Database'!$C$3:$C$152,0),0)),"",INDEX('Mock Database'!$N$3:$N$152,MATCH($A143,'Mock Database'!$C$3:$C$152,0))))</f>
        <v/>
      </c>
      <c r="F143" s="89" t="str">
        <f ca="1">IF(ISNA(MATCH($A143,'Mock Database'!$C$3:$C$152,0)),"",IF(ISBLANK(OFFSET('Mock Database'!$S$2,MATCH($A143,'Mock Database'!$C$3:$C$152,0),0)),"",INDEX('Mock Database'!$S$3:$S$152,MATCH($A143,'Mock Database'!$C$3:$C$152,0))))</f>
        <v/>
      </c>
      <c r="G143" s="22" t="str">
        <f ca="1">IF(ISNA(MATCH($A143,'Mock Database'!$C$3:$C$152,0)),"",IF(ISBLANK(OFFSET('Mock Database'!$T$2,MATCH($A143,'Mock Database'!$C$3:$C$152,0),0)),"",INDEX('Mock Database'!$T$3:$T$152,MATCH($A143,'Mock Database'!$C$3:$C$152,0))))</f>
        <v/>
      </c>
      <c r="H143" s="89" t="str">
        <f ca="1">IF(ISNA(MATCH($A143,'Mock Database'!$C$3:$C$152,0)),"",IF(ISBLANK(OFFSET('Mock Database'!$Y$2,MATCH($A143,'Mock Database'!$C$3:$C$152,0),0)),"",INDEX('Mock Database'!$Y$3:$Y$152,MATCH($A143,'Mock Database'!$C$3:$C$152,0))))</f>
        <v/>
      </c>
      <c r="I143" s="22" t="str">
        <f ca="1">IF(ISNA(MATCH($A143,'Mock Database'!$C$3:$C$152,0)),"",IF(ISBLANK(OFFSET('Mock Database'!$Z$2,MATCH($A143,'Mock Database'!$C$3:$C$152,0),0)),"",INDEX('Mock Database'!$Z$3:$Z$152,MATCH($A143,'Mock Database'!$C$3:$C$152,0))))</f>
        <v/>
      </c>
      <c r="J143" s="89" t="str">
        <f ca="1">IF(ISNA(MATCH($A143,'Mock Database'!$C$3:$C$152,0)),"",IF(ISBLANK(OFFSET('Mock Database'!$AE$2,MATCH($A143,'Mock Database'!$C$3:$C$152,0),0)),"",INDEX('Mock Database'!$AE$3:$AE$152,MATCH($A143,'Mock Database'!$C$3:$C$152,0))))</f>
        <v/>
      </c>
      <c r="K143" s="22" t="str">
        <f ca="1">IF(ISNA(MATCH($A143,'Mock Database'!$C$3:$C$152,0)),"",IF(ISBLANK(OFFSET('Mock Database'!$AF$2,MATCH($A143,'Mock Database'!$C$3:$C$152,0),0)),"",INDEX('Mock Database'!$AF$3:$AF$152,MATCH($A143,'Mock Database'!$C$3:$C$152,0))))</f>
        <v/>
      </c>
      <c r="N143" t="e">
        <f t="shared" si="22"/>
        <v>#N/A</v>
      </c>
      <c r="O143" s="89" t="e">
        <f t="shared" ca="1" si="23"/>
        <v>#N/A</v>
      </c>
      <c r="P143" s="22" t="e">
        <f t="shared" ca="1" si="24"/>
        <v>#N/A</v>
      </c>
      <c r="Q143" s="89" t="e">
        <f t="shared" ca="1" si="25"/>
        <v>#N/A</v>
      </c>
      <c r="R143" s="22" t="e">
        <f t="shared" ca="1" si="26"/>
        <v>#N/A</v>
      </c>
      <c r="S143" s="89" t="e">
        <f t="shared" ca="1" si="27"/>
        <v>#N/A</v>
      </c>
      <c r="T143" s="22" t="e">
        <f t="shared" ca="1" si="28"/>
        <v>#N/A</v>
      </c>
      <c r="U143" s="89" t="e">
        <f t="shared" ca="1" si="29"/>
        <v>#N/A</v>
      </c>
      <c r="V143" s="22" t="e">
        <f t="shared" ca="1" si="30"/>
        <v>#N/A</v>
      </c>
      <c r="AM143" t="e">
        <f t="shared" si="31"/>
        <v>#N/A</v>
      </c>
      <c r="AN143" t="e">
        <f t="shared" ca="1" si="32"/>
        <v>#N/A</v>
      </c>
    </row>
    <row r="144" spans="1:40" ht="15" customHeight="1" x14ac:dyDescent="0.3">
      <c r="A144" s="87">
        <v>143</v>
      </c>
      <c r="B144" t="str">
        <f>IFERROR(INDEX('Mock Database'!$D$3:$D$152,MATCH($A144,'Mock Database'!$C$3:$C$152,0)),"")</f>
        <v/>
      </c>
      <c r="C144" s="88" t="str">
        <f>IFERROR(INDEX('Mock Database'!$I$3:$I$152,MATCH($A144,'Mock Database'!$C$3:$C$152,0)),"")</f>
        <v/>
      </c>
      <c r="D144" s="89" t="str">
        <f ca="1">IF(ISNA(MATCH($A144,'Mock Database'!$C$3:$C$152,0)),"",IF(ISBLANK(OFFSET('Mock Database'!$M$2,MATCH($A144,'Mock Database'!$C$3:$C$152,0),0)),"",INDEX('Mock Database'!$M$3:$M$152,MATCH($A144,'Mock Database'!$C$3:$C$152,0))))</f>
        <v/>
      </c>
      <c r="E144" s="22" t="str">
        <f ca="1">IF(ISNA(MATCH($A144,'Mock Database'!$C$3:$C$152,0)),"",IF(ISBLANK(OFFSET('Mock Database'!$N$2,MATCH($A144,'Mock Database'!$C$3:$C$152,0),0)),"",INDEX('Mock Database'!$N$3:$N$152,MATCH($A144,'Mock Database'!$C$3:$C$152,0))))</f>
        <v/>
      </c>
      <c r="F144" s="89" t="str">
        <f ca="1">IF(ISNA(MATCH($A144,'Mock Database'!$C$3:$C$152,0)),"",IF(ISBLANK(OFFSET('Mock Database'!$S$2,MATCH($A144,'Mock Database'!$C$3:$C$152,0),0)),"",INDEX('Mock Database'!$S$3:$S$152,MATCH($A144,'Mock Database'!$C$3:$C$152,0))))</f>
        <v/>
      </c>
      <c r="G144" s="22" t="str">
        <f ca="1">IF(ISNA(MATCH($A144,'Mock Database'!$C$3:$C$152,0)),"",IF(ISBLANK(OFFSET('Mock Database'!$T$2,MATCH($A144,'Mock Database'!$C$3:$C$152,0),0)),"",INDEX('Mock Database'!$T$3:$T$152,MATCH($A144,'Mock Database'!$C$3:$C$152,0))))</f>
        <v/>
      </c>
      <c r="H144" s="89" t="str">
        <f ca="1">IF(ISNA(MATCH($A144,'Mock Database'!$C$3:$C$152,0)),"",IF(ISBLANK(OFFSET('Mock Database'!$Y$2,MATCH($A144,'Mock Database'!$C$3:$C$152,0),0)),"",INDEX('Mock Database'!$Y$3:$Y$152,MATCH($A144,'Mock Database'!$C$3:$C$152,0))))</f>
        <v/>
      </c>
      <c r="I144" s="22" t="str">
        <f ca="1">IF(ISNA(MATCH($A144,'Mock Database'!$C$3:$C$152,0)),"",IF(ISBLANK(OFFSET('Mock Database'!$Z$2,MATCH($A144,'Mock Database'!$C$3:$C$152,0),0)),"",INDEX('Mock Database'!$Z$3:$Z$152,MATCH($A144,'Mock Database'!$C$3:$C$152,0))))</f>
        <v/>
      </c>
      <c r="J144" s="89" t="str">
        <f ca="1">IF(ISNA(MATCH($A144,'Mock Database'!$C$3:$C$152,0)),"",IF(ISBLANK(OFFSET('Mock Database'!$AE$2,MATCH($A144,'Mock Database'!$C$3:$C$152,0),0)),"",INDEX('Mock Database'!$AE$3:$AE$152,MATCH($A144,'Mock Database'!$C$3:$C$152,0))))</f>
        <v/>
      </c>
      <c r="K144" s="22" t="str">
        <f ca="1">IF(ISNA(MATCH($A144,'Mock Database'!$C$3:$C$152,0)),"",IF(ISBLANK(OFFSET('Mock Database'!$AF$2,MATCH($A144,'Mock Database'!$C$3:$C$152,0),0)),"",INDEX('Mock Database'!$AF$3:$AF$152,MATCH($A144,'Mock Database'!$C$3:$C$152,0))))</f>
        <v/>
      </c>
      <c r="N144" t="e">
        <f t="shared" si="22"/>
        <v>#N/A</v>
      </c>
      <c r="O144" s="89" t="e">
        <f t="shared" ca="1" si="23"/>
        <v>#N/A</v>
      </c>
      <c r="P144" s="22" t="e">
        <f t="shared" ca="1" si="24"/>
        <v>#N/A</v>
      </c>
      <c r="Q144" s="89" t="e">
        <f t="shared" ca="1" si="25"/>
        <v>#N/A</v>
      </c>
      <c r="R144" s="22" t="e">
        <f t="shared" ca="1" si="26"/>
        <v>#N/A</v>
      </c>
      <c r="S144" s="89" t="e">
        <f t="shared" ca="1" si="27"/>
        <v>#N/A</v>
      </c>
      <c r="T144" s="22" t="e">
        <f t="shared" ca="1" si="28"/>
        <v>#N/A</v>
      </c>
      <c r="U144" s="89" t="e">
        <f t="shared" ca="1" si="29"/>
        <v>#N/A</v>
      </c>
      <c r="V144" s="22" t="e">
        <f t="shared" ca="1" si="30"/>
        <v>#N/A</v>
      </c>
      <c r="AM144" t="e">
        <f t="shared" si="31"/>
        <v>#N/A</v>
      </c>
      <c r="AN144" t="e">
        <f t="shared" ca="1" si="32"/>
        <v>#N/A</v>
      </c>
    </row>
    <row r="145" spans="1:40" ht="15" customHeight="1" x14ac:dyDescent="0.3">
      <c r="A145" s="87">
        <v>144</v>
      </c>
      <c r="B145" t="str">
        <f>IFERROR(INDEX('Mock Database'!$D$3:$D$152,MATCH($A145,'Mock Database'!$C$3:$C$152,0)),"")</f>
        <v/>
      </c>
      <c r="C145" s="88" t="str">
        <f>IFERROR(INDEX('Mock Database'!$I$3:$I$152,MATCH($A145,'Mock Database'!$C$3:$C$152,0)),"")</f>
        <v/>
      </c>
      <c r="D145" s="89" t="str">
        <f ca="1">IF(ISNA(MATCH($A145,'Mock Database'!$C$3:$C$152,0)),"",IF(ISBLANK(OFFSET('Mock Database'!$M$2,MATCH($A145,'Mock Database'!$C$3:$C$152,0),0)),"",INDEX('Mock Database'!$M$3:$M$152,MATCH($A145,'Mock Database'!$C$3:$C$152,0))))</f>
        <v/>
      </c>
      <c r="E145" s="22" t="str">
        <f ca="1">IF(ISNA(MATCH($A145,'Mock Database'!$C$3:$C$152,0)),"",IF(ISBLANK(OFFSET('Mock Database'!$N$2,MATCH($A145,'Mock Database'!$C$3:$C$152,0),0)),"",INDEX('Mock Database'!$N$3:$N$152,MATCH($A145,'Mock Database'!$C$3:$C$152,0))))</f>
        <v/>
      </c>
      <c r="F145" s="89" t="str">
        <f ca="1">IF(ISNA(MATCH($A145,'Mock Database'!$C$3:$C$152,0)),"",IF(ISBLANK(OFFSET('Mock Database'!$S$2,MATCH($A145,'Mock Database'!$C$3:$C$152,0),0)),"",INDEX('Mock Database'!$S$3:$S$152,MATCH($A145,'Mock Database'!$C$3:$C$152,0))))</f>
        <v/>
      </c>
      <c r="G145" s="22" t="str">
        <f ca="1">IF(ISNA(MATCH($A145,'Mock Database'!$C$3:$C$152,0)),"",IF(ISBLANK(OFFSET('Mock Database'!$T$2,MATCH($A145,'Mock Database'!$C$3:$C$152,0),0)),"",INDEX('Mock Database'!$T$3:$T$152,MATCH($A145,'Mock Database'!$C$3:$C$152,0))))</f>
        <v/>
      </c>
      <c r="H145" s="89" t="str">
        <f ca="1">IF(ISNA(MATCH($A145,'Mock Database'!$C$3:$C$152,0)),"",IF(ISBLANK(OFFSET('Mock Database'!$Y$2,MATCH($A145,'Mock Database'!$C$3:$C$152,0),0)),"",INDEX('Mock Database'!$Y$3:$Y$152,MATCH($A145,'Mock Database'!$C$3:$C$152,0))))</f>
        <v/>
      </c>
      <c r="I145" s="22" t="str">
        <f ca="1">IF(ISNA(MATCH($A145,'Mock Database'!$C$3:$C$152,0)),"",IF(ISBLANK(OFFSET('Mock Database'!$Z$2,MATCH($A145,'Mock Database'!$C$3:$C$152,0),0)),"",INDEX('Mock Database'!$Z$3:$Z$152,MATCH($A145,'Mock Database'!$C$3:$C$152,0))))</f>
        <v/>
      </c>
      <c r="J145" s="89" t="str">
        <f ca="1">IF(ISNA(MATCH($A145,'Mock Database'!$C$3:$C$152,0)),"",IF(ISBLANK(OFFSET('Mock Database'!$AE$2,MATCH($A145,'Mock Database'!$C$3:$C$152,0),0)),"",INDEX('Mock Database'!$AE$3:$AE$152,MATCH($A145,'Mock Database'!$C$3:$C$152,0))))</f>
        <v/>
      </c>
      <c r="K145" s="22" t="str">
        <f ca="1">IF(ISNA(MATCH($A145,'Mock Database'!$C$3:$C$152,0)),"",IF(ISBLANK(OFFSET('Mock Database'!$AF$2,MATCH($A145,'Mock Database'!$C$3:$C$152,0),0)),"",INDEX('Mock Database'!$AF$3:$AF$152,MATCH($A145,'Mock Database'!$C$3:$C$152,0))))</f>
        <v/>
      </c>
      <c r="N145" t="e">
        <f t="shared" si="22"/>
        <v>#N/A</v>
      </c>
      <c r="O145" s="89" t="e">
        <f t="shared" ca="1" si="23"/>
        <v>#N/A</v>
      </c>
      <c r="P145" s="22" t="e">
        <f t="shared" ca="1" si="24"/>
        <v>#N/A</v>
      </c>
      <c r="Q145" s="89" t="e">
        <f t="shared" ca="1" si="25"/>
        <v>#N/A</v>
      </c>
      <c r="R145" s="22" t="e">
        <f t="shared" ca="1" si="26"/>
        <v>#N/A</v>
      </c>
      <c r="S145" s="89" t="e">
        <f t="shared" ca="1" si="27"/>
        <v>#N/A</v>
      </c>
      <c r="T145" s="22" t="e">
        <f t="shared" ca="1" si="28"/>
        <v>#N/A</v>
      </c>
      <c r="U145" s="89" t="e">
        <f t="shared" ca="1" si="29"/>
        <v>#N/A</v>
      </c>
      <c r="V145" s="22" t="e">
        <f t="shared" ca="1" si="30"/>
        <v>#N/A</v>
      </c>
      <c r="AM145" t="e">
        <f t="shared" si="31"/>
        <v>#N/A</v>
      </c>
      <c r="AN145" t="e">
        <f t="shared" ca="1" si="32"/>
        <v>#N/A</v>
      </c>
    </row>
    <row r="146" spans="1:40" ht="15" customHeight="1" x14ac:dyDescent="0.3">
      <c r="A146" s="87">
        <v>145</v>
      </c>
      <c r="B146" t="str">
        <f>IFERROR(INDEX('Mock Database'!$D$3:$D$152,MATCH($A146,'Mock Database'!$C$3:$C$152,0)),"")</f>
        <v/>
      </c>
      <c r="C146" s="88" t="str">
        <f>IFERROR(INDEX('Mock Database'!$I$3:$I$152,MATCH($A146,'Mock Database'!$C$3:$C$152,0)),"")</f>
        <v/>
      </c>
      <c r="D146" s="89" t="str">
        <f ca="1">IF(ISNA(MATCH($A146,'Mock Database'!$C$3:$C$152,0)),"",IF(ISBLANK(OFFSET('Mock Database'!$M$2,MATCH($A146,'Mock Database'!$C$3:$C$152,0),0)),"",INDEX('Mock Database'!$M$3:$M$152,MATCH($A146,'Mock Database'!$C$3:$C$152,0))))</f>
        <v/>
      </c>
      <c r="E146" s="22" t="str">
        <f ca="1">IF(ISNA(MATCH($A146,'Mock Database'!$C$3:$C$152,0)),"",IF(ISBLANK(OFFSET('Mock Database'!$N$2,MATCH($A146,'Mock Database'!$C$3:$C$152,0),0)),"",INDEX('Mock Database'!$N$3:$N$152,MATCH($A146,'Mock Database'!$C$3:$C$152,0))))</f>
        <v/>
      </c>
      <c r="F146" s="89" t="str">
        <f ca="1">IF(ISNA(MATCH($A146,'Mock Database'!$C$3:$C$152,0)),"",IF(ISBLANK(OFFSET('Mock Database'!$S$2,MATCH($A146,'Mock Database'!$C$3:$C$152,0),0)),"",INDEX('Mock Database'!$S$3:$S$152,MATCH($A146,'Mock Database'!$C$3:$C$152,0))))</f>
        <v/>
      </c>
      <c r="G146" s="22" t="str">
        <f ca="1">IF(ISNA(MATCH($A146,'Mock Database'!$C$3:$C$152,0)),"",IF(ISBLANK(OFFSET('Mock Database'!$T$2,MATCH($A146,'Mock Database'!$C$3:$C$152,0),0)),"",INDEX('Mock Database'!$T$3:$T$152,MATCH($A146,'Mock Database'!$C$3:$C$152,0))))</f>
        <v/>
      </c>
      <c r="H146" s="89" t="str">
        <f ca="1">IF(ISNA(MATCH($A146,'Mock Database'!$C$3:$C$152,0)),"",IF(ISBLANK(OFFSET('Mock Database'!$Y$2,MATCH($A146,'Mock Database'!$C$3:$C$152,0),0)),"",INDEX('Mock Database'!$Y$3:$Y$152,MATCH($A146,'Mock Database'!$C$3:$C$152,0))))</f>
        <v/>
      </c>
      <c r="I146" s="22" t="str">
        <f ca="1">IF(ISNA(MATCH($A146,'Mock Database'!$C$3:$C$152,0)),"",IF(ISBLANK(OFFSET('Mock Database'!$Z$2,MATCH($A146,'Mock Database'!$C$3:$C$152,0),0)),"",INDEX('Mock Database'!$Z$3:$Z$152,MATCH($A146,'Mock Database'!$C$3:$C$152,0))))</f>
        <v/>
      </c>
      <c r="J146" s="89" t="str">
        <f ca="1">IF(ISNA(MATCH($A146,'Mock Database'!$C$3:$C$152,0)),"",IF(ISBLANK(OFFSET('Mock Database'!$AE$2,MATCH($A146,'Mock Database'!$C$3:$C$152,0),0)),"",INDEX('Mock Database'!$AE$3:$AE$152,MATCH($A146,'Mock Database'!$C$3:$C$152,0))))</f>
        <v/>
      </c>
      <c r="K146" s="22" t="str">
        <f ca="1">IF(ISNA(MATCH($A146,'Mock Database'!$C$3:$C$152,0)),"",IF(ISBLANK(OFFSET('Mock Database'!$AF$2,MATCH($A146,'Mock Database'!$C$3:$C$152,0),0)),"",INDEX('Mock Database'!$AF$3:$AF$152,MATCH($A146,'Mock Database'!$C$3:$C$152,0))))</f>
        <v/>
      </c>
      <c r="N146" t="e">
        <f t="shared" si="22"/>
        <v>#N/A</v>
      </c>
      <c r="O146" s="89" t="e">
        <f t="shared" ca="1" si="23"/>
        <v>#N/A</v>
      </c>
      <c r="P146" s="22" t="e">
        <f t="shared" ca="1" si="24"/>
        <v>#N/A</v>
      </c>
      <c r="Q146" s="89" t="e">
        <f t="shared" ca="1" si="25"/>
        <v>#N/A</v>
      </c>
      <c r="R146" s="22" t="e">
        <f t="shared" ca="1" si="26"/>
        <v>#N/A</v>
      </c>
      <c r="S146" s="89" t="e">
        <f t="shared" ca="1" si="27"/>
        <v>#N/A</v>
      </c>
      <c r="T146" s="22" t="e">
        <f t="shared" ca="1" si="28"/>
        <v>#N/A</v>
      </c>
      <c r="U146" s="89" t="e">
        <f t="shared" ca="1" si="29"/>
        <v>#N/A</v>
      </c>
      <c r="V146" s="22" t="e">
        <f t="shared" ca="1" si="30"/>
        <v>#N/A</v>
      </c>
      <c r="AM146" t="e">
        <f t="shared" si="31"/>
        <v>#N/A</v>
      </c>
      <c r="AN146" t="e">
        <f t="shared" ca="1" si="32"/>
        <v>#N/A</v>
      </c>
    </row>
    <row r="147" spans="1:40" ht="15" customHeight="1" x14ac:dyDescent="0.3">
      <c r="A147" s="87">
        <v>146</v>
      </c>
      <c r="B147" t="str">
        <f>IFERROR(INDEX('Mock Database'!$D$3:$D$152,MATCH($A147,'Mock Database'!$C$3:$C$152,0)),"")</f>
        <v/>
      </c>
      <c r="C147" s="88" t="str">
        <f>IFERROR(INDEX('Mock Database'!$I$3:$I$152,MATCH($A147,'Mock Database'!$C$3:$C$152,0)),"")</f>
        <v/>
      </c>
      <c r="D147" s="89" t="str">
        <f ca="1">IF(ISNA(MATCH($A147,'Mock Database'!$C$3:$C$152,0)),"",IF(ISBLANK(OFFSET('Mock Database'!$M$2,MATCH($A147,'Mock Database'!$C$3:$C$152,0),0)),"",INDEX('Mock Database'!$M$3:$M$152,MATCH($A147,'Mock Database'!$C$3:$C$152,0))))</f>
        <v/>
      </c>
      <c r="E147" s="22" t="str">
        <f ca="1">IF(ISNA(MATCH($A147,'Mock Database'!$C$3:$C$152,0)),"",IF(ISBLANK(OFFSET('Mock Database'!$N$2,MATCH($A147,'Mock Database'!$C$3:$C$152,0),0)),"",INDEX('Mock Database'!$N$3:$N$152,MATCH($A147,'Mock Database'!$C$3:$C$152,0))))</f>
        <v/>
      </c>
      <c r="F147" s="89" t="str">
        <f ca="1">IF(ISNA(MATCH($A147,'Mock Database'!$C$3:$C$152,0)),"",IF(ISBLANK(OFFSET('Mock Database'!$S$2,MATCH($A147,'Mock Database'!$C$3:$C$152,0),0)),"",INDEX('Mock Database'!$S$3:$S$152,MATCH($A147,'Mock Database'!$C$3:$C$152,0))))</f>
        <v/>
      </c>
      <c r="G147" s="22" t="str">
        <f ca="1">IF(ISNA(MATCH($A147,'Mock Database'!$C$3:$C$152,0)),"",IF(ISBLANK(OFFSET('Mock Database'!$T$2,MATCH($A147,'Mock Database'!$C$3:$C$152,0),0)),"",INDEX('Mock Database'!$T$3:$T$152,MATCH($A147,'Mock Database'!$C$3:$C$152,0))))</f>
        <v/>
      </c>
      <c r="H147" s="89" t="str">
        <f ca="1">IF(ISNA(MATCH($A147,'Mock Database'!$C$3:$C$152,0)),"",IF(ISBLANK(OFFSET('Mock Database'!$Y$2,MATCH($A147,'Mock Database'!$C$3:$C$152,0),0)),"",INDEX('Mock Database'!$Y$3:$Y$152,MATCH($A147,'Mock Database'!$C$3:$C$152,0))))</f>
        <v/>
      </c>
      <c r="I147" s="22" t="str">
        <f ca="1">IF(ISNA(MATCH($A147,'Mock Database'!$C$3:$C$152,0)),"",IF(ISBLANK(OFFSET('Mock Database'!$Z$2,MATCH($A147,'Mock Database'!$C$3:$C$152,0),0)),"",INDEX('Mock Database'!$Z$3:$Z$152,MATCH($A147,'Mock Database'!$C$3:$C$152,0))))</f>
        <v/>
      </c>
      <c r="J147" s="89" t="str">
        <f ca="1">IF(ISNA(MATCH($A147,'Mock Database'!$C$3:$C$152,0)),"",IF(ISBLANK(OFFSET('Mock Database'!$AE$2,MATCH($A147,'Mock Database'!$C$3:$C$152,0),0)),"",INDEX('Mock Database'!$AE$3:$AE$152,MATCH($A147,'Mock Database'!$C$3:$C$152,0))))</f>
        <v/>
      </c>
      <c r="K147" s="22" t="str">
        <f ca="1">IF(ISNA(MATCH($A147,'Mock Database'!$C$3:$C$152,0)),"",IF(ISBLANK(OFFSET('Mock Database'!$AF$2,MATCH($A147,'Mock Database'!$C$3:$C$152,0),0)),"",INDEX('Mock Database'!$AF$3:$AF$152,MATCH($A147,'Mock Database'!$C$3:$C$152,0))))</f>
        <v/>
      </c>
      <c r="N147" t="e">
        <f t="shared" si="22"/>
        <v>#N/A</v>
      </c>
      <c r="O147" s="89" t="e">
        <f t="shared" ca="1" si="23"/>
        <v>#N/A</v>
      </c>
      <c r="P147" s="22" t="e">
        <f t="shared" ca="1" si="24"/>
        <v>#N/A</v>
      </c>
      <c r="Q147" s="89" t="e">
        <f t="shared" ca="1" si="25"/>
        <v>#N/A</v>
      </c>
      <c r="R147" s="22" t="e">
        <f t="shared" ca="1" si="26"/>
        <v>#N/A</v>
      </c>
      <c r="S147" s="89" t="e">
        <f t="shared" ca="1" si="27"/>
        <v>#N/A</v>
      </c>
      <c r="T147" s="22" t="e">
        <f t="shared" ca="1" si="28"/>
        <v>#N/A</v>
      </c>
      <c r="U147" s="89" t="e">
        <f t="shared" ca="1" si="29"/>
        <v>#N/A</v>
      </c>
      <c r="V147" s="22" t="e">
        <f t="shared" ca="1" si="30"/>
        <v>#N/A</v>
      </c>
      <c r="AM147" t="e">
        <f t="shared" si="31"/>
        <v>#N/A</v>
      </c>
      <c r="AN147" t="e">
        <f t="shared" ca="1" si="32"/>
        <v>#N/A</v>
      </c>
    </row>
    <row r="148" spans="1:40" ht="15" customHeight="1" x14ac:dyDescent="0.3">
      <c r="A148" s="87">
        <v>147</v>
      </c>
      <c r="B148" t="str">
        <f>IFERROR(INDEX('Mock Database'!$D$3:$D$152,MATCH($A148,'Mock Database'!$C$3:$C$152,0)),"")</f>
        <v/>
      </c>
      <c r="C148" s="88" t="str">
        <f>IFERROR(INDEX('Mock Database'!$I$3:$I$152,MATCH($A148,'Mock Database'!$C$3:$C$152,0)),"")</f>
        <v/>
      </c>
      <c r="D148" s="89" t="str">
        <f ca="1">IF(ISNA(MATCH($A148,'Mock Database'!$C$3:$C$152,0)),"",IF(ISBLANK(OFFSET('Mock Database'!$M$2,MATCH($A148,'Mock Database'!$C$3:$C$152,0),0)),"",INDEX('Mock Database'!$M$3:$M$152,MATCH($A148,'Mock Database'!$C$3:$C$152,0))))</f>
        <v/>
      </c>
      <c r="E148" s="22" t="str">
        <f ca="1">IF(ISNA(MATCH($A148,'Mock Database'!$C$3:$C$152,0)),"",IF(ISBLANK(OFFSET('Mock Database'!$N$2,MATCH($A148,'Mock Database'!$C$3:$C$152,0),0)),"",INDEX('Mock Database'!$N$3:$N$152,MATCH($A148,'Mock Database'!$C$3:$C$152,0))))</f>
        <v/>
      </c>
      <c r="F148" s="89" t="str">
        <f ca="1">IF(ISNA(MATCH($A148,'Mock Database'!$C$3:$C$152,0)),"",IF(ISBLANK(OFFSET('Mock Database'!$S$2,MATCH($A148,'Mock Database'!$C$3:$C$152,0),0)),"",INDEX('Mock Database'!$S$3:$S$152,MATCH($A148,'Mock Database'!$C$3:$C$152,0))))</f>
        <v/>
      </c>
      <c r="G148" s="22" t="str">
        <f ca="1">IF(ISNA(MATCH($A148,'Mock Database'!$C$3:$C$152,0)),"",IF(ISBLANK(OFFSET('Mock Database'!$T$2,MATCH($A148,'Mock Database'!$C$3:$C$152,0),0)),"",INDEX('Mock Database'!$T$3:$T$152,MATCH($A148,'Mock Database'!$C$3:$C$152,0))))</f>
        <v/>
      </c>
      <c r="H148" s="89" t="str">
        <f ca="1">IF(ISNA(MATCH($A148,'Mock Database'!$C$3:$C$152,0)),"",IF(ISBLANK(OFFSET('Mock Database'!$Y$2,MATCH($A148,'Mock Database'!$C$3:$C$152,0),0)),"",INDEX('Mock Database'!$Y$3:$Y$152,MATCH($A148,'Mock Database'!$C$3:$C$152,0))))</f>
        <v/>
      </c>
      <c r="I148" s="22" t="str">
        <f ca="1">IF(ISNA(MATCH($A148,'Mock Database'!$C$3:$C$152,0)),"",IF(ISBLANK(OFFSET('Mock Database'!$Z$2,MATCH($A148,'Mock Database'!$C$3:$C$152,0),0)),"",INDEX('Mock Database'!$Z$3:$Z$152,MATCH($A148,'Mock Database'!$C$3:$C$152,0))))</f>
        <v/>
      </c>
      <c r="J148" s="89" t="str">
        <f ca="1">IF(ISNA(MATCH($A148,'Mock Database'!$C$3:$C$152,0)),"",IF(ISBLANK(OFFSET('Mock Database'!$AE$2,MATCH($A148,'Mock Database'!$C$3:$C$152,0),0)),"",INDEX('Mock Database'!$AE$3:$AE$152,MATCH($A148,'Mock Database'!$C$3:$C$152,0))))</f>
        <v/>
      </c>
      <c r="K148" s="22" t="str">
        <f ca="1">IF(ISNA(MATCH($A148,'Mock Database'!$C$3:$C$152,0)),"",IF(ISBLANK(OFFSET('Mock Database'!$AF$2,MATCH($A148,'Mock Database'!$C$3:$C$152,0),0)),"",INDEX('Mock Database'!$AF$3:$AF$152,MATCH($A148,'Mock Database'!$C$3:$C$152,0))))</f>
        <v/>
      </c>
      <c r="N148" t="e">
        <f t="shared" si="22"/>
        <v>#N/A</v>
      </c>
      <c r="O148" s="89" t="e">
        <f t="shared" ca="1" si="23"/>
        <v>#N/A</v>
      </c>
      <c r="P148" s="22" t="e">
        <f t="shared" ca="1" si="24"/>
        <v>#N/A</v>
      </c>
      <c r="Q148" s="89" t="e">
        <f t="shared" ca="1" si="25"/>
        <v>#N/A</v>
      </c>
      <c r="R148" s="22" t="e">
        <f t="shared" ca="1" si="26"/>
        <v>#N/A</v>
      </c>
      <c r="S148" s="89" t="e">
        <f t="shared" ca="1" si="27"/>
        <v>#N/A</v>
      </c>
      <c r="T148" s="22" t="e">
        <f t="shared" ca="1" si="28"/>
        <v>#N/A</v>
      </c>
      <c r="U148" s="89" t="e">
        <f t="shared" ca="1" si="29"/>
        <v>#N/A</v>
      </c>
      <c r="V148" s="22" t="e">
        <f t="shared" ca="1" si="30"/>
        <v>#N/A</v>
      </c>
      <c r="AM148" t="e">
        <f t="shared" si="31"/>
        <v>#N/A</v>
      </c>
      <c r="AN148" t="e">
        <f t="shared" ca="1" si="32"/>
        <v>#N/A</v>
      </c>
    </row>
    <row r="149" spans="1:40" ht="15" customHeight="1" x14ac:dyDescent="0.3">
      <c r="A149" s="87">
        <v>148</v>
      </c>
      <c r="B149" t="str">
        <f>IFERROR(INDEX('Mock Database'!$D$3:$D$152,MATCH($A149,'Mock Database'!$C$3:$C$152,0)),"")</f>
        <v/>
      </c>
      <c r="C149" s="88" t="str">
        <f>IFERROR(INDEX('Mock Database'!$I$3:$I$152,MATCH($A149,'Mock Database'!$C$3:$C$152,0)),"")</f>
        <v/>
      </c>
      <c r="D149" s="89" t="str">
        <f ca="1">IF(ISNA(MATCH($A149,'Mock Database'!$C$3:$C$152,0)),"",IF(ISBLANK(OFFSET('Mock Database'!$M$2,MATCH($A149,'Mock Database'!$C$3:$C$152,0),0)),"",INDEX('Mock Database'!$M$3:$M$152,MATCH($A149,'Mock Database'!$C$3:$C$152,0))))</f>
        <v/>
      </c>
      <c r="E149" s="22" t="str">
        <f ca="1">IF(ISNA(MATCH($A149,'Mock Database'!$C$3:$C$152,0)),"",IF(ISBLANK(OFFSET('Mock Database'!$N$2,MATCH($A149,'Mock Database'!$C$3:$C$152,0),0)),"",INDEX('Mock Database'!$N$3:$N$152,MATCH($A149,'Mock Database'!$C$3:$C$152,0))))</f>
        <v/>
      </c>
      <c r="F149" s="89" t="str">
        <f ca="1">IF(ISNA(MATCH($A149,'Mock Database'!$C$3:$C$152,0)),"",IF(ISBLANK(OFFSET('Mock Database'!$S$2,MATCH($A149,'Mock Database'!$C$3:$C$152,0),0)),"",INDEX('Mock Database'!$S$3:$S$152,MATCH($A149,'Mock Database'!$C$3:$C$152,0))))</f>
        <v/>
      </c>
      <c r="G149" s="22" t="str">
        <f ca="1">IF(ISNA(MATCH($A149,'Mock Database'!$C$3:$C$152,0)),"",IF(ISBLANK(OFFSET('Mock Database'!$T$2,MATCH($A149,'Mock Database'!$C$3:$C$152,0),0)),"",INDEX('Mock Database'!$T$3:$T$152,MATCH($A149,'Mock Database'!$C$3:$C$152,0))))</f>
        <v/>
      </c>
      <c r="H149" s="89" t="str">
        <f ca="1">IF(ISNA(MATCH($A149,'Mock Database'!$C$3:$C$152,0)),"",IF(ISBLANK(OFFSET('Mock Database'!$Y$2,MATCH($A149,'Mock Database'!$C$3:$C$152,0),0)),"",INDEX('Mock Database'!$Y$3:$Y$152,MATCH($A149,'Mock Database'!$C$3:$C$152,0))))</f>
        <v/>
      </c>
      <c r="I149" s="22" t="str">
        <f ca="1">IF(ISNA(MATCH($A149,'Mock Database'!$C$3:$C$152,0)),"",IF(ISBLANK(OFFSET('Mock Database'!$Z$2,MATCH($A149,'Mock Database'!$C$3:$C$152,0),0)),"",INDEX('Mock Database'!$Z$3:$Z$152,MATCH($A149,'Mock Database'!$C$3:$C$152,0))))</f>
        <v/>
      </c>
      <c r="J149" s="89" t="str">
        <f ca="1">IF(ISNA(MATCH($A149,'Mock Database'!$C$3:$C$152,0)),"",IF(ISBLANK(OFFSET('Mock Database'!$AE$2,MATCH($A149,'Mock Database'!$C$3:$C$152,0),0)),"",INDEX('Mock Database'!$AE$3:$AE$152,MATCH($A149,'Mock Database'!$C$3:$C$152,0))))</f>
        <v/>
      </c>
      <c r="K149" s="22" t="str">
        <f ca="1">IF(ISNA(MATCH($A149,'Mock Database'!$C$3:$C$152,0)),"",IF(ISBLANK(OFFSET('Mock Database'!$AF$2,MATCH($A149,'Mock Database'!$C$3:$C$152,0),0)),"",INDEX('Mock Database'!$AF$3:$AF$152,MATCH($A149,'Mock Database'!$C$3:$C$152,0))))</f>
        <v/>
      </c>
      <c r="N149" t="e">
        <f t="shared" si="22"/>
        <v>#N/A</v>
      </c>
      <c r="O149" s="89" t="e">
        <f t="shared" ca="1" si="23"/>
        <v>#N/A</v>
      </c>
      <c r="P149" s="22" t="e">
        <f t="shared" ca="1" si="24"/>
        <v>#N/A</v>
      </c>
      <c r="Q149" s="89" t="e">
        <f t="shared" ca="1" si="25"/>
        <v>#N/A</v>
      </c>
      <c r="R149" s="22" t="e">
        <f t="shared" ca="1" si="26"/>
        <v>#N/A</v>
      </c>
      <c r="S149" s="89" t="e">
        <f t="shared" ca="1" si="27"/>
        <v>#N/A</v>
      </c>
      <c r="T149" s="22" t="e">
        <f t="shared" ca="1" si="28"/>
        <v>#N/A</v>
      </c>
      <c r="U149" s="89" t="e">
        <f t="shared" ca="1" si="29"/>
        <v>#N/A</v>
      </c>
      <c r="V149" s="22" t="e">
        <f t="shared" ca="1" si="30"/>
        <v>#N/A</v>
      </c>
      <c r="AM149" t="e">
        <f t="shared" si="31"/>
        <v>#N/A</v>
      </c>
      <c r="AN149" t="e">
        <f t="shared" ca="1" si="32"/>
        <v>#N/A</v>
      </c>
    </row>
    <row r="150" spans="1:40" ht="15" customHeight="1" x14ac:dyDescent="0.3">
      <c r="A150" s="87">
        <v>149</v>
      </c>
      <c r="B150" t="str">
        <f>IFERROR(INDEX('Mock Database'!$D$3:$D$152,MATCH($A150,'Mock Database'!$C$3:$C$152,0)),"")</f>
        <v/>
      </c>
      <c r="C150" s="88" t="str">
        <f>IFERROR(INDEX('Mock Database'!$I$3:$I$152,MATCH($A150,'Mock Database'!$C$3:$C$152,0)),"")</f>
        <v/>
      </c>
      <c r="D150" s="89" t="str">
        <f ca="1">IF(ISNA(MATCH($A150,'Mock Database'!$C$3:$C$152,0)),"",IF(ISBLANK(OFFSET('Mock Database'!$M$2,MATCH($A150,'Mock Database'!$C$3:$C$152,0),0)),"",INDEX('Mock Database'!$M$3:$M$152,MATCH($A150,'Mock Database'!$C$3:$C$152,0))))</f>
        <v/>
      </c>
      <c r="E150" s="22" t="str">
        <f ca="1">IF(ISNA(MATCH($A150,'Mock Database'!$C$3:$C$152,0)),"",IF(ISBLANK(OFFSET('Mock Database'!$N$2,MATCH($A150,'Mock Database'!$C$3:$C$152,0),0)),"",INDEX('Mock Database'!$N$3:$N$152,MATCH($A150,'Mock Database'!$C$3:$C$152,0))))</f>
        <v/>
      </c>
      <c r="F150" s="89" t="str">
        <f ca="1">IF(ISNA(MATCH($A150,'Mock Database'!$C$3:$C$152,0)),"",IF(ISBLANK(OFFSET('Mock Database'!$S$2,MATCH($A150,'Mock Database'!$C$3:$C$152,0),0)),"",INDEX('Mock Database'!$S$3:$S$152,MATCH($A150,'Mock Database'!$C$3:$C$152,0))))</f>
        <v/>
      </c>
      <c r="G150" s="22" t="str">
        <f ca="1">IF(ISNA(MATCH($A150,'Mock Database'!$C$3:$C$152,0)),"",IF(ISBLANK(OFFSET('Mock Database'!$T$2,MATCH($A150,'Mock Database'!$C$3:$C$152,0),0)),"",INDEX('Mock Database'!$T$3:$T$152,MATCH($A150,'Mock Database'!$C$3:$C$152,0))))</f>
        <v/>
      </c>
      <c r="H150" s="89" t="str">
        <f ca="1">IF(ISNA(MATCH($A150,'Mock Database'!$C$3:$C$152,0)),"",IF(ISBLANK(OFFSET('Mock Database'!$Y$2,MATCH($A150,'Mock Database'!$C$3:$C$152,0),0)),"",INDEX('Mock Database'!$Y$3:$Y$152,MATCH($A150,'Mock Database'!$C$3:$C$152,0))))</f>
        <v/>
      </c>
      <c r="I150" s="22" t="str">
        <f ca="1">IF(ISNA(MATCH($A150,'Mock Database'!$C$3:$C$152,0)),"",IF(ISBLANK(OFFSET('Mock Database'!$Z$2,MATCH($A150,'Mock Database'!$C$3:$C$152,0),0)),"",INDEX('Mock Database'!$Z$3:$Z$152,MATCH($A150,'Mock Database'!$C$3:$C$152,0))))</f>
        <v/>
      </c>
      <c r="J150" s="89" t="str">
        <f ca="1">IF(ISNA(MATCH($A150,'Mock Database'!$C$3:$C$152,0)),"",IF(ISBLANK(OFFSET('Mock Database'!$AE$2,MATCH($A150,'Mock Database'!$C$3:$C$152,0),0)),"",INDEX('Mock Database'!$AE$3:$AE$152,MATCH($A150,'Mock Database'!$C$3:$C$152,0))))</f>
        <v/>
      </c>
      <c r="K150" s="22" t="str">
        <f ca="1">IF(ISNA(MATCH($A150,'Mock Database'!$C$3:$C$152,0)),"",IF(ISBLANK(OFFSET('Mock Database'!$AF$2,MATCH($A150,'Mock Database'!$C$3:$C$152,0),0)),"",INDEX('Mock Database'!$AF$3:$AF$152,MATCH($A150,'Mock Database'!$C$3:$C$152,0))))</f>
        <v/>
      </c>
      <c r="N150" t="e">
        <f t="shared" si="22"/>
        <v>#N/A</v>
      </c>
      <c r="O150" s="89" t="e">
        <f t="shared" ca="1" si="23"/>
        <v>#N/A</v>
      </c>
      <c r="P150" s="22" t="e">
        <f t="shared" ca="1" si="24"/>
        <v>#N/A</v>
      </c>
      <c r="Q150" s="89" t="e">
        <f t="shared" ca="1" si="25"/>
        <v>#N/A</v>
      </c>
      <c r="R150" s="22" t="e">
        <f t="shared" ca="1" si="26"/>
        <v>#N/A</v>
      </c>
      <c r="S150" s="89" t="e">
        <f t="shared" ca="1" si="27"/>
        <v>#N/A</v>
      </c>
      <c r="T150" s="22" t="e">
        <f t="shared" ca="1" si="28"/>
        <v>#N/A</v>
      </c>
      <c r="U150" s="89" t="e">
        <f t="shared" ca="1" si="29"/>
        <v>#N/A</v>
      </c>
      <c r="V150" s="22" t="e">
        <f t="shared" ca="1" si="30"/>
        <v>#N/A</v>
      </c>
      <c r="AM150" t="e">
        <f t="shared" si="31"/>
        <v>#N/A</v>
      </c>
      <c r="AN150" t="e">
        <f t="shared" ca="1" si="32"/>
        <v>#N/A</v>
      </c>
    </row>
    <row r="151" spans="1:40" ht="15" customHeight="1" x14ac:dyDescent="0.3">
      <c r="A151" s="87">
        <v>150</v>
      </c>
      <c r="B151" t="str">
        <f>IFERROR(INDEX('Mock Database'!$D$3:$D$152,MATCH($A151,'Mock Database'!$C$3:$C$152,0)),"")</f>
        <v/>
      </c>
      <c r="C151" s="88" t="str">
        <f>IFERROR(INDEX('Mock Database'!$I$3:$I$152,MATCH($A151,'Mock Database'!$C$3:$C$152,0)),"")</f>
        <v/>
      </c>
      <c r="D151" s="89" t="str">
        <f ca="1">IF(ISNA(MATCH($A151,'Mock Database'!$C$3:$C$152,0)),"",IF(ISBLANK(OFFSET('Mock Database'!$M$2,MATCH($A151,'Mock Database'!$C$3:$C$152,0),0)),"",INDEX('Mock Database'!$M$3:$M$152,MATCH($A151,'Mock Database'!$C$3:$C$152,0))))</f>
        <v/>
      </c>
      <c r="E151" s="22" t="str">
        <f ca="1">IF(ISNA(MATCH($A151,'Mock Database'!$C$3:$C$152,0)),"",IF(ISBLANK(OFFSET('Mock Database'!$N$2,MATCH($A151,'Mock Database'!$C$3:$C$152,0),0)),"",INDEX('Mock Database'!$N$3:$N$152,MATCH($A151,'Mock Database'!$C$3:$C$152,0))))</f>
        <v/>
      </c>
      <c r="F151" s="89" t="str">
        <f ca="1">IF(ISNA(MATCH($A151,'Mock Database'!$C$3:$C$152,0)),"",IF(ISBLANK(OFFSET('Mock Database'!$S$2,MATCH($A151,'Mock Database'!$C$3:$C$152,0),0)),"",INDEX('Mock Database'!$S$3:$S$152,MATCH($A151,'Mock Database'!$C$3:$C$152,0))))</f>
        <v/>
      </c>
      <c r="G151" s="22" t="str">
        <f ca="1">IF(ISNA(MATCH($A151,'Mock Database'!$C$3:$C$152,0)),"",IF(ISBLANK(OFFSET('Mock Database'!$T$2,MATCH($A151,'Mock Database'!$C$3:$C$152,0),0)),"",INDEX('Mock Database'!$T$3:$T$152,MATCH($A151,'Mock Database'!$C$3:$C$152,0))))</f>
        <v/>
      </c>
      <c r="H151" s="89" t="str">
        <f ca="1">IF(ISNA(MATCH($A151,'Mock Database'!$C$3:$C$152,0)),"",IF(ISBLANK(OFFSET('Mock Database'!$Y$2,MATCH($A151,'Mock Database'!$C$3:$C$152,0),0)),"",INDEX('Mock Database'!$Y$3:$Y$152,MATCH($A151,'Mock Database'!$C$3:$C$152,0))))</f>
        <v/>
      </c>
      <c r="I151" s="22" t="str">
        <f ca="1">IF(ISNA(MATCH($A151,'Mock Database'!$C$3:$C$152,0)),"",IF(ISBLANK(OFFSET('Mock Database'!$Z$2,MATCH($A151,'Mock Database'!$C$3:$C$152,0),0)),"",INDEX('Mock Database'!$Z$3:$Z$152,MATCH($A151,'Mock Database'!$C$3:$C$152,0))))</f>
        <v/>
      </c>
      <c r="J151" s="89" t="str">
        <f ca="1">IF(ISNA(MATCH($A151,'Mock Database'!$C$3:$C$152,0)),"",IF(ISBLANK(OFFSET('Mock Database'!$AE$2,MATCH($A151,'Mock Database'!$C$3:$C$152,0),0)),"",INDEX('Mock Database'!$AE$3:$AE$152,MATCH($A151,'Mock Database'!$C$3:$C$152,0))))</f>
        <v/>
      </c>
      <c r="K151" s="22" t="str">
        <f ca="1">IF(ISNA(MATCH($A151,'Mock Database'!$C$3:$C$152,0)),"",IF(ISBLANK(OFFSET('Mock Database'!$AF$2,MATCH($A151,'Mock Database'!$C$3:$C$152,0),0)),"",INDEX('Mock Database'!$AF$3:$AF$152,MATCH($A151,'Mock Database'!$C$3:$C$152,0))))</f>
        <v/>
      </c>
      <c r="N151" t="e">
        <f t="shared" si="22"/>
        <v>#N/A</v>
      </c>
      <c r="O151" s="89" t="e">
        <f t="shared" ca="1" si="23"/>
        <v>#N/A</v>
      </c>
      <c r="P151" s="22" t="e">
        <f t="shared" ca="1" si="24"/>
        <v>#N/A</v>
      </c>
      <c r="Q151" s="89" t="e">
        <f t="shared" ca="1" si="25"/>
        <v>#N/A</v>
      </c>
      <c r="R151" s="22" t="e">
        <f t="shared" ca="1" si="26"/>
        <v>#N/A</v>
      </c>
      <c r="S151" s="89" t="e">
        <f t="shared" ca="1" si="27"/>
        <v>#N/A</v>
      </c>
      <c r="T151" s="22" t="e">
        <f t="shared" ca="1" si="28"/>
        <v>#N/A</v>
      </c>
      <c r="U151" s="89" t="e">
        <f t="shared" ca="1" si="29"/>
        <v>#N/A</v>
      </c>
      <c r="V151" s="22" t="e">
        <f t="shared" ca="1" si="30"/>
        <v>#N/A</v>
      </c>
      <c r="AM151" t="e">
        <f t="shared" si="31"/>
        <v>#N/A</v>
      </c>
      <c r="AN151" t="e">
        <f t="shared" ca="1" si="32"/>
        <v>#N/A</v>
      </c>
    </row>
    <row r="152" spans="1:40" x14ac:dyDescent="0.3">
      <c r="A152" s="87">
        <v>151</v>
      </c>
      <c r="B152" t="str">
        <f>IFERROR(INDEX('Mock Database'!$D$3:$D$152,MATCH($A152,'Mock Database'!$C$3:$C$152,0)),"")</f>
        <v/>
      </c>
      <c r="C152" s="88" t="str">
        <f>IFERROR(INDEX('Mock Database'!$I$3:$I$152,MATCH($A152,'Mock Database'!$C$3:$C$152,0)),"")</f>
        <v/>
      </c>
      <c r="D152" s="89" t="str">
        <f ca="1">IF(ISNA(MATCH($A152,'Mock Database'!$C$3:$C$152,0)),"",IF(ISBLANK(OFFSET('Mock Database'!$M$2,MATCH($A152,'Mock Database'!$C$3:$C$152,0),0)),"",INDEX('Mock Database'!$M$3:$M$152,MATCH($A152,'Mock Database'!$C$3:$C$152,0))))</f>
        <v/>
      </c>
      <c r="E152" s="22" t="str">
        <f ca="1">IF(ISNA(MATCH($A152,'Mock Database'!$C$3:$C$152,0)),"",IF(ISBLANK(OFFSET('Mock Database'!$N$2,MATCH($A152,'Mock Database'!$C$3:$C$152,0),0)),"",INDEX('Mock Database'!$N$3:$N$152,MATCH($A152,'Mock Database'!$C$3:$C$152,0))))</f>
        <v/>
      </c>
      <c r="F152" s="89" t="str">
        <f ca="1">IF(ISNA(MATCH($A152,'Mock Database'!$C$3:$C$152,0)),"",IF(ISBLANK(OFFSET('Mock Database'!$S$2,MATCH($A152,'Mock Database'!$C$3:$C$152,0),0)),"",INDEX('Mock Database'!$S$3:$S$152,MATCH($A152,'Mock Database'!$C$3:$C$152,0))))</f>
        <v/>
      </c>
      <c r="G152" s="22" t="str">
        <f ca="1">IF(ISNA(MATCH($A152,'Mock Database'!$C$3:$C$152,0)),"",IF(ISBLANK(OFFSET('Mock Database'!$T$2,MATCH($A152,'Mock Database'!$C$3:$C$152,0),0)),"",INDEX('Mock Database'!$T$3:$T$152,MATCH($A152,'Mock Database'!$C$3:$C$152,0))))</f>
        <v/>
      </c>
      <c r="H152" s="89" t="str">
        <f ca="1">IF(ISNA(MATCH($A152,'Mock Database'!$C$3:$C$152,0)),"",IF(ISBLANK(OFFSET('Mock Database'!$Y$2,MATCH($A152,'Mock Database'!$C$3:$C$152,0),0)),"",INDEX('Mock Database'!$Y$3:$Y$152,MATCH($A152,'Mock Database'!$C$3:$C$152,0))))</f>
        <v/>
      </c>
      <c r="I152" s="22" t="str">
        <f ca="1">IF(ISNA(MATCH($A152,'Mock Database'!$C$3:$C$152,0)),"",IF(ISBLANK(OFFSET('Mock Database'!$Z$2,MATCH($A152,'Mock Database'!$C$3:$C$152,0),0)),"",INDEX('Mock Database'!$Z$3:$Z$152,MATCH($A152,'Mock Database'!$C$3:$C$152,0))))</f>
        <v/>
      </c>
      <c r="J152" s="89" t="str">
        <f ca="1">IF(ISNA(MATCH($A152,'Mock Database'!$C$3:$C$152,0)),"",IF(ISBLANK(OFFSET('Mock Database'!$AE$2,MATCH($A152,'Mock Database'!$C$3:$C$152,0),0)),"",INDEX('Mock Database'!$AE$3:$AE$152,MATCH($A152,'Mock Database'!$C$3:$C$152,0))))</f>
        <v/>
      </c>
      <c r="K152" s="22" t="str">
        <f ca="1">IF(ISNA(MATCH($A152,'Mock Database'!$C$3:$C$152,0)),"",IF(ISBLANK(OFFSET('Mock Database'!$AF$2,MATCH($A152,'Mock Database'!$C$3:$C$152,0),0)),"",INDEX('Mock Database'!$AF$3:$AF$152,MATCH($A152,'Mock Database'!$C$3:$C$152,0))))</f>
        <v/>
      </c>
      <c r="N152" t="e">
        <f t="shared" si="22"/>
        <v>#N/A</v>
      </c>
      <c r="O152" s="89" t="e">
        <f t="shared" ca="1" si="23"/>
        <v>#N/A</v>
      </c>
      <c r="P152" s="22" t="e">
        <f t="shared" ca="1" si="24"/>
        <v>#N/A</v>
      </c>
      <c r="Q152" s="89" t="e">
        <f t="shared" ca="1" si="25"/>
        <v>#N/A</v>
      </c>
      <c r="R152" s="22" t="e">
        <f t="shared" ca="1" si="26"/>
        <v>#N/A</v>
      </c>
      <c r="S152" s="89" t="e">
        <f t="shared" ca="1" si="27"/>
        <v>#N/A</v>
      </c>
      <c r="T152" s="22" t="e">
        <f t="shared" ca="1" si="28"/>
        <v>#N/A</v>
      </c>
      <c r="U152" s="89" t="e">
        <f t="shared" ca="1" si="29"/>
        <v>#N/A</v>
      </c>
      <c r="V152" s="22" t="e">
        <f t="shared" ca="1" si="30"/>
        <v>#N/A</v>
      </c>
      <c r="AM152" t="e">
        <f t="shared" si="31"/>
        <v>#N/A</v>
      </c>
      <c r="AN152" t="e">
        <f t="shared" ca="1" si="32"/>
        <v>#N/A</v>
      </c>
    </row>
    <row r="153" spans="1:40" x14ac:dyDescent="0.3">
      <c r="A153" s="87">
        <v>152</v>
      </c>
      <c r="B153" t="str">
        <f>IFERROR(INDEX('Mock Database'!$D$3:$D$152,MATCH($A153,'Mock Database'!$C$3:$C$152,0)),"")</f>
        <v/>
      </c>
      <c r="C153" s="88" t="str">
        <f>IFERROR(INDEX('Mock Database'!$I$3:$I$152,MATCH($A153,'Mock Database'!$C$3:$C$152,0)),"")</f>
        <v/>
      </c>
      <c r="D153" s="89" t="str">
        <f ca="1">IF(ISNA(MATCH($A153,'Mock Database'!$C$3:$C$152,0)),"",IF(ISBLANK(OFFSET('Mock Database'!$M$2,MATCH($A153,'Mock Database'!$C$3:$C$152,0),0)),"",INDEX('Mock Database'!$M$3:$M$152,MATCH($A153,'Mock Database'!$C$3:$C$152,0))))</f>
        <v/>
      </c>
      <c r="E153" s="22" t="str">
        <f ca="1">IF(ISNA(MATCH($A153,'Mock Database'!$C$3:$C$152,0)),"",IF(ISBLANK(OFFSET('Mock Database'!$N$2,MATCH($A153,'Mock Database'!$C$3:$C$152,0),0)),"",INDEX('Mock Database'!$N$3:$N$152,MATCH($A153,'Mock Database'!$C$3:$C$152,0))))</f>
        <v/>
      </c>
      <c r="F153" s="89" t="str">
        <f ca="1">IF(ISNA(MATCH($A153,'Mock Database'!$C$3:$C$152,0)),"",IF(ISBLANK(OFFSET('Mock Database'!$S$2,MATCH($A153,'Mock Database'!$C$3:$C$152,0),0)),"",INDEX('Mock Database'!$S$3:$S$152,MATCH($A153,'Mock Database'!$C$3:$C$152,0))))</f>
        <v/>
      </c>
      <c r="G153" s="22" t="str">
        <f ca="1">IF(ISNA(MATCH($A153,'Mock Database'!$C$3:$C$152,0)),"",IF(ISBLANK(OFFSET('Mock Database'!$T$2,MATCH($A153,'Mock Database'!$C$3:$C$152,0),0)),"",INDEX('Mock Database'!$T$3:$T$152,MATCH($A153,'Mock Database'!$C$3:$C$152,0))))</f>
        <v/>
      </c>
      <c r="H153" s="89" t="str">
        <f ca="1">IF(ISNA(MATCH($A153,'Mock Database'!$C$3:$C$152,0)),"",IF(ISBLANK(OFFSET('Mock Database'!$Y$2,MATCH($A153,'Mock Database'!$C$3:$C$152,0),0)),"",INDEX('Mock Database'!$Y$3:$Y$152,MATCH($A153,'Mock Database'!$C$3:$C$152,0))))</f>
        <v/>
      </c>
      <c r="I153" s="22" t="str">
        <f ca="1">IF(ISNA(MATCH($A153,'Mock Database'!$C$3:$C$152,0)),"",IF(ISBLANK(OFFSET('Mock Database'!$Z$2,MATCH($A153,'Mock Database'!$C$3:$C$152,0),0)),"",INDEX('Mock Database'!$Z$3:$Z$152,MATCH($A153,'Mock Database'!$C$3:$C$152,0))))</f>
        <v/>
      </c>
      <c r="J153" s="89" t="str">
        <f ca="1">IF(ISNA(MATCH($A153,'Mock Database'!$C$3:$C$152,0)),"",IF(ISBLANK(OFFSET('Mock Database'!$AE$2,MATCH($A153,'Mock Database'!$C$3:$C$152,0),0)),"",INDEX('Mock Database'!$AE$3:$AE$152,MATCH($A153,'Mock Database'!$C$3:$C$152,0))))</f>
        <v/>
      </c>
      <c r="K153" s="22" t="str">
        <f ca="1">IF(ISNA(MATCH($A153,'Mock Database'!$C$3:$C$152,0)),"",IF(ISBLANK(OFFSET('Mock Database'!$AF$2,MATCH($A153,'Mock Database'!$C$3:$C$152,0),0)),"",INDEX('Mock Database'!$AF$3:$AF$152,MATCH($A153,'Mock Database'!$C$3:$C$152,0))))</f>
        <v/>
      </c>
      <c r="N153" t="e">
        <f t="shared" si="22"/>
        <v>#N/A</v>
      </c>
      <c r="O153" s="89" t="e">
        <f t="shared" ca="1" si="23"/>
        <v>#N/A</v>
      </c>
      <c r="P153" s="22" t="e">
        <f t="shared" ca="1" si="24"/>
        <v>#N/A</v>
      </c>
      <c r="Q153" s="89" t="e">
        <f t="shared" ca="1" si="25"/>
        <v>#N/A</v>
      </c>
      <c r="R153" s="22" t="e">
        <f t="shared" ca="1" si="26"/>
        <v>#N/A</v>
      </c>
      <c r="S153" s="89" t="e">
        <f t="shared" ca="1" si="27"/>
        <v>#N/A</v>
      </c>
      <c r="T153" s="22" t="e">
        <f t="shared" ca="1" si="28"/>
        <v>#N/A</v>
      </c>
      <c r="U153" s="89" t="e">
        <f t="shared" ca="1" si="29"/>
        <v>#N/A</v>
      </c>
      <c r="V153" s="22" t="e">
        <f t="shared" ca="1" si="30"/>
        <v>#N/A</v>
      </c>
      <c r="AM153" t="e">
        <f t="shared" si="31"/>
        <v>#N/A</v>
      </c>
      <c r="AN153" t="e">
        <f t="shared" ca="1" si="32"/>
        <v>#N/A</v>
      </c>
    </row>
    <row r="154" spans="1:40" x14ac:dyDescent="0.3">
      <c r="A154" s="87">
        <v>153</v>
      </c>
      <c r="B154" t="str">
        <f>IFERROR(INDEX('Mock Database'!$D$3:$D$152,MATCH($A154,'Mock Database'!$C$3:$C$152,0)),"")</f>
        <v/>
      </c>
      <c r="C154" s="88" t="str">
        <f>IFERROR(INDEX('Mock Database'!$I$3:$I$152,MATCH($A154,'Mock Database'!$C$3:$C$152,0)),"")</f>
        <v/>
      </c>
      <c r="D154" s="89" t="str">
        <f ca="1">IF(ISNA(MATCH($A154,'Mock Database'!$C$3:$C$152,0)),"",IF(ISBLANK(OFFSET('Mock Database'!$M$2,MATCH($A154,'Mock Database'!$C$3:$C$152,0),0)),"",INDEX('Mock Database'!$M$3:$M$152,MATCH($A154,'Mock Database'!$C$3:$C$152,0))))</f>
        <v/>
      </c>
      <c r="E154" s="22" t="str">
        <f ca="1">IF(ISNA(MATCH($A154,'Mock Database'!$C$3:$C$152,0)),"",IF(ISBLANK(OFFSET('Mock Database'!$N$2,MATCH($A154,'Mock Database'!$C$3:$C$152,0),0)),"",INDEX('Mock Database'!$N$3:$N$152,MATCH($A154,'Mock Database'!$C$3:$C$152,0))))</f>
        <v/>
      </c>
      <c r="F154" s="89" t="str">
        <f ca="1">IF(ISNA(MATCH($A154,'Mock Database'!$C$3:$C$152,0)),"",IF(ISBLANK(OFFSET('Mock Database'!$S$2,MATCH($A154,'Mock Database'!$C$3:$C$152,0),0)),"",INDEX('Mock Database'!$S$3:$S$152,MATCH($A154,'Mock Database'!$C$3:$C$152,0))))</f>
        <v/>
      </c>
      <c r="G154" s="22" t="str">
        <f ca="1">IF(ISNA(MATCH($A154,'Mock Database'!$C$3:$C$152,0)),"",IF(ISBLANK(OFFSET('Mock Database'!$T$2,MATCH($A154,'Mock Database'!$C$3:$C$152,0),0)),"",INDEX('Mock Database'!$T$3:$T$152,MATCH($A154,'Mock Database'!$C$3:$C$152,0))))</f>
        <v/>
      </c>
      <c r="H154" s="89" t="str">
        <f ca="1">IF(ISNA(MATCH($A154,'Mock Database'!$C$3:$C$152,0)),"",IF(ISBLANK(OFFSET('Mock Database'!$Y$2,MATCH($A154,'Mock Database'!$C$3:$C$152,0),0)),"",INDEX('Mock Database'!$Y$3:$Y$152,MATCH($A154,'Mock Database'!$C$3:$C$152,0))))</f>
        <v/>
      </c>
      <c r="I154" s="22" t="str">
        <f ca="1">IF(ISNA(MATCH($A154,'Mock Database'!$C$3:$C$152,0)),"",IF(ISBLANK(OFFSET('Mock Database'!$Z$2,MATCH($A154,'Mock Database'!$C$3:$C$152,0),0)),"",INDEX('Mock Database'!$Z$3:$Z$152,MATCH($A154,'Mock Database'!$C$3:$C$152,0))))</f>
        <v/>
      </c>
      <c r="J154" s="89" t="str">
        <f ca="1">IF(ISNA(MATCH($A154,'Mock Database'!$C$3:$C$152,0)),"",IF(ISBLANK(OFFSET('Mock Database'!$AE$2,MATCH($A154,'Mock Database'!$C$3:$C$152,0),0)),"",INDEX('Mock Database'!$AE$3:$AE$152,MATCH($A154,'Mock Database'!$C$3:$C$152,0))))</f>
        <v/>
      </c>
      <c r="K154" s="22" t="str">
        <f ca="1">IF(ISNA(MATCH($A154,'Mock Database'!$C$3:$C$152,0)),"",IF(ISBLANK(OFFSET('Mock Database'!$AF$2,MATCH($A154,'Mock Database'!$C$3:$C$152,0),0)),"",INDEX('Mock Database'!$AF$3:$AF$152,MATCH($A154,'Mock Database'!$C$3:$C$152,0))))</f>
        <v/>
      </c>
      <c r="N154" t="e">
        <f t="shared" si="22"/>
        <v>#N/A</v>
      </c>
      <c r="O154" s="89" t="e">
        <f t="shared" ca="1" si="23"/>
        <v>#N/A</v>
      </c>
      <c r="P154" s="22" t="e">
        <f t="shared" ca="1" si="24"/>
        <v>#N/A</v>
      </c>
      <c r="Q154" s="89" t="e">
        <f t="shared" ca="1" si="25"/>
        <v>#N/A</v>
      </c>
      <c r="R154" s="22" t="e">
        <f t="shared" ca="1" si="26"/>
        <v>#N/A</v>
      </c>
      <c r="S154" s="89" t="e">
        <f t="shared" ca="1" si="27"/>
        <v>#N/A</v>
      </c>
      <c r="T154" s="22" t="e">
        <f t="shared" ca="1" si="28"/>
        <v>#N/A</v>
      </c>
      <c r="U154" s="89" t="e">
        <f t="shared" ca="1" si="29"/>
        <v>#N/A</v>
      </c>
      <c r="V154" s="22" t="e">
        <f t="shared" ca="1" si="30"/>
        <v>#N/A</v>
      </c>
      <c r="AM154" t="e">
        <f t="shared" si="31"/>
        <v>#N/A</v>
      </c>
      <c r="AN154" t="e">
        <f t="shared" ca="1" si="32"/>
        <v>#N/A</v>
      </c>
    </row>
    <row r="155" spans="1:40" x14ac:dyDescent="0.3">
      <c r="A155" s="87">
        <v>154</v>
      </c>
      <c r="B155" t="str">
        <f>IFERROR(INDEX('Mock Database'!$D$3:$D$152,MATCH($A155,'Mock Database'!$C$3:$C$152,0)),"")</f>
        <v/>
      </c>
      <c r="C155" s="88" t="str">
        <f>IFERROR(INDEX('Mock Database'!$I$3:$I$152,MATCH($A155,'Mock Database'!$C$3:$C$152,0)),"")</f>
        <v/>
      </c>
      <c r="D155" s="89" t="str">
        <f ca="1">IF(ISNA(MATCH($A155,'Mock Database'!$C$3:$C$152,0)),"",IF(ISBLANK(OFFSET('Mock Database'!$M$2,MATCH($A155,'Mock Database'!$C$3:$C$152,0),0)),"",INDEX('Mock Database'!$M$3:$M$152,MATCH($A155,'Mock Database'!$C$3:$C$152,0))))</f>
        <v/>
      </c>
      <c r="E155" s="22" t="str">
        <f ca="1">IF(ISNA(MATCH($A155,'Mock Database'!$C$3:$C$152,0)),"",IF(ISBLANK(OFFSET('Mock Database'!$N$2,MATCH($A155,'Mock Database'!$C$3:$C$152,0),0)),"",INDEX('Mock Database'!$N$3:$N$152,MATCH($A155,'Mock Database'!$C$3:$C$152,0))))</f>
        <v/>
      </c>
      <c r="F155" s="89" t="str">
        <f ca="1">IF(ISNA(MATCH($A155,'Mock Database'!$C$3:$C$152,0)),"",IF(ISBLANK(OFFSET('Mock Database'!$S$2,MATCH($A155,'Mock Database'!$C$3:$C$152,0),0)),"",INDEX('Mock Database'!$S$3:$S$152,MATCH($A155,'Mock Database'!$C$3:$C$152,0))))</f>
        <v/>
      </c>
      <c r="G155" s="22" t="str">
        <f ca="1">IF(ISNA(MATCH($A155,'Mock Database'!$C$3:$C$152,0)),"",IF(ISBLANK(OFFSET('Mock Database'!$T$2,MATCH($A155,'Mock Database'!$C$3:$C$152,0),0)),"",INDEX('Mock Database'!$T$3:$T$152,MATCH($A155,'Mock Database'!$C$3:$C$152,0))))</f>
        <v/>
      </c>
      <c r="H155" s="89" t="str">
        <f ca="1">IF(ISNA(MATCH($A155,'Mock Database'!$C$3:$C$152,0)),"",IF(ISBLANK(OFFSET('Mock Database'!$Y$2,MATCH($A155,'Mock Database'!$C$3:$C$152,0),0)),"",INDEX('Mock Database'!$Y$3:$Y$152,MATCH($A155,'Mock Database'!$C$3:$C$152,0))))</f>
        <v/>
      </c>
      <c r="I155" s="22" t="str">
        <f ca="1">IF(ISNA(MATCH($A155,'Mock Database'!$C$3:$C$152,0)),"",IF(ISBLANK(OFFSET('Mock Database'!$Z$2,MATCH($A155,'Mock Database'!$C$3:$C$152,0),0)),"",INDEX('Mock Database'!$Z$3:$Z$152,MATCH($A155,'Mock Database'!$C$3:$C$152,0))))</f>
        <v/>
      </c>
      <c r="J155" s="89" t="str">
        <f ca="1">IF(ISNA(MATCH($A155,'Mock Database'!$C$3:$C$152,0)),"",IF(ISBLANK(OFFSET('Mock Database'!$AE$2,MATCH($A155,'Mock Database'!$C$3:$C$152,0),0)),"",INDEX('Mock Database'!$AE$3:$AE$152,MATCH($A155,'Mock Database'!$C$3:$C$152,0))))</f>
        <v/>
      </c>
      <c r="K155" s="22" t="str">
        <f ca="1">IF(ISNA(MATCH($A155,'Mock Database'!$C$3:$C$152,0)),"",IF(ISBLANK(OFFSET('Mock Database'!$AF$2,MATCH($A155,'Mock Database'!$C$3:$C$152,0),0)),"",INDEX('Mock Database'!$AF$3:$AF$152,MATCH($A155,'Mock Database'!$C$3:$C$152,0))))</f>
        <v/>
      </c>
      <c r="N155" t="e">
        <f t="shared" si="22"/>
        <v>#N/A</v>
      </c>
      <c r="O155" s="89" t="e">
        <f t="shared" ca="1" si="23"/>
        <v>#N/A</v>
      </c>
      <c r="P155" s="22" t="e">
        <f t="shared" ca="1" si="24"/>
        <v>#N/A</v>
      </c>
      <c r="Q155" s="89" t="e">
        <f t="shared" ca="1" si="25"/>
        <v>#N/A</v>
      </c>
      <c r="R155" s="22" t="e">
        <f t="shared" ca="1" si="26"/>
        <v>#N/A</v>
      </c>
      <c r="S155" s="89" t="e">
        <f t="shared" ca="1" si="27"/>
        <v>#N/A</v>
      </c>
      <c r="T155" s="22" t="e">
        <f t="shared" ca="1" si="28"/>
        <v>#N/A</v>
      </c>
      <c r="U155" s="89" t="e">
        <f t="shared" ca="1" si="29"/>
        <v>#N/A</v>
      </c>
      <c r="V155" s="22" t="e">
        <f t="shared" ca="1" si="30"/>
        <v>#N/A</v>
      </c>
      <c r="AM155" t="e">
        <f t="shared" si="31"/>
        <v>#N/A</v>
      </c>
      <c r="AN155" t="e">
        <f t="shared" ca="1" si="32"/>
        <v>#N/A</v>
      </c>
    </row>
    <row r="156" spans="1:40" x14ac:dyDescent="0.3">
      <c r="A156" s="87">
        <v>155</v>
      </c>
      <c r="B156" t="str">
        <f>IFERROR(INDEX('Mock Database'!$D$3:$D$152,MATCH($A156,'Mock Database'!$C$3:$C$152,0)),"")</f>
        <v/>
      </c>
      <c r="C156" s="88" t="str">
        <f>IFERROR(INDEX('Mock Database'!$I$3:$I$152,MATCH($A156,'Mock Database'!$C$3:$C$152,0)),"")</f>
        <v/>
      </c>
      <c r="D156" s="89" t="str">
        <f ca="1">IF(ISNA(MATCH($A156,'Mock Database'!$C$3:$C$152,0)),"",IF(ISBLANK(OFFSET('Mock Database'!$M$2,MATCH($A156,'Mock Database'!$C$3:$C$152,0),0)),"",INDEX('Mock Database'!$M$3:$M$152,MATCH($A156,'Mock Database'!$C$3:$C$152,0))))</f>
        <v/>
      </c>
      <c r="E156" s="22" t="str">
        <f ca="1">IF(ISNA(MATCH($A156,'Mock Database'!$C$3:$C$152,0)),"",IF(ISBLANK(OFFSET('Mock Database'!$N$2,MATCH($A156,'Mock Database'!$C$3:$C$152,0),0)),"",INDEX('Mock Database'!$N$3:$N$152,MATCH($A156,'Mock Database'!$C$3:$C$152,0))))</f>
        <v/>
      </c>
      <c r="F156" s="89" t="str">
        <f ca="1">IF(ISNA(MATCH($A156,'Mock Database'!$C$3:$C$152,0)),"",IF(ISBLANK(OFFSET('Mock Database'!$S$2,MATCH($A156,'Mock Database'!$C$3:$C$152,0),0)),"",INDEX('Mock Database'!$S$3:$S$152,MATCH($A156,'Mock Database'!$C$3:$C$152,0))))</f>
        <v/>
      </c>
      <c r="G156" s="22" t="str">
        <f ca="1">IF(ISNA(MATCH($A156,'Mock Database'!$C$3:$C$152,0)),"",IF(ISBLANK(OFFSET('Mock Database'!$T$2,MATCH($A156,'Mock Database'!$C$3:$C$152,0),0)),"",INDEX('Mock Database'!$T$3:$T$152,MATCH($A156,'Mock Database'!$C$3:$C$152,0))))</f>
        <v/>
      </c>
      <c r="H156" s="89" t="str">
        <f ca="1">IF(ISNA(MATCH($A156,'Mock Database'!$C$3:$C$152,0)),"",IF(ISBLANK(OFFSET('Mock Database'!$Y$2,MATCH($A156,'Mock Database'!$C$3:$C$152,0),0)),"",INDEX('Mock Database'!$Y$3:$Y$152,MATCH($A156,'Mock Database'!$C$3:$C$152,0))))</f>
        <v/>
      </c>
      <c r="I156" s="22" t="str">
        <f ca="1">IF(ISNA(MATCH($A156,'Mock Database'!$C$3:$C$152,0)),"",IF(ISBLANK(OFFSET('Mock Database'!$Z$2,MATCH($A156,'Mock Database'!$C$3:$C$152,0),0)),"",INDEX('Mock Database'!$Z$3:$Z$152,MATCH($A156,'Mock Database'!$C$3:$C$152,0))))</f>
        <v/>
      </c>
      <c r="J156" s="89" t="str">
        <f ca="1">IF(ISNA(MATCH($A156,'Mock Database'!$C$3:$C$152,0)),"",IF(ISBLANK(OFFSET('Mock Database'!$AE$2,MATCH($A156,'Mock Database'!$C$3:$C$152,0),0)),"",INDEX('Mock Database'!$AE$3:$AE$152,MATCH($A156,'Mock Database'!$C$3:$C$152,0))))</f>
        <v/>
      </c>
      <c r="K156" s="22" t="str">
        <f ca="1">IF(ISNA(MATCH($A156,'Mock Database'!$C$3:$C$152,0)),"",IF(ISBLANK(OFFSET('Mock Database'!$AF$2,MATCH($A156,'Mock Database'!$C$3:$C$152,0),0)),"",INDEX('Mock Database'!$AF$3:$AF$152,MATCH($A156,'Mock Database'!$C$3:$C$152,0))))</f>
        <v/>
      </c>
      <c r="N156" t="e">
        <f t="shared" si="22"/>
        <v>#N/A</v>
      </c>
      <c r="O156" s="89" t="e">
        <f t="shared" ca="1" si="23"/>
        <v>#N/A</v>
      </c>
      <c r="P156" s="22" t="e">
        <f t="shared" ca="1" si="24"/>
        <v>#N/A</v>
      </c>
      <c r="Q156" s="89" t="e">
        <f t="shared" ca="1" si="25"/>
        <v>#N/A</v>
      </c>
      <c r="R156" s="22" t="e">
        <f t="shared" ca="1" si="26"/>
        <v>#N/A</v>
      </c>
      <c r="S156" s="89" t="e">
        <f t="shared" ca="1" si="27"/>
        <v>#N/A</v>
      </c>
      <c r="T156" s="22" t="e">
        <f t="shared" ca="1" si="28"/>
        <v>#N/A</v>
      </c>
      <c r="U156" s="89" t="e">
        <f t="shared" ca="1" si="29"/>
        <v>#N/A</v>
      </c>
      <c r="V156" s="22" t="e">
        <f t="shared" ca="1" si="30"/>
        <v>#N/A</v>
      </c>
      <c r="AM156" t="e">
        <f t="shared" si="31"/>
        <v>#N/A</v>
      </c>
      <c r="AN156" t="e">
        <f t="shared" ca="1" si="32"/>
        <v>#N/A</v>
      </c>
    </row>
    <row r="157" spans="1:40" x14ac:dyDescent="0.3">
      <c r="A157" s="87">
        <v>156</v>
      </c>
      <c r="B157" t="str">
        <f>IFERROR(INDEX('Mock Database'!$D$3:$D$152,MATCH($A157,'Mock Database'!$C$3:$C$152,0)),"")</f>
        <v/>
      </c>
      <c r="C157" s="88" t="str">
        <f>IFERROR(INDEX('Mock Database'!$I$3:$I$152,MATCH($A157,'Mock Database'!$C$3:$C$152,0)),"")</f>
        <v/>
      </c>
      <c r="D157" s="89" t="str">
        <f ca="1">IF(ISNA(MATCH($A157,'Mock Database'!$C$3:$C$152,0)),"",IF(ISBLANK(OFFSET('Mock Database'!$M$2,MATCH($A157,'Mock Database'!$C$3:$C$152,0),0)),"",INDEX('Mock Database'!$M$3:$M$152,MATCH($A157,'Mock Database'!$C$3:$C$152,0))))</f>
        <v/>
      </c>
      <c r="E157" s="22" t="str">
        <f ca="1">IF(ISNA(MATCH($A157,'Mock Database'!$C$3:$C$152,0)),"",IF(ISBLANK(OFFSET('Mock Database'!$N$2,MATCH($A157,'Mock Database'!$C$3:$C$152,0),0)),"",INDEX('Mock Database'!$N$3:$N$152,MATCH($A157,'Mock Database'!$C$3:$C$152,0))))</f>
        <v/>
      </c>
      <c r="F157" s="89" t="str">
        <f ca="1">IF(ISNA(MATCH($A157,'Mock Database'!$C$3:$C$152,0)),"",IF(ISBLANK(OFFSET('Mock Database'!$S$2,MATCH($A157,'Mock Database'!$C$3:$C$152,0),0)),"",INDEX('Mock Database'!$S$3:$S$152,MATCH($A157,'Mock Database'!$C$3:$C$152,0))))</f>
        <v/>
      </c>
      <c r="G157" s="22" t="str">
        <f ca="1">IF(ISNA(MATCH($A157,'Mock Database'!$C$3:$C$152,0)),"",IF(ISBLANK(OFFSET('Mock Database'!$T$2,MATCH($A157,'Mock Database'!$C$3:$C$152,0),0)),"",INDEX('Mock Database'!$T$3:$T$152,MATCH($A157,'Mock Database'!$C$3:$C$152,0))))</f>
        <v/>
      </c>
      <c r="H157" s="89" t="str">
        <f ca="1">IF(ISNA(MATCH($A157,'Mock Database'!$C$3:$C$152,0)),"",IF(ISBLANK(OFFSET('Mock Database'!$Y$2,MATCH($A157,'Mock Database'!$C$3:$C$152,0),0)),"",INDEX('Mock Database'!$Y$3:$Y$152,MATCH($A157,'Mock Database'!$C$3:$C$152,0))))</f>
        <v/>
      </c>
      <c r="I157" s="22" t="str">
        <f ca="1">IF(ISNA(MATCH($A157,'Mock Database'!$C$3:$C$152,0)),"",IF(ISBLANK(OFFSET('Mock Database'!$Z$2,MATCH($A157,'Mock Database'!$C$3:$C$152,0),0)),"",INDEX('Mock Database'!$Z$3:$Z$152,MATCH($A157,'Mock Database'!$C$3:$C$152,0))))</f>
        <v/>
      </c>
      <c r="J157" s="89" t="str">
        <f ca="1">IF(ISNA(MATCH($A157,'Mock Database'!$C$3:$C$152,0)),"",IF(ISBLANK(OFFSET('Mock Database'!$AE$2,MATCH($A157,'Mock Database'!$C$3:$C$152,0),0)),"",INDEX('Mock Database'!$AE$3:$AE$152,MATCH($A157,'Mock Database'!$C$3:$C$152,0))))</f>
        <v/>
      </c>
      <c r="K157" s="22" t="str">
        <f ca="1">IF(ISNA(MATCH($A157,'Mock Database'!$C$3:$C$152,0)),"",IF(ISBLANK(OFFSET('Mock Database'!$AF$2,MATCH($A157,'Mock Database'!$C$3:$C$152,0),0)),"",INDEX('Mock Database'!$AF$3:$AF$152,MATCH($A157,'Mock Database'!$C$3:$C$152,0))))</f>
        <v/>
      </c>
      <c r="N157" t="e">
        <f t="shared" si="22"/>
        <v>#N/A</v>
      </c>
      <c r="O157" s="89" t="e">
        <f t="shared" ca="1" si="23"/>
        <v>#N/A</v>
      </c>
      <c r="P157" s="22" t="e">
        <f t="shared" ca="1" si="24"/>
        <v>#N/A</v>
      </c>
      <c r="Q157" s="89" t="e">
        <f t="shared" ca="1" si="25"/>
        <v>#N/A</v>
      </c>
      <c r="R157" s="22" t="e">
        <f t="shared" ca="1" si="26"/>
        <v>#N/A</v>
      </c>
      <c r="S157" s="89" t="e">
        <f t="shared" ca="1" si="27"/>
        <v>#N/A</v>
      </c>
      <c r="T157" s="22" t="e">
        <f t="shared" ca="1" si="28"/>
        <v>#N/A</v>
      </c>
      <c r="U157" s="89" t="e">
        <f t="shared" ca="1" si="29"/>
        <v>#N/A</v>
      </c>
      <c r="V157" s="22" t="e">
        <f t="shared" ca="1" si="30"/>
        <v>#N/A</v>
      </c>
      <c r="AM157" t="e">
        <f t="shared" si="31"/>
        <v>#N/A</v>
      </c>
      <c r="AN157" t="e">
        <f t="shared" ca="1" si="32"/>
        <v>#N/A</v>
      </c>
    </row>
    <row r="158" spans="1:40" x14ac:dyDescent="0.3">
      <c r="A158" s="87">
        <v>157</v>
      </c>
      <c r="B158" t="str">
        <f>IFERROR(INDEX('Mock Database'!$D$3:$D$152,MATCH($A158,'Mock Database'!$C$3:$C$152,0)),"")</f>
        <v/>
      </c>
      <c r="C158" s="88" t="str">
        <f>IFERROR(INDEX('Mock Database'!$I$3:$I$152,MATCH($A158,'Mock Database'!$C$3:$C$152,0)),"")</f>
        <v/>
      </c>
      <c r="D158" s="89" t="str">
        <f ca="1">IF(ISNA(MATCH($A158,'Mock Database'!$C$3:$C$152,0)),"",IF(ISBLANK(OFFSET('Mock Database'!$M$2,MATCH($A158,'Mock Database'!$C$3:$C$152,0),0)),"",INDEX('Mock Database'!$M$3:$M$152,MATCH($A158,'Mock Database'!$C$3:$C$152,0))))</f>
        <v/>
      </c>
      <c r="E158" s="22" t="str">
        <f ca="1">IF(ISNA(MATCH($A158,'Mock Database'!$C$3:$C$152,0)),"",IF(ISBLANK(OFFSET('Mock Database'!$N$2,MATCH($A158,'Mock Database'!$C$3:$C$152,0),0)),"",INDEX('Mock Database'!$N$3:$N$152,MATCH($A158,'Mock Database'!$C$3:$C$152,0))))</f>
        <v/>
      </c>
      <c r="F158" s="89" t="str">
        <f ca="1">IF(ISNA(MATCH($A158,'Mock Database'!$C$3:$C$152,0)),"",IF(ISBLANK(OFFSET('Mock Database'!$S$2,MATCH($A158,'Mock Database'!$C$3:$C$152,0),0)),"",INDEX('Mock Database'!$S$3:$S$152,MATCH($A158,'Mock Database'!$C$3:$C$152,0))))</f>
        <v/>
      </c>
      <c r="G158" s="22" t="str">
        <f ca="1">IF(ISNA(MATCH($A158,'Mock Database'!$C$3:$C$152,0)),"",IF(ISBLANK(OFFSET('Mock Database'!$T$2,MATCH($A158,'Mock Database'!$C$3:$C$152,0),0)),"",INDEX('Mock Database'!$T$3:$T$152,MATCH($A158,'Mock Database'!$C$3:$C$152,0))))</f>
        <v/>
      </c>
      <c r="H158" s="89" t="str">
        <f ca="1">IF(ISNA(MATCH($A158,'Mock Database'!$C$3:$C$152,0)),"",IF(ISBLANK(OFFSET('Mock Database'!$Y$2,MATCH($A158,'Mock Database'!$C$3:$C$152,0),0)),"",INDEX('Mock Database'!$Y$3:$Y$152,MATCH($A158,'Mock Database'!$C$3:$C$152,0))))</f>
        <v/>
      </c>
      <c r="I158" s="22" t="str">
        <f ca="1">IF(ISNA(MATCH($A158,'Mock Database'!$C$3:$C$152,0)),"",IF(ISBLANK(OFFSET('Mock Database'!$Z$2,MATCH($A158,'Mock Database'!$C$3:$C$152,0),0)),"",INDEX('Mock Database'!$Z$3:$Z$152,MATCH($A158,'Mock Database'!$C$3:$C$152,0))))</f>
        <v/>
      </c>
      <c r="J158" s="89" t="str">
        <f ca="1">IF(ISNA(MATCH($A158,'Mock Database'!$C$3:$C$152,0)),"",IF(ISBLANK(OFFSET('Mock Database'!$AE$2,MATCH($A158,'Mock Database'!$C$3:$C$152,0),0)),"",INDEX('Mock Database'!$AE$3:$AE$152,MATCH($A158,'Mock Database'!$C$3:$C$152,0))))</f>
        <v/>
      </c>
      <c r="K158" s="22" t="str">
        <f ca="1">IF(ISNA(MATCH($A158,'Mock Database'!$C$3:$C$152,0)),"",IF(ISBLANK(OFFSET('Mock Database'!$AF$2,MATCH($A158,'Mock Database'!$C$3:$C$152,0),0)),"",INDEX('Mock Database'!$AF$3:$AF$152,MATCH($A158,'Mock Database'!$C$3:$C$152,0))))</f>
        <v/>
      </c>
      <c r="N158" t="e">
        <f t="shared" si="22"/>
        <v>#N/A</v>
      </c>
      <c r="O158" s="89" t="e">
        <f t="shared" ca="1" si="23"/>
        <v>#N/A</v>
      </c>
      <c r="P158" s="22" t="e">
        <f t="shared" ca="1" si="24"/>
        <v>#N/A</v>
      </c>
      <c r="Q158" s="89" t="e">
        <f t="shared" ca="1" si="25"/>
        <v>#N/A</v>
      </c>
      <c r="R158" s="22" t="e">
        <f t="shared" ca="1" si="26"/>
        <v>#N/A</v>
      </c>
      <c r="S158" s="89" t="e">
        <f t="shared" ca="1" si="27"/>
        <v>#N/A</v>
      </c>
      <c r="T158" s="22" t="e">
        <f t="shared" ca="1" si="28"/>
        <v>#N/A</v>
      </c>
      <c r="U158" s="89" t="e">
        <f t="shared" ca="1" si="29"/>
        <v>#N/A</v>
      </c>
      <c r="V158" s="22" t="e">
        <f t="shared" ca="1" si="30"/>
        <v>#N/A</v>
      </c>
      <c r="AM158" t="e">
        <f t="shared" si="31"/>
        <v>#N/A</v>
      </c>
      <c r="AN158" t="e">
        <f t="shared" ca="1" si="32"/>
        <v>#N/A</v>
      </c>
    </row>
    <row r="159" spans="1:40" x14ac:dyDescent="0.3">
      <c r="A159" s="87">
        <v>158</v>
      </c>
      <c r="B159" t="str">
        <f>IFERROR(INDEX('Mock Database'!$D$3:$D$152,MATCH($A159,'Mock Database'!$C$3:$C$152,0)),"")</f>
        <v/>
      </c>
      <c r="C159" s="88" t="str">
        <f>IFERROR(INDEX('Mock Database'!$I$3:$I$152,MATCH($A159,'Mock Database'!$C$3:$C$152,0)),"")</f>
        <v/>
      </c>
      <c r="D159" s="89" t="str">
        <f ca="1">IF(ISNA(MATCH($A159,'Mock Database'!$C$3:$C$152,0)),"",IF(ISBLANK(OFFSET('Mock Database'!$M$2,MATCH($A159,'Mock Database'!$C$3:$C$152,0),0)),"",INDEX('Mock Database'!$M$3:$M$152,MATCH($A159,'Mock Database'!$C$3:$C$152,0))))</f>
        <v/>
      </c>
      <c r="E159" s="22" t="str">
        <f ca="1">IF(ISNA(MATCH($A159,'Mock Database'!$C$3:$C$152,0)),"",IF(ISBLANK(OFFSET('Mock Database'!$N$2,MATCH($A159,'Mock Database'!$C$3:$C$152,0),0)),"",INDEX('Mock Database'!$N$3:$N$152,MATCH($A159,'Mock Database'!$C$3:$C$152,0))))</f>
        <v/>
      </c>
      <c r="F159" s="89" t="str">
        <f ca="1">IF(ISNA(MATCH($A159,'Mock Database'!$C$3:$C$152,0)),"",IF(ISBLANK(OFFSET('Mock Database'!$S$2,MATCH($A159,'Mock Database'!$C$3:$C$152,0),0)),"",INDEX('Mock Database'!$S$3:$S$152,MATCH($A159,'Mock Database'!$C$3:$C$152,0))))</f>
        <v/>
      </c>
      <c r="G159" s="22" t="str">
        <f ca="1">IF(ISNA(MATCH($A159,'Mock Database'!$C$3:$C$152,0)),"",IF(ISBLANK(OFFSET('Mock Database'!$T$2,MATCH($A159,'Mock Database'!$C$3:$C$152,0),0)),"",INDEX('Mock Database'!$T$3:$T$152,MATCH($A159,'Mock Database'!$C$3:$C$152,0))))</f>
        <v/>
      </c>
      <c r="H159" s="89" t="str">
        <f ca="1">IF(ISNA(MATCH($A159,'Mock Database'!$C$3:$C$152,0)),"",IF(ISBLANK(OFFSET('Mock Database'!$Y$2,MATCH($A159,'Mock Database'!$C$3:$C$152,0),0)),"",INDEX('Mock Database'!$Y$3:$Y$152,MATCH($A159,'Mock Database'!$C$3:$C$152,0))))</f>
        <v/>
      </c>
      <c r="I159" s="22" t="str">
        <f ca="1">IF(ISNA(MATCH($A159,'Mock Database'!$C$3:$C$152,0)),"",IF(ISBLANK(OFFSET('Mock Database'!$Z$2,MATCH($A159,'Mock Database'!$C$3:$C$152,0),0)),"",INDEX('Mock Database'!$Z$3:$Z$152,MATCH($A159,'Mock Database'!$C$3:$C$152,0))))</f>
        <v/>
      </c>
      <c r="J159" s="89" t="str">
        <f ca="1">IF(ISNA(MATCH($A159,'Mock Database'!$C$3:$C$152,0)),"",IF(ISBLANK(OFFSET('Mock Database'!$AE$2,MATCH($A159,'Mock Database'!$C$3:$C$152,0),0)),"",INDEX('Mock Database'!$AE$3:$AE$152,MATCH($A159,'Mock Database'!$C$3:$C$152,0))))</f>
        <v/>
      </c>
      <c r="K159" s="22" t="str">
        <f ca="1">IF(ISNA(MATCH($A159,'Mock Database'!$C$3:$C$152,0)),"",IF(ISBLANK(OFFSET('Mock Database'!$AF$2,MATCH($A159,'Mock Database'!$C$3:$C$152,0),0)),"",INDEX('Mock Database'!$AF$3:$AF$152,MATCH($A159,'Mock Database'!$C$3:$C$152,0))))</f>
        <v/>
      </c>
      <c r="N159" t="e">
        <f t="shared" si="22"/>
        <v>#N/A</v>
      </c>
      <c r="O159" s="89" t="e">
        <f t="shared" ca="1" si="23"/>
        <v>#N/A</v>
      </c>
      <c r="P159" s="22" t="e">
        <f t="shared" ca="1" si="24"/>
        <v>#N/A</v>
      </c>
      <c r="Q159" s="89" t="e">
        <f t="shared" ca="1" si="25"/>
        <v>#N/A</v>
      </c>
      <c r="R159" s="22" t="e">
        <f t="shared" ca="1" si="26"/>
        <v>#N/A</v>
      </c>
      <c r="S159" s="89" t="e">
        <f t="shared" ca="1" si="27"/>
        <v>#N/A</v>
      </c>
      <c r="T159" s="22" t="e">
        <f t="shared" ca="1" si="28"/>
        <v>#N/A</v>
      </c>
      <c r="U159" s="89" t="e">
        <f t="shared" ca="1" si="29"/>
        <v>#N/A</v>
      </c>
      <c r="V159" s="22" t="e">
        <f t="shared" ca="1" si="30"/>
        <v>#N/A</v>
      </c>
      <c r="AM159" t="e">
        <f t="shared" si="31"/>
        <v>#N/A</v>
      </c>
      <c r="AN159" t="e">
        <f t="shared" ca="1" si="32"/>
        <v>#N/A</v>
      </c>
    </row>
    <row r="160" spans="1:40" x14ac:dyDescent="0.3">
      <c r="A160" s="87">
        <v>159</v>
      </c>
      <c r="B160" t="str">
        <f>IFERROR(INDEX('Mock Database'!$D$3:$D$152,MATCH($A160,'Mock Database'!$C$3:$C$152,0)),"")</f>
        <v/>
      </c>
      <c r="C160" s="88" t="str">
        <f>IFERROR(INDEX('Mock Database'!$I$3:$I$152,MATCH($A160,'Mock Database'!$C$3:$C$152,0)),"")</f>
        <v/>
      </c>
      <c r="D160" s="89" t="str">
        <f ca="1">IF(ISNA(MATCH($A160,'Mock Database'!$C$3:$C$152,0)),"",IF(ISBLANK(OFFSET('Mock Database'!$M$2,MATCH($A160,'Mock Database'!$C$3:$C$152,0),0)),"",INDEX('Mock Database'!$M$3:$M$152,MATCH($A160,'Mock Database'!$C$3:$C$152,0))))</f>
        <v/>
      </c>
      <c r="E160" s="22" t="str">
        <f ca="1">IF(ISNA(MATCH($A160,'Mock Database'!$C$3:$C$152,0)),"",IF(ISBLANK(OFFSET('Mock Database'!$N$2,MATCH($A160,'Mock Database'!$C$3:$C$152,0),0)),"",INDEX('Mock Database'!$N$3:$N$152,MATCH($A160,'Mock Database'!$C$3:$C$152,0))))</f>
        <v/>
      </c>
      <c r="F160" s="89" t="str">
        <f ca="1">IF(ISNA(MATCH($A160,'Mock Database'!$C$3:$C$152,0)),"",IF(ISBLANK(OFFSET('Mock Database'!$S$2,MATCH($A160,'Mock Database'!$C$3:$C$152,0),0)),"",INDEX('Mock Database'!$S$3:$S$152,MATCH($A160,'Mock Database'!$C$3:$C$152,0))))</f>
        <v/>
      </c>
      <c r="G160" s="22" t="str">
        <f ca="1">IF(ISNA(MATCH($A160,'Mock Database'!$C$3:$C$152,0)),"",IF(ISBLANK(OFFSET('Mock Database'!$T$2,MATCH($A160,'Mock Database'!$C$3:$C$152,0),0)),"",INDEX('Mock Database'!$T$3:$T$152,MATCH($A160,'Mock Database'!$C$3:$C$152,0))))</f>
        <v/>
      </c>
      <c r="H160" s="89" t="str">
        <f ca="1">IF(ISNA(MATCH($A160,'Mock Database'!$C$3:$C$152,0)),"",IF(ISBLANK(OFFSET('Mock Database'!$Y$2,MATCH($A160,'Mock Database'!$C$3:$C$152,0),0)),"",INDEX('Mock Database'!$Y$3:$Y$152,MATCH($A160,'Mock Database'!$C$3:$C$152,0))))</f>
        <v/>
      </c>
      <c r="I160" s="22" t="str">
        <f ca="1">IF(ISNA(MATCH($A160,'Mock Database'!$C$3:$C$152,0)),"",IF(ISBLANK(OFFSET('Mock Database'!$Z$2,MATCH($A160,'Mock Database'!$C$3:$C$152,0),0)),"",INDEX('Mock Database'!$Z$3:$Z$152,MATCH($A160,'Mock Database'!$C$3:$C$152,0))))</f>
        <v/>
      </c>
      <c r="J160" s="89" t="str">
        <f ca="1">IF(ISNA(MATCH($A160,'Mock Database'!$C$3:$C$152,0)),"",IF(ISBLANK(OFFSET('Mock Database'!$AE$2,MATCH($A160,'Mock Database'!$C$3:$C$152,0),0)),"",INDEX('Mock Database'!$AE$3:$AE$152,MATCH($A160,'Mock Database'!$C$3:$C$152,0))))</f>
        <v/>
      </c>
      <c r="K160" s="22" t="str">
        <f ca="1">IF(ISNA(MATCH($A160,'Mock Database'!$C$3:$C$152,0)),"",IF(ISBLANK(OFFSET('Mock Database'!$AF$2,MATCH($A160,'Mock Database'!$C$3:$C$152,0),0)),"",INDEX('Mock Database'!$AF$3:$AF$152,MATCH($A160,'Mock Database'!$C$3:$C$152,0))))</f>
        <v/>
      </c>
      <c r="N160" t="e">
        <f t="shared" si="22"/>
        <v>#N/A</v>
      </c>
      <c r="O160" s="89" t="e">
        <f t="shared" ca="1" si="23"/>
        <v>#N/A</v>
      </c>
      <c r="P160" s="22" t="e">
        <f t="shared" ca="1" si="24"/>
        <v>#N/A</v>
      </c>
      <c r="Q160" s="89" t="e">
        <f t="shared" ca="1" si="25"/>
        <v>#N/A</v>
      </c>
      <c r="R160" s="22" t="e">
        <f t="shared" ca="1" si="26"/>
        <v>#N/A</v>
      </c>
      <c r="S160" s="89" t="e">
        <f t="shared" ca="1" si="27"/>
        <v>#N/A</v>
      </c>
      <c r="T160" s="22" t="e">
        <f t="shared" ca="1" si="28"/>
        <v>#N/A</v>
      </c>
      <c r="U160" s="89" t="e">
        <f t="shared" ca="1" si="29"/>
        <v>#N/A</v>
      </c>
      <c r="V160" s="22" t="e">
        <f t="shared" ca="1" si="30"/>
        <v>#N/A</v>
      </c>
      <c r="AM160" t="e">
        <f t="shared" si="31"/>
        <v>#N/A</v>
      </c>
      <c r="AN160" t="e">
        <f t="shared" ca="1" si="32"/>
        <v>#N/A</v>
      </c>
    </row>
    <row r="161" spans="1:40" x14ac:dyDescent="0.3">
      <c r="A161" s="87">
        <v>160</v>
      </c>
      <c r="B161" t="str">
        <f>IFERROR(INDEX('Mock Database'!$D$3:$D$152,MATCH($A161,'Mock Database'!$C$3:$C$152,0)),"")</f>
        <v/>
      </c>
      <c r="C161" s="88" t="str">
        <f>IFERROR(INDEX('Mock Database'!$I$3:$I$152,MATCH($A161,'Mock Database'!$C$3:$C$152,0)),"")</f>
        <v/>
      </c>
      <c r="D161" s="89" t="str">
        <f ca="1">IF(ISNA(MATCH($A161,'Mock Database'!$C$3:$C$152,0)),"",IF(ISBLANK(OFFSET('Mock Database'!$M$2,MATCH($A161,'Mock Database'!$C$3:$C$152,0),0)),"",INDEX('Mock Database'!$M$3:$M$152,MATCH($A161,'Mock Database'!$C$3:$C$152,0))))</f>
        <v/>
      </c>
      <c r="E161" s="22" t="str">
        <f ca="1">IF(ISNA(MATCH($A161,'Mock Database'!$C$3:$C$152,0)),"",IF(ISBLANK(OFFSET('Mock Database'!$N$2,MATCH($A161,'Mock Database'!$C$3:$C$152,0),0)),"",INDEX('Mock Database'!$N$3:$N$152,MATCH($A161,'Mock Database'!$C$3:$C$152,0))))</f>
        <v/>
      </c>
      <c r="F161" s="89" t="str">
        <f ca="1">IF(ISNA(MATCH($A161,'Mock Database'!$C$3:$C$152,0)),"",IF(ISBLANK(OFFSET('Mock Database'!$S$2,MATCH($A161,'Mock Database'!$C$3:$C$152,0),0)),"",INDEX('Mock Database'!$S$3:$S$152,MATCH($A161,'Mock Database'!$C$3:$C$152,0))))</f>
        <v/>
      </c>
      <c r="G161" s="22" t="str">
        <f ca="1">IF(ISNA(MATCH($A161,'Mock Database'!$C$3:$C$152,0)),"",IF(ISBLANK(OFFSET('Mock Database'!$T$2,MATCH($A161,'Mock Database'!$C$3:$C$152,0),0)),"",INDEX('Mock Database'!$T$3:$T$152,MATCH($A161,'Mock Database'!$C$3:$C$152,0))))</f>
        <v/>
      </c>
      <c r="H161" s="89" t="str">
        <f ca="1">IF(ISNA(MATCH($A161,'Mock Database'!$C$3:$C$152,0)),"",IF(ISBLANK(OFFSET('Mock Database'!$Y$2,MATCH($A161,'Mock Database'!$C$3:$C$152,0),0)),"",INDEX('Mock Database'!$Y$3:$Y$152,MATCH($A161,'Mock Database'!$C$3:$C$152,0))))</f>
        <v/>
      </c>
      <c r="I161" s="22" t="str">
        <f ca="1">IF(ISNA(MATCH($A161,'Mock Database'!$C$3:$C$152,0)),"",IF(ISBLANK(OFFSET('Mock Database'!$Z$2,MATCH($A161,'Mock Database'!$C$3:$C$152,0),0)),"",INDEX('Mock Database'!$Z$3:$Z$152,MATCH($A161,'Mock Database'!$C$3:$C$152,0))))</f>
        <v/>
      </c>
      <c r="J161" s="89" t="str">
        <f ca="1">IF(ISNA(MATCH($A161,'Mock Database'!$C$3:$C$152,0)),"",IF(ISBLANK(OFFSET('Mock Database'!$AE$2,MATCH($A161,'Mock Database'!$C$3:$C$152,0),0)),"",INDEX('Mock Database'!$AE$3:$AE$152,MATCH($A161,'Mock Database'!$C$3:$C$152,0))))</f>
        <v/>
      </c>
      <c r="K161" s="22" t="str">
        <f ca="1">IF(ISNA(MATCH($A161,'Mock Database'!$C$3:$C$152,0)),"",IF(ISBLANK(OFFSET('Mock Database'!$AF$2,MATCH($A161,'Mock Database'!$C$3:$C$152,0),0)),"",INDEX('Mock Database'!$AF$3:$AF$152,MATCH($A161,'Mock Database'!$C$3:$C$152,0))))</f>
        <v/>
      </c>
      <c r="N161" t="e">
        <f t="shared" si="22"/>
        <v>#N/A</v>
      </c>
      <c r="O161" s="89" t="e">
        <f t="shared" ca="1" si="23"/>
        <v>#N/A</v>
      </c>
      <c r="P161" s="22" t="e">
        <f t="shared" ca="1" si="24"/>
        <v>#N/A</v>
      </c>
      <c r="Q161" s="89" t="e">
        <f t="shared" ca="1" si="25"/>
        <v>#N/A</v>
      </c>
      <c r="R161" s="22" t="e">
        <f t="shared" ca="1" si="26"/>
        <v>#N/A</v>
      </c>
      <c r="S161" s="89" t="e">
        <f t="shared" ca="1" si="27"/>
        <v>#N/A</v>
      </c>
      <c r="T161" s="22" t="e">
        <f t="shared" ca="1" si="28"/>
        <v>#N/A</v>
      </c>
      <c r="U161" s="89" t="e">
        <f t="shared" ca="1" si="29"/>
        <v>#N/A</v>
      </c>
      <c r="V161" s="22" t="e">
        <f t="shared" ca="1" si="30"/>
        <v>#N/A</v>
      </c>
      <c r="AM161" t="e">
        <f t="shared" si="31"/>
        <v>#N/A</v>
      </c>
      <c r="AN161" t="e">
        <f t="shared" ca="1" si="32"/>
        <v>#N/A</v>
      </c>
    </row>
    <row r="162" spans="1:40" x14ac:dyDescent="0.3">
      <c r="A162" s="87">
        <v>161</v>
      </c>
      <c r="B162" t="str">
        <f>IFERROR(INDEX('Mock Database'!$D$3:$D$152,MATCH($A162,'Mock Database'!$C$3:$C$152,0)),"")</f>
        <v/>
      </c>
      <c r="C162" s="88" t="str">
        <f>IFERROR(INDEX('Mock Database'!$I$3:$I$152,MATCH($A162,'Mock Database'!$C$3:$C$152,0)),"")</f>
        <v/>
      </c>
      <c r="D162" s="89" t="str">
        <f ca="1">IF(ISNA(MATCH($A162,'Mock Database'!$C$3:$C$152,0)),"",IF(ISBLANK(OFFSET('Mock Database'!$M$2,MATCH($A162,'Mock Database'!$C$3:$C$152,0),0)),"",INDEX('Mock Database'!$M$3:$M$152,MATCH($A162,'Mock Database'!$C$3:$C$152,0))))</f>
        <v/>
      </c>
      <c r="E162" s="22" t="str">
        <f ca="1">IF(ISNA(MATCH($A162,'Mock Database'!$C$3:$C$152,0)),"",IF(ISBLANK(OFFSET('Mock Database'!$N$2,MATCH($A162,'Mock Database'!$C$3:$C$152,0),0)),"",INDEX('Mock Database'!$N$3:$N$152,MATCH($A162,'Mock Database'!$C$3:$C$152,0))))</f>
        <v/>
      </c>
      <c r="F162" s="89" t="str">
        <f ca="1">IF(ISNA(MATCH($A162,'Mock Database'!$C$3:$C$152,0)),"",IF(ISBLANK(OFFSET('Mock Database'!$S$2,MATCH($A162,'Mock Database'!$C$3:$C$152,0),0)),"",INDEX('Mock Database'!$S$3:$S$152,MATCH($A162,'Mock Database'!$C$3:$C$152,0))))</f>
        <v/>
      </c>
      <c r="G162" s="22" t="str">
        <f ca="1">IF(ISNA(MATCH($A162,'Mock Database'!$C$3:$C$152,0)),"",IF(ISBLANK(OFFSET('Mock Database'!$T$2,MATCH($A162,'Mock Database'!$C$3:$C$152,0),0)),"",INDEX('Mock Database'!$T$3:$T$152,MATCH($A162,'Mock Database'!$C$3:$C$152,0))))</f>
        <v/>
      </c>
      <c r="H162" s="89" t="str">
        <f ca="1">IF(ISNA(MATCH($A162,'Mock Database'!$C$3:$C$152,0)),"",IF(ISBLANK(OFFSET('Mock Database'!$Y$2,MATCH($A162,'Mock Database'!$C$3:$C$152,0),0)),"",INDEX('Mock Database'!$Y$3:$Y$152,MATCH($A162,'Mock Database'!$C$3:$C$152,0))))</f>
        <v/>
      </c>
      <c r="I162" s="22" t="str">
        <f ca="1">IF(ISNA(MATCH($A162,'Mock Database'!$C$3:$C$152,0)),"",IF(ISBLANK(OFFSET('Mock Database'!$Z$2,MATCH($A162,'Mock Database'!$C$3:$C$152,0),0)),"",INDEX('Mock Database'!$Z$3:$Z$152,MATCH($A162,'Mock Database'!$C$3:$C$152,0))))</f>
        <v/>
      </c>
      <c r="J162" s="89" t="str">
        <f ca="1">IF(ISNA(MATCH($A162,'Mock Database'!$C$3:$C$152,0)),"",IF(ISBLANK(OFFSET('Mock Database'!$AE$2,MATCH($A162,'Mock Database'!$C$3:$C$152,0),0)),"",INDEX('Mock Database'!$AE$3:$AE$152,MATCH($A162,'Mock Database'!$C$3:$C$152,0))))</f>
        <v/>
      </c>
      <c r="K162" s="22" t="str">
        <f ca="1">IF(ISNA(MATCH($A162,'Mock Database'!$C$3:$C$152,0)),"",IF(ISBLANK(OFFSET('Mock Database'!$AF$2,MATCH($A162,'Mock Database'!$C$3:$C$152,0),0)),"",INDEX('Mock Database'!$AF$3:$AF$152,MATCH($A162,'Mock Database'!$C$3:$C$152,0))))</f>
        <v/>
      </c>
      <c r="N162" t="e">
        <f t="shared" si="22"/>
        <v>#N/A</v>
      </c>
      <c r="O162" s="89" t="e">
        <f t="shared" ca="1" si="23"/>
        <v>#N/A</v>
      </c>
      <c r="P162" s="22" t="e">
        <f t="shared" ca="1" si="24"/>
        <v>#N/A</v>
      </c>
      <c r="Q162" s="89" t="e">
        <f t="shared" ca="1" si="25"/>
        <v>#N/A</v>
      </c>
      <c r="R162" s="22" t="e">
        <f t="shared" ca="1" si="26"/>
        <v>#N/A</v>
      </c>
      <c r="S162" s="89" t="e">
        <f t="shared" ca="1" si="27"/>
        <v>#N/A</v>
      </c>
      <c r="T162" s="22" t="e">
        <f t="shared" ca="1" si="28"/>
        <v>#N/A</v>
      </c>
      <c r="U162" s="89" t="e">
        <f t="shared" ca="1" si="29"/>
        <v>#N/A</v>
      </c>
      <c r="V162" s="22" t="e">
        <f t="shared" ca="1" si="30"/>
        <v>#N/A</v>
      </c>
      <c r="AM162" t="e">
        <f t="shared" si="31"/>
        <v>#N/A</v>
      </c>
      <c r="AN162" t="e">
        <f t="shared" ca="1" si="32"/>
        <v>#N/A</v>
      </c>
    </row>
    <row r="163" spans="1:40" x14ac:dyDescent="0.3">
      <c r="A163" s="87">
        <v>162</v>
      </c>
      <c r="B163" t="str">
        <f>IFERROR(INDEX('Mock Database'!$D$3:$D$152,MATCH($A163,'Mock Database'!$C$3:$C$152,0)),"")</f>
        <v/>
      </c>
      <c r="C163" s="88" t="str">
        <f>IFERROR(INDEX('Mock Database'!$I$3:$I$152,MATCH($A163,'Mock Database'!$C$3:$C$152,0)),"")</f>
        <v/>
      </c>
      <c r="D163" s="89" t="str">
        <f ca="1">IF(ISNA(MATCH($A163,'Mock Database'!$C$3:$C$152,0)),"",IF(ISBLANK(OFFSET('Mock Database'!$M$2,MATCH($A163,'Mock Database'!$C$3:$C$152,0),0)),"",INDEX('Mock Database'!$M$3:$M$152,MATCH($A163,'Mock Database'!$C$3:$C$152,0))))</f>
        <v/>
      </c>
      <c r="E163" s="22" t="str">
        <f ca="1">IF(ISNA(MATCH($A163,'Mock Database'!$C$3:$C$152,0)),"",IF(ISBLANK(OFFSET('Mock Database'!$N$2,MATCH($A163,'Mock Database'!$C$3:$C$152,0),0)),"",INDEX('Mock Database'!$N$3:$N$152,MATCH($A163,'Mock Database'!$C$3:$C$152,0))))</f>
        <v/>
      </c>
      <c r="F163" s="89" t="str">
        <f ca="1">IF(ISNA(MATCH($A163,'Mock Database'!$C$3:$C$152,0)),"",IF(ISBLANK(OFFSET('Mock Database'!$S$2,MATCH($A163,'Mock Database'!$C$3:$C$152,0),0)),"",INDEX('Mock Database'!$S$3:$S$152,MATCH($A163,'Mock Database'!$C$3:$C$152,0))))</f>
        <v/>
      </c>
      <c r="G163" s="22" t="str">
        <f ca="1">IF(ISNA(MATCH($A163,'Mock Database'!$C$3:$C$152,0)),"",IF(ISBLANK(OFFSET('Mock Database'!$T$2,MATCH($A163,'Mock Database'!$C$3:$C$152,0),0)),"",INDEX('Mock Database'!$T$3:$T$152,MATCH($A163,'Mock Database'!$C$3:$C$152,0))))</f>
        <v/>
      </c>
      <c r="H163" s="89" t="str">
        <f ca="1">IF(ISNA(MATCH($A163,'Mock Database'!$C$3:$C$152,0)),"",IF(ISBLANK(OFFSET('Mock Database'!$Y$2,MATCH($A163,'Mock Database'!$C$3:$C$152,0),0)),"",INDEX('Mock Database'!$Y$3:$Y$152,MATCH($A163,'Mock Database'!$C$3:$C$152,0))))</f>
        <v/>
      </c>
      <c r="I163" s="22" t="str">
        <f ca="1">IF(ISNA(MATCH($A163,'Mock Database'!$C$3:$C$152,0)),"",IF(ISBLANK(OFFSET('Mock Database'!$Z$2,MATCH($A163,'Mock Database'!$C$3:$C$152,0),0)),"",INDEX('Mock Database'!$Z$3:$Z$152,MATCH($A163,'Mock Database'!$C$3:$C$152,0))))</f>
        <v/>
      </c>
      <c r="J163" s="89" t="str">
        <f ca="1">IF(ISNA(MATCH($A163,'Mock Database'!$C$3:$C$152,0)),"",IF(ISBLANK(OFFSET('Mock Database'!$AE$2,MATCH($A163,'Mock Database'!$C$3:$C$152,0),0)),"",INDEX('Mock Database'!$AE$3:$AE$152,MATCH($A163,'Mock Database'!$C$3:$C$152,0))))</f>
        <v/>
      </c>
      <c r="K163" s="22" t="str">
        <f ca="1">IF(ISNA(MATCH($A163,'Mock Database'!$C$3:$C$152,0)),"",IF(ISBLANK(OFFSET('Mock Database'!$AF$2,MATCH($A163,'Mock Database'!$C$3:$C$152,0),0)),"",INDEX('Mock Database'!$AF$3:$AF$152,MATCH($A163,'Mock Database'!$C$3:$C$152,0))))</f>
        <v/>
      </c>
      <c r="N163" t="e">
        <f t="shared" si="22"/>
        <v>#N/A</v>
      </c>
      <c r="O163" s="89" t="e">
        <f t="shared" ca="1" si="23"/>
        <v>#N/A</v>
      </c>
      <c r="P163" s="22" t="e">
        <f t="shared" ca="1" si="24"/>
        <v>#N/A</v>
      </c>
      <c r="Q163" s="89" t="e">
        <f t="shared" ca="1" si="25"/>
        <v>#N/A</v>
      </c>
      <c r="R163" s="22" t="e">
        <f t="shared" ca="1" si="26"/>
        <v>#N/A</v>
      </c>
      <c r="S163" s="89" t="e">
        <f t="shared" ca="1" si="27"/>
        <v>#N/A</v>
      </c>
      <c r="T163" s="22" t="e">
        <f t="shared" ca="1" si="28"/>
        <v>#N/A</v>
      </c>
      <c r="U163" s="89" t="e">
        <f t="shared" ca="1" si="29"/>
        <v>#N/A</v>
      </c>
      <c r="V163" s="22" t="e">
        <f t="shared" ca="1" si="30"/>
        <v>#N/A</v>
      </c>
      <c r="AM163" t="e">
        <f t="shared" si="31"/>
        <v>#N/A</v>
      </c>
      <c r="AN163" t="e">
        <f t="shared" ca="1" si="32"/>
        <v>#N/A</v>
      </c>
    </row>
    <row r="164" spans="1:40" x14ac:dyDescent="0.3">
      <c r="A164" s="87">
        <v>163</v>
      </c>
      <c r="B164" t="str">
        <f>IFERROR(INDEX('Mock Database'!$D$3:$D$152,MATCH($A164,'Mock Database'!$C$3:$C$152,0)),"")</f>
        <v/>
      </c>
      <c r="C164" s="88" t="str">
        <f>IFERROR(INDEX('Mock Database'!$I$3:$I$152,MATCH($A164,'Mock Database'!$C$3:$C$152,0)),"")</f>
        <v/>
      </c>
      <c r="D164" s="89" t="str">
        <f ca="1">IF(ISNA(MATCH($A164,'Mock Database'!$C$3:$C$152,0)),"",IF(ISBLANK(OFFSET('Mock Database'!$M$2,MATCH($A164,'Mock Database'!$C$3:$C$152,0),0)),"",INDEX('Mock Database'!$M$3:$M$152,MATCH($A164,'Mock Database'!$C$3:$C$152,0))))</f>
        <v/>
      </c>
      <c r="E164" s="22" t="str">
        <f ca="1">IF(ISNA(MATCH($A164,'Mock Database'!$C$3:$C$152,0)),"",IF(ISBLANK(OFFSET('Mock Database'!$N$2,MATCH($A164,'Mock Database'!$C$3:$C$152,0),0)),"",INDEX('Mock Database'!$N$3:$N$152,MATCH($A164,'Mock Database'!$C$3:$C$152,0))))</f>
        <v/>
      </c>
      <c r="F164" s="89" t="str">
        <f ca="1">IF(ISNA(MATCH($A164,'Mock Database'!$C$3:$C$152,0)),"",IF(ISBLANK(OFFSET('Mock Database'!$S$2,MATCH($A164,'Mock Database'!$C$3:$C$152,0),0)),"",INDEX('Mock Database'!$S$3:$S$152,MATCH($A164,'Mock Database'!$C$3:$C$152,0))))</f>
        <v/>
      </c>
      <c r="G164" s="22" t="str">
        <f ca="1">IF(ISNA(MATCH($A164,'Mock Database'!$C$3:$C$152,0)),"",IF(ISBLANK(OFFSET('Mock Database'!$T$2,MATCH($A164,'Mock Database'!$C$3:$C$152,0),0)),"",INDEX('Mock Database'!$T$3:$T$152,MATCH($A164,'Mock Database'!$C$3:$C$152,0))))</f>
        <v/>
      </c>
      <c r="H164" s="89" t="str">
        <f ca="1">IF(ISNA(MATCH($A164,'Mock Database'!$C$3:$C$152,0)),"",IF(ISBLANK(OFFSET('Mock Database'!$Y$2,MATCH($A164,'Mock Database'!$C$3:$C$152,0),0)),"",INDEX('Mock Database'!$Y$3:$Y$152,MATCH($A164,'Mock Database'!$C$3:$C$152,0))))</f>
        <v/>
      </c>
      <c r="I164" s="22" t="str">
        <f ca="1">IF(ISNA(MATCH($A164,'Mock Database'!$C$3:$C$152,0)),"",IF(ISBLANK(OFFSET('Mock Database'!$Z$2,MATCH($A164,'Mock Database'!$C$3:$C$152,0),0)),"",INDEX('Mock Database'!$Z$3:$Z$152,MATCH($A164,'Mock Database'!$C$3:$C$152,0))))</f>
        <v/>
      </c>
      <c r="J164" s="89" t="str">
        <f ca="1">IF(ISNA(MATCH($A164,'Mock Database'!$C$3:$C$152,0)),"",IF(ISBLANK(OFFSET('Mock Database'!$AE$2,MATCH($A164,'Mock Database'!$C$3:$C$152,0),0)),"",INDEX('Mock Database'!$AE$3:$AE$152,MATCH($A164,'Mock Database'!$C$3:$C$152,0))))</f>
        <v/>
      </c>
      <c r="K164" s="22" t="str">
        <f ca="1">IF(ISNA(MATCH($A164,'Mock Database'!$C$3:$C$152,0)),"",IF(ISBLANK(OFFSET('Mock Database'!$AF$2,MATCH($A164,'Mock Database'!$C$3:$C$152,0),0)),"",INDEX('Mock Database'!$AF$3:$AF$152,MATCH($A164,'Mock Database'!$C$3:$C$152,0))))</f>
        <v/>
      </c>
      <c r="N164" t="e">
        <f t="shared" si="22"/>
        <v>#N/A</v>
      </c>
      <c r="O164" s="89" t="e">
        <f t="shared" ca="1" si="23"/>
        <v>#N/A</v>
      </c>
      <c r="P164" s="22" t="e">
        <f t="shared" ca="1" si="24"/>
        <v>#N/A</v>
      </c>
      <c r="Q164" s="89" t="e">
        <f t="shared" ca="1" si="25"/>
        <v>#N/A</v>
      </c>
      <c r="R164" s="22" t="e">
        <f t="shared" ca="1" si="26"/>
        <v>#N/A</v>
      </c>
      <c r="S164" s="89" t="e">
        <f t="shared" ca="1" si="27"/>
        <v>#N/A</v>
      </c>
      <c r="T164" s="22" t="e">
        <f t="shared" ca="1" si="28"/>
        <v>#N/A</v>
      </c>
      <c r="U164" s="89" t="e">
        <f t="shared" ca="1" si="29"/>
        <v>#N/A</v>
      </c>
      <c r="V164" s="22" t="e">
        <f t="shared" ca="1" si="30"/>
        <v>#N/A</v>
      </c>
      <c r="AM164" t="e">
        <f t="shared" si="31"/>
        <v>#N/A</v>
      </c>
      <c r="AN164" t="e">
        <f t="shared" ca="1" si="32"/>
        <v>#N/A</v>
      </c>
    </row>
    <row r="165" spans="1:40" x14ac:dyDescent="0.3">
      <c r="A165" s="87">
        <v>164</v>
      </c>
      <c r="B165" t="str">
        <f>IFERROR(INDEX('Mock Database'!$D$3:$D$152,MATCH($A165,'Mock Database'!$C$3:$C$152,0)),"")</f>
        <v/>
      </c>
      <c r="C165" s="88" t="str">
        <f>IFERROR(INDEX('Mock Database'!$I$3:$I$152,MATCH($A165,'Mock Database'!$C$3:$C$152,0)),"")</f>
        <v/>
      </c>
      <c r="D165" s="89" t="str">
        <f ca="1">IF(ISNA(MATCH($A165,'Mock Database'!$C$3:$C$152,0)),"",IF(ISBLANK(OFFSET('Mock Database'!$M$2,MATCH($A165,'Mock Database'!$C$3:$C$152,0),0)),"",INDEX('Mock Database'!$M$3:$M$152,MATCH($A165,'Mock Database'!$C$3:$C$152,0))))</f>
        <v/>
      </c>
      <c r="E165" s="22" t="str">
        <f ca="1">IF(ISNA(MATCH($A165,'Mock Database'!$C$3:$C$152,0)),"",IF(ISBLANK(OFFSET('Mock Database'!$N$2,MATCH($A165,'Mock Database'!$C$3:$C$152,0),0)),"",INDEX('Mock Database'!$N$3:$N$152,MATCH($A165,'Mock Database'!$C$3:$C$152,0))))</f>
        <v/>
      </c>
      <c r="F165" s="89" t="str">
        <f ca="1">IF(ISNA(MATCH($A165,'Mock Database'!$C$3:$C$152,0)),"",IF(ISBLANK(OFFSET('Mock Database'!$S$2,MATCH($A165,'Mock Database'!$C$3:$C$152,0),0)),"",INDEX('Mock Database'!$S$3:$S$152,MATCH($A165,'Mock Database'!$C$3:$C$152,0))))</f>
        <v/>
      </c>
      <c r="G165" s="22" t="str">
        <f ca="1">IF(ISNA(MATCH($A165,'Mock Database'!$C$3:$C$152,0)),"",IF(ISBLANK(OFFSET('Mock Database'!$T$2,MATCH($A165,'Mock Database'!$C$3:$C$152,0),0)),"",INDEX('Mock Database'!$T$3:$T$152,MATCH($A165,'Mock Database'!$C$3:$C$152,0))))</f>
        <v/>
      </c>
      <c r="H165" s="89" t="str">
        <f ca="1">IF(ISNA(MATCH($A165,'Mock Database'!$C$3:$C$152,0)),"",IF(ISBLANK(OFFSET('Mock Database'!$Y$2,MATCH($A165,'Mock Database'!$C$3:$C$152,0),0)),"",INDEX('Mock Database'!$Y$3:$Y$152,MATCH($A165,'Mock Database'!$C$3:$C$152,0))))</f>
        <v/>
      </c>
      <c r="I165" s="22" t="str">
        <f ca="1">IF(ISNA(MATCH($A165,'Mock Database'!$C$3:$C$152,0)),"",IF(ISBLANK(OFFSET('Mock Database'!$Z$2,MATCH($A165,'Mock Database'!$C$3:$C$152,0),0)),"",INDEX('Mock Database'!$Z$3:$Z$152,MATCH($A165,'Mock Database'!$C$3:$C$152,0))))</f>
        <v/>
      </c>
      <c r="J165" s="89" t="str">
        <f ca="1">IF(ISNA(MATCH($A165,'Mock Database'!$C$3:$C$152,0)),"",IF(ISBLANK(OFFSET('Mock Database'!$AE$2,MATCH($A165,'Mock Database'!$C$3:$C$152,0),0)),"",INDEX('Mock Database'!$AE$3:$AE$152,MATCH($A165,'Mock Database'!$C$3:$C$152,0))))</f>
        <v/>
      </c>
      <c r="K165" s="22" t="str">
        <f ca="1">IF(ISNA(MATCH($A165,'Mock Database'!$C$3:$C$152,0)),"",IF(ISBLANK(OFFSET('Mock Database'!$AF$2,MATCH($A165,'Mock Database'!$C$3:$C$152,0),0)),"",INDEX('Mock Database'!$AF$3:$AF$152,MATCH($A165,'Mock Database'!$C$3:$C$152,0))))</f>
        <v/>
      </c>
      <c r="N165" t="e">
        <f t="shared" si="22"/>
        <v>#N/A</v>
      </c>
      <c r="O165" s="89" t="e">
        <f t="shared" ca="1" si="23"/>
        <v>#N/A</v>
      </c>
      <c r="P165" s="22" t="e">
        <f t="shared" ca="1" si="24"/>
        <v>#N/A</v>
      </c>
      <c r="Q165" s="89" t="e">
        <f t="shared" ca="1" si="25"/>
        <v>#N/A</v>
      </c>
      <c r="R165" s="22" t="e">
        <f t="shared" ca="1" si="26"/>
        <v>#N/A</v>
      </c>
      <c r="S165" s="89" t="e">
        <f t="shared" ca="1" si="27"/>
        <v>#N/A</v>
      </c>
      <c r="T165" s="22" t="e">
        <f t="shared" ca="1" si="28"/>
        <v>#N/A</v>
      </c>
      <c r="U165" s="89" t="e">
        <f t="shared" ca="1" si="29"/>
        <v>#N/A</v>
      </c>
      <c r="V165" s="22" t="e">
        <f t="shared" ca="1" si="30"/>
        <v>#N/A</v>
      </c>
      <c r="AM165" t="e">
        <f t="shared" si="31"/>
        <v>#N/A</v>
      </c>
      <c r="AN165" t="e">
        <f t="shared" ca="1" si="32"/>
        <v>#N/A</v>
      </c>
    </row>
    <row r="166" spans="1:40" x14ac:dyDescent="0.3">
      <c r="A166" s="87">
        <v>165</v>
      </c>
      <c r="B166" t="str">
        <f>IFERROR(INDEX('Mock Database'!$D$3:$D$152,MATCH($A166,'Mock Database'!$C$3:$C$152,0)),"")</f>
        <v/>
      </c>
      <c r="C166" s="88" t="str">
        <f>IFERROR(INDEX('Mock Database'!$I$3:$I$152,MATCH($A166,'Mock Database'!$C$3:$C$152,0)),"")</f>
        <v/>
      </c>
      <c r="D166" s="89" t="str">
        <f ca="1">IF(ISNA(MATCH($A166,'Mock Database'!$C$3:$C$152,0)),"",IF(ISBLANK(OFFSET('Mock Database'!$M$2,MATCH($A166,'Mock Database'!$C$3:$C$152,0),0)),"",INDEX('Mock Database'!$M$3:$M$152,MATCH($A166,'Mock Database'!$C$3:$C$152,0))))</f>
        <v/>
      </c>
      <c r="E166" s="22" t="str">
        <f ca="1">IF(ISNA(MATCH($A166,'Mock Database'!$C$3:$C$152,0)),"",IF(ISBLANK(OFFSET('Mock Database'!$N$2,MATCH($A166,'Mock Database'!$C$3:$C$152,0),0)),"",INDEX('Mock Database'!$N$3:$N$152,MATCH($A166,'Mock Database'!$C$3:$C$152,0))))</f>
        <v/>
      </c>
      <c r="F166" s="89" t="str">
        <f ca="1">IF(ISNA(MATCH($A166,'Mock Database'!$C$3:$C$152,0)),"",IF(ISBLANK(OFFSET('Mock Database'!$S$2,MATCH($A166,'Mock Database'!$C$3:$C$152,0),0)),"",INDEX('Mock Database'!$S$3:$S$152,MATCH($A166,'Mock Database'!$C$3:$C$152,0))))</f>
        <v/>
      </c>
      <c r="G166" s="22" t="str">
        <f ca="1">IF(ISNA(MATCH($A166,'Mock Database'!$C$3:$C$152,0)),"",IF(ISBLANK(OFFSET('Mock Database'!$T$2,MATCH($A166,'Mock Database'!$C$3:$C$152,0),0)),"",INDEX('Mock Database'!$T$3:$T$152,MATCH($A166,'Mock Database'!$C$3:$C$152,0))))</f>
        <v/>
      </c>
      <c r="H166" s="89" t="str">
        <f ca="1">IF(ISNA(MATCH($A166,'Mock Database'!$C$3:$C$152,0)),"",IF(ISBLANK(OFFSET('Mock Database'!$Y$2,MATCH($A166,'Mock Database'!$C$3:$C$152,0),0)),"",INDEX('Mock Database'!$Y$3:$Y$152,MATCH($A166,'Mock Database'!$C$3:$C$152,0))))</f>
        <v/>
      </c>
      <c r="I166" s="22" t="str">
        <f ca="1">IF(ISNA(MATCH($A166,'Mock Database'!$C$3:$C$152,0)),"",IF(ISBLANK(OFFSET('Mock Database'!$Z$2,MATCH($A166,'Mock Database'!$C$3:$C$152,0),0)),"",INDEX('Mock Database'!$Z$3:$Z$152,MATCH($A166,'Mock Database'!$C$3:$C$152,0))))</f>
        <v/>
      </c>
      <c r="J166" s="89" t="str">
        <f ca="1">IF(ISNA(MATCH($A166,'Mock Database'!$C$3:$C$152,0)),"",IF(ISBLANK(OFFSET('Mock Database'!$AE$2,MATCH($A166,'Mock Database'!$C$3:$C$152,0),0)),"",INDEX('Mock Database'!$AE$3:$AE$152,MATCH($A166,'Mock Database'!$C$3:$C$152,0))))</f>
        <v/>
      </c>
      <c r="K166" s="22" t="str">
        <f ca="1">IF(ISNA(MATCH($A166,'Mock Database'!$C$3:$C$152,0)),"",IF(ISBLANK(OFFSET('Mock Database'!$AF$2,MATCH($A166,'Mock Database'!$C$3:$C$152,0),0)),"",INDEX('Mock Database'!$AF$3:$AF$152,MATCH($A166,'Mock Database'!$C$3:$C$152,0))))</f>
        <v/>
      </c>
      <c r="N166" t="e">
        <f t="shared" si="22"/>
        <v>#N/A</v>
      </c>
      <c r="O166" s="89" t="e">
        <f t="shared" ca="1" si="23"/>
        <v>#N/A</v>
      </c>
      <c r="P166" s="22" t="e">
        <f t="shared" ca="1" si="24"/>
        <v>#N/A</v>
      </c>
      <c r="Q166" s="89" t="e">
        <f t="shared" ca="1" si="25"/>
        <v>#N/A</v>
      </c>
      <c r="R166" s="22" t="e">
        <f t="shared" ca="1" si="26"/>
        <v>#N/A</v>
      </c>
      <c r="S166" s="89" t="e">
        <f t="shared" ca="1" si="27"/>
        <v>#N/A</v>
      </c>
      <c r="T166" s="22" t="e">
        <f t="shared" ca="1" si="28"/>
        <v>#N/A</v>
      </c>
      <c r="U166" s="89" t="e">
        <f t="shared" ca="1" si="29"/>
        <v>#N/A</v>
      </c>
      <c r="V166" s="22" t="e">
        <f t="shared" ca="1" si="30"/>
        <v>#N/A</v>
      </c>
      <c r="AM166" t="e">
        <f t="shared" si="31"/>
        <v>#N/A</v>
      </c>
      <c r="AN166" t="e">
        <f t="shared" ca="1" si="32"/>
        <v>#N/A</v>
      </c>
    </row>
    <row r="167" spans="1:40" x14ac:dyDescent="0.3">
      <c r="A167" s="87">
        <v>166</v>
      </c>
      <c r="B167" t="str">
        <f>IFERROR(INDEX('Mock Database'!$D$3:$D$152,MATCH($A167,'Mock Database'!$C$3:$C$152,0)),"")</f>
        <v/>
      </c>
      <c r="C167" s="88" t="str">
        <f>IFERROR(INDEX('Mock Database'!$I$3:$I$152,MATCH($A167,'Mock Database'!$C$3:$C$152,0)),"")</f>
        <v/>
      </c>
      <c r="D167" s="89" t="str">
        <f ca="1">IF(ISNA(MATCH($A167,'Mock Database'!$C$3:$C$152,0)),"",IF(ISBLANK(OFFSET('Mock Database'!$M$2,MATCH($A167,'Mock Database'!$C$3:$C$152,0),0)),"",INDEX('Mock Database'!$M$3:$M$152,MATCH($A167,'Mock Database'!$C$3:$C$152,0))))</f>
        <v/>
      </c>
      <c r="E167" s="22" t="str">
        <f ca="1">IF(ISNA(MATCH($A167,'Mock Database'!$C$3:$C$152,0)),"",IF(ISBLANK(OFFSET('Mock Database'!$N$2,MATCH($A167,'Mock Database'!$C$3:$C$152,0),0)),"",INDEX('Mock Database'!$N$3:$N$152,MATCH($A167,'Mock Database'!$C$3:$C$152,0))))</f>
        <v/>
      </c>
      <c r="F167" s="89" t="str">
        <f ca="1">IF(ISNA(MATCH($A167,'Mock Database'!$C$3:$C$152,0)),"",IF(ISBLANK(OFFSET('Mock Database'!$S$2,MATCH($A167,'Mock Database'!$C$3:$C$152,0),0)),"",INDEX('Mock Database'!$S$3:$S$152,MATCH($A167,'Mock Database'!$C$3:$C$152,0))))</f>
        <v/>
      </c>
      <c r="G167" s="22" t="str">
        <f ca="1">IF(ISNA(MATCH($A167,'Mock Database'!$C$3:$C$152,0)),"",IF(ISBLANK(OFFSET('Mock Database'!$T$2,MATCH($A167,'Mock Database'!$C$3:$C$152,0),0)),"",INDEX('Mock Database'!$T$3:$T$152,MATCH($A167,'Mock Database'!$C$3:$C$152,0))))</f>
        <v/>
      </c>
      <c r="H167" s="89" t="str">
        <f ca="1">IF(ISNA(MATCH($A167,'Mock Database'!$C$3:$C$152,0)),"",IF(ISBLANK(OFFSET('Mock Database'!$Y$2,MATCH($A167,'Mock Database'!$C$3:$C$152,0),0)),"",INDEX('Mock Database'!$Y$3:$Y$152,MATCH($A167,'Mock Database'!$C$3:$C$152,0))))</f>
        <v/>
      </c>
      <c r="I167" s="22" t="str">
        <f ca="1">IF(ISNA(MATCH($A167,'Mock Database'!$C$3:$C$152,0)),"",IF(ISBLANK(OFFSET('Mock Database'!$Z$2,MATCH($A167,'Mock Database'!$C$3:$C$152,0),0)),"",INDEX('Mock Database'!$Z$3:$Z$152,MATCH($A167,'Mock Database'!$C$3:$C$152,0))))</f>
        <v/>
      </c>
      <c r="J167" s="89" t="str">
        <f ca="1">IF(ISNA(MATCH($A167,'Mock Database'!$C$3:$C$152,0)),"",IF(ISBLANK(OFFSET('Mock Database'!$AE$2,MATCH($A167,'Mock Database'!$C$3:$C$152,0),0)),"",INDEX('Mock Database'!$AE$3:$AE$152,MATCH($A167,'Mock Database'!$C$3:$C$152,0))))</f>
        <v/>
      </c>
      <c r="K167" s="22" t="str">
        <f ca="1">IF(ISNA(MATCH($A167,'Mock Database'!$C$3:$C$152,0)),"",IF(ISBLANK(OFFSET('Mock Database'!$AF$2,MATCH($A167,'Mock Database'!$C$3:$C$152,0),0)),"",INDEX('Mock Database'!$AF$3:$AF$152,MATCH($A167,'Mock Database'!$C$3:$C$152,0))))</f>
        <v/>
      </c>
      <c r="N167" t="e">
        <f t="shared" si="22"/>
        <v>#N/A</v>
      </c>
      <c r="O167" s="89" t="e">
        <f t="shared" ca="1" si="23"/>
        <v>#N/A</v>
      </c>
      <c r="P167" s="22" t="e">
        <f t="shared" ca="1" si="24"/>
        <v>#N/A</v>
      </c>
      <c r="Q167" s="89" t="e">
        <f t="shared" ca="1" si="25"/>
        <v>#N/A</v>
      </c>
      <c r="R167" s="22" t="e">
        <f t="shared" ca="1" si="26"/>
        <v>#N/A</v>
      </c>
      <c r="S167" s="89" t="e">
        <f t="shared" ca="1" si="27"/>
        <v>#N/A</v>
      </c>
      <c r="T167" s="22" t="e">
        <f t="shared" ca="1" si="28"/>
        <v>#N/A</v>
      </c>
      <c r="U167" s="89" t="e">
        <f t="shared" ca="1" si="29"/>
        <v>#N/A</v>
      </c>
      <c r="V167" s="22" t="e">
        <f t="shared" ca="1" si="30"/>
        <v>#N/A</v>
      </c>
      <c r="AM167" t="e">
        <f t="shared" si="31"/>
        <v>#N/A</v>
      </c>
      <c r="AN167" t="e">
        <f t="shared" ca="1" si="32"/>
        <v>#N/A</v>
      </c>
    </row>
    <row r="168" spans="1:40" x14ac:dyDescent="0.3">
      <c r="A168" s="87">
        <v>167</v>
      </c>
      <c r="B168" t="str">
        <f>IFERROR(INDEX('Mock Database'!$D$3:$D$152,MATCH($A168,'Mock Database'!$C$3:$C$152,0)),"")</f>
        <v/>
      </c>
      <c r="C168" s="88" t="str">
        <f>IFERROR(INDEX('Mock Database'!$I$3:$I$152,MATCH($A168,'Mock Database'!$C$3:$C$152,0)),"")</f>
        <v/>
      </c>
      <c r="D168" s="89" t="str">
        <f ca="1">IF(ISNA(MATCH($A168,'Mock Database'!$C$3:$C$152,0)),"",IF(ISBLANK(OFFSET('Mock Database'!$M$2,MATCH($A168,'Mock Database'!$C$3:$C$152,0),0)),"",INDEX('Mock Database'!$M$3:$M$152,MATCH($A168,'Mock Database'!$C$3:$C$152,0))))</f>
        <v/>
      </c>
      <c r="E168" s="22" t="str">
        <f ca="1">IF(ISNA(MATCH($A168,'Mock Database'!$C$3:$C$152,0)),"",IF(ISBLANK(OFFSET('Mock Database'!$N$2,MATCH($A168,'Mock Database'!$C$3:$C$152,0),0)),"",INDEX('Mock Database'!$N$3:$N$152,MATCH($A168,'Mock Database'!$C$3:$C$152,0))))</f>
        <v/>
      </c>
      <c r="F168" s="89" t="str">
        <f ca="1">IF(ISNA(MATCH($A168,'Mock Database'!$C$3:$C$152,0)),"",IF(ISBLANK(OFFSET('Mock Database'!$S$2,MATCH($A168,'Mock Database'!$C$3:$C$152,0),0)),"",INDEX('Mock Database'!$S$3:$S$152,MATCH($A168,'Mock Database'!$C$3:$C$152,0))))</f>
        <v/>
      </c>
      <c r="G168" s="22" t="str">
        <f ca="1">IF(ISNA(MATCH($A168,'Mock Database'!$C$3:$C$152,0)),"",IF(ISBLANK(OFFSET('Mock Database'!$T$2,MATCH($A168,'Mock Database'!$C$3:$C$152,0),0)),"",INDEX('Mock Database'!$T$3:$T$152,MATCH($A168,'Mock Database'!$C$3:$C$152,0))))</f>
        <v/>
      </c>
      <c r="H168" s="89" t="str">
        <f ca="1">IF(ISNA(MATCH($A168,'Mock Database'!$C$3:$C$152,0)),"",IF(ISBLANK(OFFSET('Mock Database'!$Y$2,MATCH($A168,'Mock Database'!$C$3:$C$152,0),0)),"",INDEX('Mock Database'!$Y$3:$Y$152,MATCH($A168,'Mock Database'!$C$3:$C$152,0))))</f>
        <v/>
      </c>
      <c r="I168" s="22" t="str">
        <f ca="1">IF(ISNA(MATCH($A168,'Mock Database'!$C$3:$C$152,0)),"",IF(ISBLANK(OFFSET('Mock Database'!$Z$2,MATCH($A168,'Mock Database'!$C$3:$C$152,0),0)),"",INDEX('Mock Database'!$Z$3:$Z$152,MATCH($A168,'Mock Database'!$C$3:$C$152,0))))</f>
        <v/>
      </c>
      <c r="J168" s="89" t="str">
        <f ca="1">IF(ISNA(MATCH($A168,'Mock Database'!$C$3:$C$152,0)),"",IF(ISBLANK(OFFSET('Mock Database'!$AE$2,MATCH($A168,'Mock Database'!$C$3:$C$152,0),0)),"",INDEX('Mock Database'!$AE$3:$AE$152,MATCH($A168,'Mock Database'!$C$3:$C$152,0))))</f>
        <v/>
      </c>
      <c r="K168" s="22" t="str">
        <f ca="1">IF(ISNA(MATCH($A168,'Mock Database'!$C$3:$C$152,0)),"",IF(ISBLANK(OFFSET('Mock Database'!$AF$2,MATCH($A168,'Mock Database'!$C$3:$C$152,0),0)),"",INDEX('Mock Database'!$AF$3:$AF$152,MATCH($A168,'Mock Database'!$C$3:$C$152,0))))</f>
        <v/>
      </c>
      <c r="N168" t="e">
        <f t="shared" si="22"/>
        <v>#N/A</v>
      </c>
      <c r="O168" s="89" t="e">
        <f t="shared" ca="1" si="23"/>
        <v>#N/A</v>
      </c>
      <c r="P168" s="22" t="e">
        <f t="shared" ca="1" si="24"/>
        <v>#N/A</v>
      </c>
      <c r="Q168" s="89" t="e">
        <f t="shared" ca="1" si="25"/>
        <v>#N/A</v>
      </c>
      <c r="R168" s="22" t="e">
        <f t="shared" ca="1" si="26"/>
        <v>#N/A</v>
      </c>
      <c r="S168" s="89" t="e">
        <f t="shared" ca="1" si="27"/>
        <v>#N/A</v>
      </c>
      <c r="T168" s="22" t="e">
        <f t="shared" ca="1" si="28"/>
        <v>#N/A</v>
      </c>
      <c r="U168" s="89" t="e">
        <f t="shared" ca="1" si="29"/>
        <v>#N/A</v>
      </c>
      <c r="V168" s="22" t="e">
        <f t="shared" ca="1" si="30"/>
        <v>#N/A</v>
      </c>
      <c r="AM168" t="e">
        <f t="shared" si="31"/>
        <v>#N/A</v>
      </c>
      <c r="AN168" t="e">
        <f t="shared" ca="1" si="32"/>
        <v>#N/A</v>
      </c>
    </row>
    <row r="169" spans="1:40" x14ac:dyDescent="0.3">
      <c r="A169" s="87">
        <v>168</v>
      </c>
      <c r="B169" t="str">
        <f>IFERROR(INDEX('Mock Database'!$D$3:$D$152,MATCH($A169,'Mock Database'!$C$3:$C$152,0)),"")</f>
        <v/>
      </c>
      <c r="C169" s="88" t="str">
        <f>IFERROR(INDEX('Mock Database'!$I$3:$I$152,MATCH($A169,'Mock Database'!$C$3:$C$152,0)),"")</f>
        <v/>
      </c>
      <c r="D169" s="89" t="str">
        <f ca="1">IF(ISNA(MATCH($A169,'Mock Database'!$C$3:$C$152,0)),"",IF(ISBLANK(OFFSET('Mock Database'!$M$2,MATCH($A169,'Mock Database'!$C$3:$C$152,0),0)),"",INDEX('Mock Database'!$M$3:$M$152,MATCH($A169,'Mock Database'!$C$3:$C$152,0))))</f>
        <v/>
      </c>
      <c r="E169" s="22" t="str">
        <f ca="1">IF(ISNA(MATCH($A169,'Mock Database'!$C$3:$C$152,0)),"",IF(ISBLANK(OFFSET('Mock Database'!$N$2,MATCH($A169,'Mock Database'!$C$3:$C$152,0),0)),"",INDEX('Mock Database'!$N$3:$N$152,MATCH($A169,'Mock Database'!$C$3:$C$152,0))))</f>
        <v/>
      </c>
      <c r="F169" s="89" t="str">
        <f ca="1">IF(ISNA(MATCH($A169,'Mock Database'!$C$3:$C$152,0)),"",IF(ISBLANK(OFFSET('Mock Database'!$S$2,MATCH($A169,'Mock Database'!$C$3:$C$152,0),0)),"",INDEX('Mock Database'!$S$3:$S$152,MATCH($A169,'Mock Database'!$C$3:$C$152,0))))</f>
        <v/>
      </c>
      <c r="G169" s="22" t="str">
        <f ca="1">IF(ISNA(MATCH($A169,'Mock Database'!$C$3:$C$152,0)),"",IF(ISBLANK(OFFSET('Mock Database'!$T$2,MATCH($A169,'Mock Database'!$C$3:$C$152,0),0)),"",INDEX('Mock Database'!$T$3:$T$152,MATCH($A169,'Mock Database'!$C$3:$C$152,0))))</f>
        <v/>
      </c>
      <c r="H169" s="89" t="str">
        <f ca="1">IF(ISNA(MATCH($A169,'Mock Database'!$C$3:$C$152,0)),"",IF(ISBLANK(OFFSET('Mock Database'!$Y$2,MATCH($A169,'Mock Database'!$C$3:$C$152,0),0)),"",INDEX('Mock Database'!$Y$3:$Y$152,MATCH($A169,'Mock Database'!$C$3:$C$152,0))))</f>
        <v/>
      </c>
      <c r="I169" s="22" t="str">
        <f ca="1">IF(ISNA(MATCH($A169,'Mock Database'!$C$3:$C$152,0)),"",IF(ISBLANK(OFFSET('Mock Database'!$Z$2,MATCH($A169,'Mock Database'!$C$3:$C$152,0),0)),"",INDEX('Mock Database'!$Z$3:$Z$152,MATCH($A169,'Mock Database'!$C$3:$C$152,0))))</f>
        <v/>
      </c>
      <c r="J169" s="89" t="str">
        <f ca="1">IF(ISNA(MATCH($A169,'Mock Database'!$C$3:$C$152,0)),"",IF(ISBLANK(OFFSET('Mock Database'!$AE$2,MATCH($A169,'Mock Database'!$C$3:$C$152,0),0)),"",INDEX('Mock Database'!$AE$3:$AE$152,MATCH($A169,'Mock Database'!$C$3:$C$152,0))))</f>
        <v/>
      </c>
      <c r="K169" s="22" t="str">
        <f ca="1">IF(ISNA(MATCH($A169,'Mock Database'!$C$3:$C$152,0)),"",IF(ISBLANK(OFFSET('Mock Database'!$AF$2,MATCH($A169,'Mock Database'!$C$3:$C$152,0),0)),"",INDEX('Mock Database'!$AF$3:$AF$152,MATCH($A169,'Mock Database'!$C$3:$C$152,0))))</f>
        <v/>
      </c>
      <c r="N169" t="e">
        <f t="shared" si="22"/>
        <v>#N/A</v>
      </c>
      <c r="O169" s="89" t="e">
        <f t="shared" ca="1" si="23"/>
        <v>#N/A</v>
      </c>
      <c r="P169" s="22" t="e">
        <f t="shared" ca="1" si="24"/>
        <v>#N/A</v>
      </c>
      <c r="Q169" s="89" t="e">
        <f t="shared" ca="1" si="25"/>
        <v>#N/A</v>
      </c>
      <c r="R169" s="22" t="e">
        <f t="shared" ca="1" si="26"/>
        <v>#N/A</v>
      </c>
      <c r="S169" s="89" t="e">
        <f t="shared" ca="1" si="27"/>
        <v>#N/A</v>
      </c>
      <c r="T169" s="22" t="e">
        <f t="shared" ca="1" si="28"/>
        <v>#N/A</v>
      </c>
      <c r="U169" s="89" t="e">
        <f t="shared" ca="1" si="29"/>
        <v>#N/A</v>
      </c>
      <c r="V169" s="22" t="e">
        <f t="shared" ca="1" si="30"/>
        <v>#N/A</v>
      </c>
      <c r="AM169" t="e">
        <f t="shared" si="31"/>
        <v>#N/A</v>
      </c>
      <c r="AN169" t="e">
        <f t="shared" ca="1" si="32"/>
        <v>#N/A</v>
      </c>
    </row>
    <row r="170" spans="1:40" x14ac:dyDescent="0.3">
      <c r="A170" s="87">
        <v>169</v>
      </c>
      <c r="B170" t="str">
        <f>IFERROR(INDEX('Mock Database'!$D$3:$D$152,MATCH($A170,'Mock Database'!$C$3:$C$152,0)),"")</f>
        <v/>
      </c>
      <c r="C170" s="88" t="str">
        <f>IFERROR(INDEX('Mock Database'!$I$3:$I$152,MATCH($A170,'Mock Database'!$C$3:$C$152,0)),"")</f>
        <v/>
      </c>
      <c r="D170" s="89" t="str">
        <f ca="1">IF(ISNA(MATCH($A170,'Mock Database'!$C$3:$C$152,0)),"",IF(ISBLANK(OFFSET('Mock Database'!$M$2,MATCH($A170,'Mock Database'!$C$3:$C$152,0),0)),"",INDEX('Mock Database'!$M$3:$M$152,MATCH($A170,'Mock Database'!$C$3:$C$152,0))))</f>
        <v/>
      </c>
      <c r="E170" s="22" t="str">
        <f ca="1">IF(ISNA(MATCH($A170,'Mock Database'!$C$3:$C$152,0)),"",IF(ISBLANK(OFFSET('Mock Database'!$N$2,MATCH($A170,'Mock Database'!$C$3:$C$152,0),0)),"",INDEX('Mock Database'!$N$3:$N$152,MATCH($A170,'Mock Database'!$C$3:$C$152,0))))</f>
        <v/>
      </c>
      <c r="F170" s="89" t="str">
        <f ca="1">IF(ISNA(MATCH($A170,'Mock Database'!$C$3:$C$152,0)),"",IF(ISBLANK(OFFSET('Mock Database'!$S$2,MATCH($A170,'Mock Database'!$C$3:$C$152,0),0)),"",INDEX('Mock Database'!$S$3:$S$152,MATCH($A170,'Mock Database'!$C$3:$C$152,0))))</f>
        <v/>
      </c>
      <c r="G170" s="22" t="str">
        <f ca="1">IF(ISNA(MATCH($A170,'Mock Database'!$C$3:$C$152,0)),"",IF(ISBLANK(OFFSET('Mock Database'!$T$2,MATCH($A170,'Mock Database'!$C$3:$C$152,0),0)),"",INDEX('Mock Database'!$T$3:$T$152,MATCH($A170,'Mock Database'!$C$3:$C$152,0))))</f>
        <v/>
      </c>
      <c r="H170" s="89" t="str">
        <f ca="1">IF(ISNA(MATCH($A170,'Mock Database'!$C$3:$C$152,0)),"",IF(ISBLANK(OFFSET('Mock Database'!$Y$2,MATCH($A170,'Mock Database'!$C$3:$C$152,0),0)),"",INDEX('Mock Database'!$Y$3:$Y$152,MATCH($A170,'Mock Database'!$C$3:$C$152,0))))</f>
        <v/>
      </c>
      <c r="I170" s="22" t="str">
        <f ca="1">IF(ISNA(MATCH($A170,'Mock Database'!$C$3:$C$152,0)),"",IF(ISBLANK(OFFSET('Mock Database'!$Z$2,MATCH($A170,'Mock Database'!$C$3:$C$152,0),0)),"",INDEX('Mock Database'!$Z$3:$Z$152,MATCH($A170,'Mock Database'!$C$3:$C$152,0))))</f>
        <v/>
      </c>
      <c r="J170" s="89" t="str">
        <f ca="1">IF(ISNA(MATCH($A170,'Mock Database'!$C$3:$C$152,0)),"",IF(ISBLANK(OFFSET('Mock Database'!$AE$2,MATCH($A170,'Mock Database'!$C$3:$C$152,0),0)),"",INDEX('Mock Database'!$AE$3:$AE$152,MATCH($A170,'Mock Database'!$C$3:$C$152,0))))</f>
        <v/>
      </c>
      <c r="K170" s="22" t="str">
        <f ca="1">IF(ISNA(MATCH($A170,'Mock Database'!$C$3:$C$152,0)),"",IF(ISBLANK(OFFSET('Mock Database'!$AF$2,MATCH($A170,'Mock Database'!$C$3:$C$152,0),0)),"",INDEX('Mock Database'!$AF$3:$AF$152,MATCH($A170,'Mock Database'!$C$3:$C$152,0))))</f>
        <v/>
      </c>
      <c r="N170" t="e">
        <f t="shared" si="22"/>
        <v>#N/A</v>
      </c>
      <c r="O170" s="89" t="e">
        <f t="shared" ca="1" si="23"/>
        <v>#N/A</v>
      </c>
      <c r="P170" s="22" t="e">
        <f t="shared" ca="1" si="24"/>
        <v>#N/A</v>
      </c>
      <c r="Q170" s="89" t="e">
        <f t="shared" ca="1" si="25"/>
        <v>#N/A</v>
      </c>
      <c r="R170" s="22" t="e">
        <f t="shared" ca="1" si="26"/>
        <v>#N/A</v>
      </c>
      <c r="S170" s="89" t="e">
        <f t="shared" ca="1" si="27"/>
        <v>#N/A</v>
      </c>
      <c r="T170" s="22" t="e">
        <f t="shared" ca="1" si="28"/>
        <v>#N/A</v>
      </c>
      <c r="U170" s="89" t="e">
        <f t="shared" ca="1" si="29"/>
        <v>#N/A</v>
      </c>
      <c r="V170" s="22" t="e">
        <f t="shared" ca="1" si="30"/>
        <v>#N/A</v>
      </c>
      <c r="AM170" t="e">
        <f t="shared" si="31"/>
        <v>#N/A</v>
      </c>
      <c r="AN170" t="e">
        <f t="shared" ca="1" si="32"/>
        <v>#N/A</v>
      </c>
    </row>
    <row r="171" spans="1:40" x14ac:dyDescent="0.3">
      <c r="A171" s="87">
        <v>170</v>
      </c>
      <c r="B171" t="str">
        <f>IFERROR(INDEX('Mock Database'!$D$3:$D$152,MATCH($A171,'Mock Database'!$C$3:$C$152,0)),"")</f>
        <v/>
      </c>
      <c r="C171" s="88" t="str">
        <f>IFERROR(INDEX('Mock Database'!$I$3:$I$152,MATCH($A171,'Mock Database'!$C$3:$C$152,0)),"")</f>
        <v/>
      </c>
      <c r="D171" s="89" t="str">
        <f ca="1">IF(ISNA(MATCH($A171,'Mock Database'!$C$3:$C$152,0)),"",IF(ISBLANK(OFFSET('Mock Database'!$M$2,MATCH($A171,'Mock Database'!$C$3:$C$152,0),0)),"",INDEX('Mock Database'!$M$3:$M$152,MATCH($A171,'Mock Database'!$C$3:$C$152,0))))</f>
        <v/>
      </c>
      <c r="E171" s="22" t="str">
        <f ca="1">IF(ISNA(MATCH($A171,'Mock Database'!$C$3:$C$152,0)),"",IF(ISBLANK(OFFSET('Mock Database'!$N$2,MATCH($A171,'Mock Database'!$C$3:$C$152,0),0)),"",INDEX('Mock Database'!$N$3:$N$152,MATCH($A171,'Mock Database'!$C$3:$C$152,0))))</f>
        <v/>
      </c>
      <c r="F171" s="89" t="str">
        <f ca="1">IF(ISNA(MATCH($A171,'Mock Database'!$C$3:$C$152,0)),"",IF(ISBLANK(OFFSET('Mock Database'!$S$2,MATCH($A171,'Mock Database'!$C$3:$C$152,0),0)),"",INDEX('Mock Database'!$S$3:$S$152,MATCH($A171,'Mock Database'!$C$3:$C$152,0))))</f>
        <v/>
      </c>
      <c r="G171" s="22" t="str">
        <f ca="1">IF(ISNA(MATCH($A171,'Mock Database'!$C$3:$C$152,0)),"",IF(ISBLANK(OFFSET('Mock Database'!$T$2,MATCH($A171,'Mock Database'!$C$3:$C$152,0),0)),"",INDEX('Mock Database'!$T$3:$T$152,MATCH($A171,'Mock Database'!$C$3:$C$152,0))))</f>
        <v/>
      </c>
      <c r="H171" s="89" t="str">
        <f ca="1">IF(ISNA(MATCH($A171,'Mock Database'!$C$3:$C$152,0)),"",IF(ISBLANK(OFFSET('Mock Database'!$Y$2,MATCH($A171,'Mock Database'!$C$3:$C$152,0),0)),"",INDEX('Mock Database'!$Y$3:$Y$152,MATCH($A171,'Mock Database'!$C$3:$C$152,0))))</f>
        <v/>
      </c>
      <c r="I171" s="22" t="str">
        <f ca="1">IF(ISNA(MATCH($A171,'Mock Database'!$C$3:$C$152,0)),"",IF(ISBLANK(OFFSET('Mock Database'!$Z$2,MATCH($A171,'Mock Database'!$C$3:$C$152,0),0)),"",INDEX('Mock Database'!$Z$3:$Z$152,MATCH($A171,'Mock Database'!$C$3:$C$152,0))))</f>
        <v/>
      </c>
      <c r="J171" s="89" t="str">
        <f ca="1">IF(ISNA(MATCH($A171,'Mock Database'!$C$3:$C$152,0)),"",IF(ISBLANK(OFFSET('Mock Database'!$AE$2,MATCH($A171,'Mock Database'!$C$3:$C$152,0),0)),"",INDEX('Mock Database'!$AE$3:$AE$152,MATCH($A171,'Mock Database'!$C$3:$C$152,0))))</f>
        <v/>
      </c>
      <c r="K171" s="22" t="str">
        <f ca="1">IF(ISNA(MATCH($A171,'Mock Database'!$C$3:$C$152,0)),"",IF(ISBLANK(OFFSET('Mock Database'!$AF$2,MATCH($A171,'Mock Database'!$C$3:$C$152,0),0)),"",INDEX('Mock Database'!$AF$3:$AF$152,MATCH($A171,'Mock Database'!$C$3:$C$152,0))))</f>
        <v/>
      </c>
      <c r="N171" t="e">
        <f t="shared" si="22"/>
        <v>#N/A</v>
      </c>
      <c r="O171" s="89" t="e">
        <f t="shared" ca="1" si="23"/>
        <v>#N/A</v>
      </c>
      <c r="P171" s="22" t="e">
        <f t="shared" ca="1" si="24"/>
        <v>#N/A</v>
      </c>
      <c r="Q171" s="89" t="e">
        <f t="shared" ca="1" si="25"/>
        <v>#N/A</v>
      </c>
      <c r="R171" s="22" t="e">
        <f t="shared" ca="1" si="26"/>
        <v>#N/A</v>
      </c>
      <c r="S171" s="89" t="e">
        <f t="shared" ca="1" si="27"/>
        <v>#N/A</v>
      </c>
      <c r="T171" s="22" t="e">
        <f t="shared" ca="1" si="28"/>
        <v>#N/A</v>
      </c>
      <c r="U171" s="89" t="e">
        <f t="shared" ca="1" si="29"/>
        <v>#N/A</v>
      </c>
      <c r="V171" s="22" t="e">
        <f t="shared" ca="1" si="30"/>
        <v>#N/A</v>
      </c>
      <c r="AM171" t="e">
        <f t="shared" si="31"/>
        <v>#N/A</v>
      </c>
      <c r="AN171" t="e">
        <f t="shared" ca="1" si="32"/>
        <v>#N/A</v>
      </c>
    </row>
    <row r="172" spans="1:40" x14ac:dyDescent="0.3">
      <c r="A172" s="87">
        <v>171</v>
      </c>
      <c r="B172" t="str">
        <f>IFERROR(INDEX('Mock Database'!$D$3:$D$152,MATCH($A172,'Mock Database'!$C$3:$C$152,0)),"")</f>
        <v/>
      </c>
      <c r="C172" s="88" t="str">
        <f>IFERROR(INDEX('Mock Database'!$I$3:$I$152,MATCH($A172,'Mock Database'!$C$3:$C$152,0)),"")</f>
        <v/>
      </c>
      <c r="D172" s="89" t="str">
        <f ca="1">IF(ISNA(MATCH($A172,'Mock Database'!$C$3:$C$152,0)),"",IF(ISBLANK(OFFSET('Mock Database'!$M$2,MATCH($A172,'Mock Database'!$C$3:$C$152,0),0)),"",INDEX('Mock Database'!$M$3:$M$152,MATCH($A172,'Mock Database'!$C$3:$C$152,0))))</f>
        <v/>
      </c>
      <c r="E172" s="22" t="str">
        <f ca="1">IF(ISNA(MATCH($A172,'Mock Database'!$C$3:$C$152,0)),"",IF(ISBLANK(OFFSET('Mock Database'!$N$2,MATCH($A172,'Mock Database'!$C$3:$C$152,0),0)),"",INDEX('Mock Database'!$N$3:$N$152,MATCH($A172,'Mock Database'!$C$3:$C$152,0))))</f>
        <v/>
      </c>
      <c r="F172" s="89" t="str">
        <f ca="1">IF(ISNA(MATCH($A172,'Mock Database'!$C$3:$C$152,0)),"",IF(ISBLANK(OFFSET('Mock Database'!$S$2,MATCH($A172,'Mock Database'!$C$3:$C$152,0),0)),"",INDEX('Mock Database'!$S$3:$S$152,MATCH($A172,'Mock Database'!$C$3:$C$152,0))))</f>
        <v/>
      </c>
      <c r="G172" s="22" t="str">
        <f ca="1">IF(ISNA(MATCH($A172,'Mock Database'!$C$3:$C$152,0)),"",IF(ISBLANK(OFFSET('Mock Database'!$T$2,MATCH($A172,'Mock Database'!$C$3:$C$152,0),0)),"",INDEX('Mock Database'!$T$3:$T$152,MATCH($A172,'Mock Database'!$C$3:$C$152,0))))</f>
        <v/>
      </c>
      <c r="H172" s="89" t="str">
        <f ca="1">IF(ISNA(MATCH($A172,'Mock Database'!$C$3:$C$152,0)),"",IF(ISBLANK(OFFSET('Mock Database'!$Y$2,MATCH($A172,'Mock Database'!$C$3:$C$152,0),0)),"",INDEX('Mock Database'!$Y$3:$Y$152,MATCH($A172,'Mock Database'!$C$3:$C$152,0))))</f>
        <v/>
      </c>
      <c r="I172" s="22" t="str">
        <f ca="1">IF(ISNA(MATCH($A172,'Mock Database'!$C$3:$C$152,0)),"",IF(ISBLANK(OFFSET('Mock Database'!$Z$2,MATCH($A172,'Mock Database'!$C$3:$C$152,0),0)),"",INDEX('Mock Database'!$Z$3:$Z$152,MATCH($A172,'Mock Database'!$C$3:$C$152,0))))</f>
        <v/>
      </c>
      <c r="J172" s="89" t="str">
        <f ca="1">IF(ISNA(MATCH($A172,'Mock Database'!$C$3:$C$152,0)),"",IF(ISBLANK(OFFSET('Mock Database'!$AE$2,MATCH($A172,'Mock Database'!$C$3:$C$152,0),0)),"",INDEX('Mock Database'!$AE$3:$AE$152,MATCH($A172,'Mock Database'!$C$3:$C$152,0))))</f>
        <v/>
      </c>
      <c r="K172" s="22" t="str">
        <f ca="1">IF(ISNA(MATCH($A172,'Mock Database'!$C$3:$C$152,0)),"",IF(ISBLANK(OFFSET('Mock Database'!$AF$2,MATCH($A172,'Mock Database'!$C$3:$C$152,0),0)),"",INDEX('Mock Database'!$AF$3:$AF$152,MATCH($A172,'Mock Database'!$C$3:$C$152,0))))</f>
        <v/>
      </c>
      <c r="N172" t="e">
        <f t="shared" si="22"/>
        <v>#N/A</v>
      </c>
      <c r="O172" s="89" t="e">
        <f t="shared" ca="1" si="23"/>
        <v>#N/A</v>
      </c>
      <c r="P172" s="22" t="e">
        <f t="shared" ca="1" si="24"/>
        <v>#N/A</v>
      </c>
      <c r="Q172" s="89" t="e">
        <f t="shared" ca="1" si="25"/>
        <v>#N/A</v>
      </c>
      <c r="R172" s="22" t="e">
        <f t="shared" ca="1" si="26"/>
        <v>#N/A</v>
      </c>
      <c r="S172" s="89" t="e">
        <f t="shared" ca="1" si="27"/>
        <v>#N/A</v>
      </c>
      <c r="T172" s="22" t="e">
        <f t="shared" ca="1" si="28"/>
        <v>#N/A</v>
      </c>
      <c r="U172" s="89" t="e">
        <f t="shared" ca="1" si="29"/>
        <v>#N/A</v>
      </c>
      <c r="V172" s="22" t="e">
        <f t="shared" ca="1" si="30"/>
        <v>#N/A</v>
      </c>
      <c r="AM172" t="e">
        <f t="shared" si="31"/>
        <v>#N/A</v>
      </c>
      <c r="AN172" t="e">
        <f t="shared" ca="1" si="32"/>
        <v>#N/A</v>
      </c>
    </row>
    <row r="173" spans="1:40" x14ac:dyDescent="0.3">
      <c r="A173" s="87">
        <v>172</v>
      </c>
      <c r="B173" t="str">
        <f>IFERROR(INDEX('Mock Database'!$D$3:$D$152,MATCH($A173,'Mock Database'!$C$3:$C$152,0)),"")</f>
        <v/>
      </c>
      <c r="C173" s="88" t="str">
        <f>IFERROR(INDEX('Mock Database'!$I$3:$I$152,MATCH($A173,'Mock Database'!$C$3:$C$152,0)),"")</f>
        <v/>
      </c>
      <c r="D173" s="89" t="str">
        <f ca="1">IF(ISNA(MATCH($A173,'Mock Database'!$C$3:$C$152,0)),"",IF(ISBLANK(OFFSET('Mock Database'!$M$2,MATCH($A173,'Mock Database'!$C$3:$C$152,0),0)),"",INDEX('Mock Database'!$M$3:$M$152,MATCH($A173,'Mock Database'!$C$3:$C$152,0))))</f>
        <v/>
      </c>
      <c r="E173" s="22" t="str">
        <f ca="1">IF(ISNA(MATCH($A173,'Mock Database'!$C$3:$C$152,0)),"",IF(ISBLANK(OFFSET('Mock Database'!$N$2,MATCH($A173,'Mock Database'!$C$3:$C$152,0),0)),"",INDEX('Mock Database'!$N$3:$N$152,MATCH($A173,'Mock Database'!$C$3:$C$152,0))))</f>
        <v/>
      </c>
      <c r="F173" s="89" t="str">
        <f ca="1">IF(ISNA(MATCH($A173,'Mock Database'!$C$3:$C$152,0)),"",IF(ISBLANK(OFFSET('Mock Database'!$S$2,MATCH($A173,'Mock Database'!$C$3:$C$152,0),0)),"",INDEX('Mock Database'!$S$3:$S$152,MATCH($A173,'Mock Database'!$C$3:$C$152,0))))</f>
        <v/>
      </c>
      <c r="G173" s="22" t="str">
        <f ca="1">IF(ISNA(MATCH($A173,'Mock Database'!$C$3:$C$152,0)),"",IF(ISBLANK(OFFSET('Mock Database'!$T$2,MATCH($A173,'Mock Database'!$C$3:$C$152,0),0)),"",INDEX('Mock Database'!$T$3:$T$152,MATCH($A173,'Mock Database'!$C$3:$C$152,0))))</f>
        <v/>
      </c>
      <c r="H173" s="89" t="str">
        <f ca="1">IF(ISNA(MATCH($A173,'Mock Database'!$C$3:$C$152,0)),"",IF(ISBLANK(OFFSET('Mock Database'!$Y$2,MATCH($A173,'Mock Database'!$C$3:$C$152,0),0)),"",INDEX('Mock Database'!$Y$3:$Y$152,MATCH($A173,'Mock Database'!$C$3:$C$152,0))))</f>
        <v/>
      </c>
      <c r="I173" s="22" t="str">
        <f ca="1">IF(ISNA(MATCH($A173,'Mock Database'!$C$3:$C$152,0)),"",IF(ISBLANK(OFFSET('Mock Database'!$Z$2,MATCH($A173,'Mock Database'!$C$3:$C$152,0),0)),"",INDEX('Mock Database'!$Z$3:$Z$152,MATCH($A173,'Mock Database'!$C$3:$C$152,0))))</f>
        <v/>
      </c>
      <c r="J173" s="89" t="str">
        <f ca="1">IF(ISNA(MATCH($A173,'Mock Database'!$C$3:$C$152,0)),"",IF(ISBLANK(OFFSET('Mock Database'!$AE$2,MATCH($A173,'Mock Database'!$C$3:$C$152,0),0)),"",INDEX('Mock Database'!$AE$3:$AE$152,MATCH($A173,'Mock Database'!$C$3:$C$152,0))))</f>
        <v/>
      </c>
      <c r="K173" s="22" t="str">
        <f ca="1">IF(ISNA(MATCH($A173,'Mock Database'!$C$3:$C$152,0)),"",IF(ISBLANK(OFFSET('Mock Database'!$AF$2,MATCH($A173,'Mock Database'!$C$3:$C$152,0),0)),"",INDEX('Mock Database'!$AF$3:$AF$152,MATCH($A173,'Mock Database'!$C$3:$C$152,0))))</f>
        <v/>
      </c>
      <c r="N173" t="e">
        <f t="shared" si="22"/>
        <v>#N/A</v>
      </c>
      <c r="O173" s="89" t="e">
        <f t="shared" ca="1" si="23"/>
        <v>#N/A</v>
      </c>
      <c r="P173" s="22" t="e">
        <f t="shared" ca="1" si="24"/>
        <v>#N/A</v>
      </c>
      <c r="Q173" s="89" t="e">
        <f t="shared" ca="1" si="25"/>
        <v>#N/A</v>
      </c>
      <c r="R173" s="22" t="e">
        <f t="shared" ca="1" si="26"/>
        <v>#N/A</v>
      </c>
      <c r="S173" s="89" t="e">
        <f t="shared" ca="1" si="27"/>
        <v>#N/A</v>
      </c>
      <c r="T173" s="22" t="e">
        <f t="shared" ca="1" si="28"/>
        <v>#N/A</v>
      </c>
      <c r="U173" s="89" t="e">
        <f t="shared" ca="1" si="29"/>
        <v>#N/A</v>
      </c>
      <c r="V173" s="22" t="e">
        <f t="shared" ca="1" si="30"/>
        <v>#N/A</v>
      </c>
      <c r="AM173" t="e">
        <f t="shared" si="31"/>
        <v>#N/A</v>
      </c>
      <c r="AN173" t="e">
        <f t="shared" ca="1" si="32"/>
        <v>#N/A</v>
      </c>
    </row>
    <row r="174" spans="1:40" x14ac:dyDescent="0.3">
      <c r="A174" s="87">
        <v>173</v>
      </c>
      <c r="B174" t="str">
        <f>IFERROR(INDEX('Mock Database'!$D$3:$D$152,MATCH($A174,'Mock Database'!$C$3:$C$152,0)),"")</f>
        <v/>
      </c>
      <c r="C174" s="88" t="str">
        <f>IFERROR(INDEX('Mock Database'!$I$3:$I$152,MATCH($A174,'Mock Database'!$C$3:$C$152,0)),"")</f>
        <v/>
      </c>
      <c r="D174" s="89" t="str">
        <f ca="1">IF(ISNA(MATCH($A174,'Mock Database'!$C$3:$C$152,0)),"",IF(ISBLANK(OFFSET('Mock Database'!$M$2,MATCH($A174,'Mock Database'!$C$3:$C$152,0),0)),"",INDEX('Mock Database'!$M$3:$M$152,MATCH($A174,'Mock Database'!$C$3:$C$152,0))))</f>
        <v/>
      </c>
      <c r="E174" s="22" t="str">
        <f ca="1">IF(ISNA(MATCH($A174,'Mock Database'!$C$3:$C$152,0)),"",IF(ISBLANK(OFFSET('Mock Database'!$N$2,MATCH($A174,'Mock Database'!$C$3:$C$152,0),0)),"",INDEX('Mock Database'!$N$3:$N$152,MATCH($A174,'Mock Database'!$C$3:$C$152,0))))</f>
        <v/>
      </c>
      <c r="F174" s="89" t="str">
        <f ca="1">IF(ISNA(MATCH($A174,'Mock Database'!$C$3:$C$152,0)),"",IF(ISBLANK(OFFSET('Mock Database'!$S$2,MATCH($A174,'Mock Database'!$C$3:$C$152,0),0)),"",INDEX('Mock Database'!$S$3:$S$152,MATCH($A174,'Mock Database'!$C$3:$C$152,0))))</f>
        <v/>
      </c>
      <c r="G174" s="22" t="str">
        <f ca="1">IF(ISNA(MATCH($A174,'Mock Database'!$C$3:$C$152,0)),"",IF(ISBLANK(OFFSET('Mock Database'!$T$2,MATCH($A174,'Mock Database'!$C$3:$C$152,0),0)),"",INDEX('Mock Database'!$T$3:$T$152,MATCH($A174,'Mock Database'!$C$3:$C$152,0))))</f>
        <v/>
      </c>
      <c r="H174" s="89" t="str">
        <f ca="1">IF(ISNA(MATCH($A174,'Mock Database'!$C$3:$C$152,0)),"",IF(ISBLANK(OFFSET('Mock Database'!$Y$2,MATCH($A174,'Mock Database'!$C$3:$C$152,0),0)),"",INDEX('Mock Database'!$Y$3:$Y$152,MATCH($A174,'Mock Database'!$C$3:$C$152,0))))</f>
        <v/>
      </c>
      <c r="I174" s="22" t="str">
        <f ca="1">IF(ISNA(MATCH($A174,'Mock Database'!$C$3:$C$152,0)),"",IF(ISBLANK(OFFSET('Mock Database'!$Z$2,MATCH($A174,'Mock Database'!$C$3:$C$152,0),0)),"",INDEX('Mock Database'!$Z$3:$Z$152,MATCH($A174,'Mock Database'!$C$3:$C$152,0))))</f>
        <v/>
      </c>
      <c r="J174" s="89" t="str">
        <f ca="1">IF(ISNA(MATCH($A174,'Mock Database'!$C$3:$C$152,0)),"",IF(ISBLANK(OFFSET('Mock Database'!$AE$2,MATCH($A174,'Mock Database'!$C$3:$C$152,0),0)),"",INDEX('Mock Database'!$AE$3:$AE$152,MATCH($A174,'Mock Database'!$C$3:$C$152,0))))</f>
        <v/>
      </c>
      <c r="K174" s="22" t="str">
        <f ca="1">IF(ISNA(MATCH($A174,'Mock Database'!$C$3:$C$152,0)),"",IF(ISBLANK(OFFSET('Mock Database'!$AF$2,MATCH($A174,'Mock Database'!$C$3:$C$152,0),0)),"",INDEX('Mock Database'!$AF$3:$AF$152,MATCH($A174,'Mock Database'!$C$3:$C$152,0))))</f>
        <v/>
      </c>
      <c r="N174" t="e">
        <f t="shared" si="22"/>
        <v>#N/A</v>
      </c>
      <c r="O174" s="89" t="e">
        <f t="shared" ca="1" si="23"/>
        <v>#N/A</v>
      </c>
      <c r="P174" s="22" t="e">
        <f t="shared" ca="1" si="24"/>
        <v>#N/A</v>
      </c>
      <c r="Q174" s="89" t="e">
        <f t="shared" ca="1" si="25"/>
        <v>#N/A</v>
      </c>
      <c r="R174" s="22" t="e">
        <f t="shared" ca="1" si="26"/>
        <v>#N/A</v>
      </c>
      <c r="S174" s="89" t="e">
        <f t="shared" ca="1" si="27"/>
        <v>#N/A</v>
      </c>
      <c r="T174" s="22" t="e">
        <f t="shared" ca="1" si="28"/>
        <v>#N/A</v>
      </c>
      <c r="U174" s="89" t="e">
        <f t="shared" ca="1" si="29"/>
        <v>#N/A</v>
      </c>
      <c r="V174" s="22" t="e">
        <f t="shared" ca="1" si="30"/>
        <v>#N/A</v>
      </c>
      <c r="AM174" t="e">
        <f t="shared" si="31"/>
        <v>#N/A</v>
      </c>
      <c r="AN174" t="e">
        <f t="shared" ca="1" si="32"/>
        <v>#N/A</v>
      </c>
    </row>
    <row r="175" spans="1:40" x14ac:dyDescent="0.3">
      <c r="A175" s="87">
        <v>174</v>
      </c>
      <c r="B175" t="str">
        <f>IFERROR(INDEX('Mock Database'!$D$3:$D$152,MATCH($A175,'Mock Database'!$C$3:$C$152,0)),"")</f>
        <v/>
      </c>
      <c r="C175" s="88" t="str">
        <f>IFERROR(INDEX('Mock Database'!$I$3:$I$152,MATCH($A175,'Mock Database'!$C$3:$C$152,0)),"")</f>
        <v/>
      </c>
      <c r="D175" s="89" t="str">
        <f ca="1">IF(ISNA(MATCH($A175,'Mock Database'!$C$3:$C$152,0)),"",IF(ISBLANK(OFFSET('Mock Database'!$M$2,MATCH($A175,'Mock Database'!$C$3:$C$152,0),0)),"",INDEX('Mock Database'!$M$3:$M$152,MATCH($A175,'Mock Database'!$C$3:$C$152,0))))</f>
        <v/>
      </c>
      <c r="E175" s="22" t="str">
        <f ca="1">IF(ISNA(MATCH($A175,'Mock Database'!$C$3:$C$152,0)),"",IF(ISBLANK(OFFSET('Mock Database'!$N$2,MATCH($A175,'Mock Database'!$C$3:$C$152,0),0)),"",INDEX('Mock Database'!$N$3:$N$152,MATCH($A175,'Mock Database'!$C$3:$C$152,0))))</f>
        <v/>
      </c>
      <c r="F175" s="89" t="str">
        <f ca="1">IF(ISNA(MATCH($A175,'Mock Database'!$C$3:$C$152,0)),"",IF(ISBLANK(OFFSET('Mock Database'!$S$2,MATCH($A175,'Mock Database'!$C$3:$C$152,0),0)),"",INDEX('Mock Database'!$S$3:$S$152,MATCH($A175,'Mock Database'!$C$3:$C$152,0))))</f>
        <v/>
      </c>
      <c r="G175" s="22" t="str">
        <f ca="1">IF(ISNA(MATCH($A175,'Mock Database'!$C$3:$C$152,0)),"",IF(ISBLANK(OFFSET('Mock Database'!$T$2,MATCH($A175,'Mock Database'!$C$3:$C$152,0),0)),"",INDEX('Mock Database'!$T$3:$T$152,MATCH($A175,'Mock Database'!$C$3:$C$152,0))))</f>
        <v/>
      </c>
      <c r="H175" s="89" t="str">
        <f ca="1">IF(ISNA(MATCH($A175,'Mock Database'!$C$3:$C$152,0)),"",IF(ISBLANK(OFFSET('Mock Database'!$Y$2,MATCH($A175,'Mock Database'!$C$3:$C$152,0),0)),"",INDEX('Mock Database'!$Y$3:$Y$152,MATCH($A175,'Mock Database'!$C$3:$C$152,0))))</f>
        <v/>
      </c>
      <c r="I175" s="22" t="str">
        <f ca="1">IF(ISNA(MATCH($A175,'Mock Database'!$C$3:$C$152,0)),"",IF(ISBLANK(OFFSET('Mock Database'!$Z$2,MATCH($A175,'Mock Database'!$C$3:$C$152,0),0)),"",INDEX('Mock Database'!$Z$3:$Z$152,MATCH($A175,'Mock Database'!$C$3:$C$152,0))))</f>
        <v/>
      </c>
      <c r="J175" s="89" t="str">
        <f ca="1">IF(ISNA(MATCH($A175,'Mock Database'!$C$3:$C$152,0)),"",IF(ISBLANK(OFFSET('Mock Database'!$AE$2,MATCH($A175,'Mock Database'!$C$3:$C$152,0),0)),"",INDEX('Mock Database'!$AE$3:$AE$152,MATCH($A175,'Mock Database'!$C$3:$C$152,0))))</f>
        <v/>
      </c>
      <c r="K175" s="22" t="str">
        <f ca="1">IF(ISNA(MATCH($A175,'Mock Database'!$C$3:$C$152,0)),"",IF(ISBLANK(OFFSET('Mock Database'!$AF$2,MATCH($A175,'Mock Database'!$C$3:$C$152,0),0)),"",INDEX('Mock Database'!$AF$3:$AF$152,MATCH($A175,'Mock Database'!$C$3:$C$152,0))))</f>
        <v/>
      </c>
      <c r="N175" t="e">
        <f t="shared" si="22"/>
        <v>#N/A</v>
      </c>
      <c r="O175" s="89" t="e">
        <f t="shared" ca="1" si="23"/>
        <v>#N/A</v>
      </c>
      <c r="P175" s="22" t="e">
        <f t="shared" ca="1" si="24"/>
        <v>#N/A</v>
      </c>
      <c r="Q175" s="89" t="e">
        <f t="shared" ca="1" si="25"/>
        <v>#N/A</v>
      </c>
      <c r="R175" s="22" t="e">
        <f t="shared" ca="1" si="26"/>
        <v>#N/A</v>
      </c>
      <c r="S175" s="89" t="e">
        <f t="shared" ca="1" si="27"/>
        <v>#N/A</v>
      </c>
      <c r="T175" s="22" t="e">
        <f t="shared" ca="1" si="28"/>
        <v>#N/A</v>
      </c>
      <c r="U175" s="89" t="e">
        <f t="shared" ca="1" si="29"/>
        <v>#N/A</v>
      </c>
      <c r="V175" s="22" t="e">
        <f t="shared" ca="1" si="30"/>
        <v>#N/A</v>
      </c>
      <c r="AM175" t="e">
        <f t="shared" si="31"/>
        <v>#N/A</v>
      </c>
      <c r="AN175" t="e">
        <f t="shared" ca="1" si="32"/>
        <v>#N/A</v>
      </c>
    </row>
    <row r="176" spans="1:40" x14ac:dyDescent="0.3">
      <c r="A176" s="87">
        <v>175</v>
      </c>
      <c r="B176" t="str">
        <f>IFERROR(INDEX('Mock Database'!$D$3:$D$152,MATCH($A176,'Mock Database'!$C$3:$C$152,0)),"")</f>
        <v/>
      </c>
      <c r="C176" s="88" t="str">
        <f>IFERROR(INDEX('Mock Database'!$I$3:$I$152,MATCH($A176,'Mock Database'!$C$3:$C$152,0)),"")</f>
        <v/>
      </c>
      <c r="D176" s="89" t="str">
        <f ca="1">IF(ISNA(MATCH($A176,'Mock Database'!$C$3:$C$152,0)),"",IF(ISBLANK(OFFSET('Mock Database'!$M$2,MATCH($A176,'Mock Database'!$C$3:$C$152,0),0)),"",INDEX('Mock Database'!$M$3:$M$152,MATCH($A176,'Mock Database'!$C$3:$C$152,0))))</f>
        <v/>
      </c>
      <c r="E176" s="22" t="str">
        <f ca="1">IF(ISNA(MATCH($A176,'Mock Database'!$C$3:$C$152,0)),"",IF(ISBLANK(OFFSET('Mock Database'!$N$2,MATCH($A176,'Mock Database'!$C$3:$C$152,0),0)),"",INDEX('Mock Database'!$N$3:$N$152,MATCH($A176,'Mock Database'!$C$3:$C$152,0))))</f>
        <v/>
      </c>
      <c r="F176" s="89" t="str">
        <f ca="1">IF(ISNA(MATCH($A176,'Mock Database'!$C$3:$C$152,0)),"",IF(ISBLANK(OFFSET('Mock Database'!$S$2,MATCH($A176,'Mock Database'!$C$3:$C$152,0),0)),"",INDEX('Mock Database'!$S$3:$S$152,MATCH($A176,'Mock Database'!$C$3:$C$152,0))))</f>
        <v/>
      </c>
      <c r="G176" s="22" t="str">
        <f ca="1">IF(ISNA(MATCH($A176,'Mock Database'!$C$3:$C$152,0)),"",IF(ISBLANK(OFFSET('Mock Database'!$T$2,MATCH($A176,'Mock Database'!$C$3:$C$152,0),0)),"",INDEX('Mock Database'!$T$3:$T$152,MATCH($A176,'Mock Database'!$C$3:$C$152,0))))</f>
        <v/>
      </c>
      <c r="H176" s="89" t="str">
        <f ca="1">IF(ISNA(MATCH($A176,'Mock Database'!$C$3:$C$152,0)),"",IF(ISBLANK(OFFSET('Mock Database'!$Y$2,MATCH($A176,'Mock Database'!$C$3:$C$152,0),0)),"",INDEX('Mock Database'!$Y$3:$Y$152,MATCH($A176,'Mock Database'!$C$3:$C$152,0))))</f>
        <v/>
      </c>
      <c r="I176" s="22" t="str">
        <f ca="1">IF(ISNA(MATCH($A176,'Mock Database'!$C$3:$C$152,0)),"",IF(ISBLANK(OFFSET('Mock Database'!$Z$2,MATCH($A176,'Mock Database'!$C$3:$C$152,0),0)),"",INDEX('Mock Database'!$Z$3:$Z$152,MATCH($A176,'Mock Database'!$C$3:$C$152,0))))</f>
        <v/>
      </c>
      <c r="J176" s="89" t="str">
        <f ca="1">IF(ISNA(MATCH($A176,'Mock Database'!$C$3:$C$152,0)),"",IF(ISBLANK(OFFSET('Mock Database'!$AE$2,MATCH($A176,'Mock Database'!$C$3:$C$152,0),0)),"",INDEX('Mock Database'!$AE$3:$AE$152,MATCH($A176,'Mock Database'!$C$3:$C$152,0))))</f>
        <v/>
      </c>
      <c r="K176" s="22" t="str">
        <f ca="1">IF(ISNA(MATCH($A176,'Mock Database'!$C$3:$C$152,0)),"",IF(ISBLANK(OFFSET('Mock Database'!$AF$2,MATCH($A176,'Mock Database'!$C$3:$C$152,0),0)),"",INDEX('Mock Database'!$AF$3:$AF$152,MATCH($A176,'Mock Database'!$C$3:$C$152,0))))</f>
        <v/>
      </c>
      <c r="N176" t="e">
        <f t="shared" si="22"/>
        <v>#N/A</v>
      </c>
      <c r="O176" s="89" t="e">
        <f t="shared" ca="1" si="23"/>
        <v>#N/A</v>
      </c>
      <c r="P176" s="22" t="e">
        <f t="shared" ca="1" si="24"/>
        <v>#N/A</v>
      </c>
      <c r="Q176" s="89" t="e">
        <f t="shared" ca="1" si="25"/>
        <v>#N/A</v>
      </c>
      <c r="R176" s="22" t="e">
        <f t="shared" ca="1" si="26"/>
        <v>#N/A</v>
      </c>
      <c r="S176" s="89" t="e">
        <f t="shared" ca="1" si="27"/>
        <v>#N/A</v>
      </c>
      <c r="T176" s="22" t="e">
        <f t="shared" ca="1" si="28"/>
        <v>#N/A</v>
      </c>
      <c r="U176" s="89" t="e">
        <f t="shared" ca="1" si="29"/>
        <v>#N/A</v>
      </c>
      <c r="V176" s="22" t="e">
        <f t="shared" ca="1" si="30"/>
        <v>#N/A</v>
      </c>
      <c r="AM176" t="e">
        <f t="shared" si="31"/>
        <v>#N/A</v>
      </c>
      <c r="AN176" t="e">
        <f t="shared" ca="1" si="32"/>
        <v>#N/A</v>
      </c>
    </row>
    <row r="177" spans="1:40" x14ac:dyDescent="0.3">
      <c r="A177" s="87">
        <v>176</v>
      </c>
      <c r="B177" t="str">
        <f>IFERROR(INDEX('Mock Database'!$D$3:$D$152,MATCH($A177,'Mock Database'!$C$3:$C$152,0)),"")</f>
        <v/>
      </c>
      <c r="C177" s="88" t="str">
        <f>IFERROR(INDEX('Mock Database'!$I$3:$I$152,MATCH($A177,'Mock Database'!$C$3:$C$152,0)),"")</f>
        <v/>
      </c>
      <c r="D177" s="89" t="str">
        <f ca="1">IF(ISNA(MATCH($A177,'Mock Database'!$C$3:$C$152,0)),"",IF(ISBLANK(OFFSET('Mock Database'!$M$2,MATCH($A177,'Mock Database'!$C$3:$C$152,0),0)),"",INDEX('Mock Database'!$M$3:$M$152,MATCH($A177,'Mock Database'!$C$3:$C$152,0))))</f>
        <v/>
      </c>
      <c r="E177" s="22" t="str">
        <f ca="1">IF(ISNA(MATCH($A177,'Mock Database'!$C$3:$C$152,0)),"",IF(ISBLANK(OFFSET('Mock Database'!$N$2,MATCH($A177,'Mock Database'!$C$3:$C$152,0),0)),"",INDEX('Mock Database'!$N$3:$N$152,MATCH($A177,'Mock Database'!$C$3:$C$152,0))))</f>
        <v/>
      </c>
      <c r="F177" s="89" t="str">
        <f ca="1">IF(ISNA(MATCH($A177,'Mock Database'!$C$3:$C$152,0)),"",IF(ISBLANK(OFFSET('Mock Database'!$S$2,MATCH($A177,'Mock Database'!$C$3:$C$152,0),0)),"",INDEX('Mock Database'!$S$3:$S$152,MATCH($A177,'Mock Database'!$C$3:$C$152,0))))</f>
        <v/>
      </c>
      <c r="G177" s="22" t="str">
        <f ca="1">IF(ISNA(MATCH($A177,'Mock Database'!$C$3:$C$152,0)),"",IF(ISBLANK(OFFSET('Mock Database'!$T$2,MATCH($A177,'Mock Database'!$C$3:$C$152,0),0)),"",INDEX('Mock Database'!$T$3:$T$152,MATCH($A177,'Mock Database'!$C$3:$C$152,0))))</f>
        <v/>
      </c>
      <c r="H177" s="89" t="str">
        <f ca="1">IF(ISNA(MATCH($A177,'Mock Database'!$C$3:$C$152,0)),"",IF(ISBLANK(OFFSET('Mock Database'!$Y$2,MATCH($A177,'Mock Database'!$C$3:$C$152,0),0)),"",INDEX('Mock Database'!$Y$3:$Y$152,MATCH($A177,'Mock Database'!$C$3:$C$152,0))))</f>
        <v/>
      </c>
      <c r="I177" s="22" t="str">
        <f ca="1">IF(ISNA(MATCH($A177,'Mock Database'!$C$3:$C$152,0)),"",IF(ISBLANK(OFFSET('Mock Database'!$Z$2,MATCH($A177,'Mock Database'!$C$3:$C$152,0),0)),"",INDEX('Mock Database'!$Z$3:$Z$152,MATCH($A177,'Mock Database'!$C$3:$C$152,0))))</f>
        <v/>
      </c>
      <c r="J177" s="89" t="str">
        <f ca="1">IF(ISNA(MATCH($A177,'Mock Database'!$C$3:$C$152,0)),"",IF(ISBLANK(OFFSET('Mock Database'!$AE$2,MATCH($A177,'Mock Database'!$C$3:$C$152,0),0)),"",INDEX('Mock Database'!$AE$3:$AE$152,MATCH($A177,'Mock Database'!$C$3:$C$152,0))))</f>
        <v/>
      </c>
      <c r="K177" s="22" t="str">
        <f ca="1">IF(ISNA(MATCH($A177,'Mock Database'!$C$3:$C$152,0)),"",IF(ISBLANK(OFFSET('Mock Database'!$AF$2,MATCH($A177,'Mock Database'!$C$3:$C$152,0),0)),"",INDEX('Mock Database'!$AF$3:$AF$152,MATCH($A177,'Mock Database'!$C$3:$C$152,0))))</f>
        <v/>
      </c>
      <c r="N177" t="e">
        <f t="shared" si="22"/>
        <v>#N/A</v>
      </c>
      <c r="O177" s="89" t="e">
        <f t="shared" ca="1" si="23"/>
        <v>#N/A</v>
      </c>
      <c r="P177" s="22" t="e">
        <f t="shared" ca="1" si="24"/>
        <v>#N/A</v>
      </c>
      <c r="Q177" s="89" t="e">
        <f t="shared" ca="1" si="25"/>
        <v>#N/A</v>
      </c>
      <c r="R177" s="22" t="e">
        <f t="shared" ca="1" si="26"/>
        <v>#N/A</v>
      </c>
      <c r="S177" s="89" t="e">
        <f t="shared" ca="1" si="27"/>
        <v>#N/A</v>
      </c>
      <c r="T177" s="22" t="e">
        <f t="shared" ca="1" si="28"/>
        <v>#N/A</v>
      </c>
      <c r="U177" s="89" t="e">
        <f t="shared" ca="1" si="29"/>
        <v>#N/A</v>
      </c>
      <c r="V177" s="22" t="e">
        <f t="shared" ca="1" si="30"/>
        <v>#N/A</v>
      </c>
      <c r="AM177" t="e">
        <f t="shared" si="31"/>
        <v>#N/A</v>
      </c>
      <c r="AN177" t="e">
        <f t="shared" ca="1" si="32"/>
        <v>#N/A</v>
      </c>
    </row>
    <row r="178" spans="1:40" x14ac:dyDescent="0.3">
      <c r="A178" s="87">
        <v>177</v>
      </c>
      <c r="B178" t="str">
        <f>IFERROR(INDEX('Mock Database'!$D$3:$D$152,MATCH($A178,'Mock Database'!$C$3:$C$152,0)),"")</f>
        <v/>
      </c>
      <c r="C178" s="88" t="str">
        <f>IFERROR(INDEX('Mock Database'!$I$3:$I$152,MATCH($A178,'Mock Database'!$C$3:$C$152,0)),"")</f>
        <v/>
      </c>
      <c r="D178" s="89" t="str">
        <f ca="1">IF(ISNA(MATCH($A178,'Mock Database'!$C$3:$C$152,0)),"",IF(ISBLANK(OFFSET('Mock Database'!$M$2,MATCH($A178,'Mock Database'!$C$3:$C$152,0),0)),"",INDEX('Mock Database'!$M$3:$M$152,MATCH($A178,'Mock Database'!$C$3:$C$152,0))))</f>
        <v/>
      </c>
      <c r="E178" s="22" t="str">
        <f ca="1">IF(ISNA(MATCH($A178,'Mock Database'!$C$3:$C$152,0)),"",IF(ISBLANK(OFFSET('Mock Database'!$N$2,MATCH($A178,'Mock Database'!$C$3:$C$152,0),0)),"",INDEX('Mock Database'!$N$3:$N$152,MATCH($A178,'Mock Database'!$C$3:$C$152,0))))</f>
        <v/>
      </c>
      <c r="F178" s="89" t="str">
        <f ca="1">IF(ISNA(MATCH($A178,'Mock Database'!$C$3:$C$152,0)),"",IF(ISBLANK(OFFSET('Mock Database'!$S$2,MATCH($A178,'Mock Database'!$C$3:$C$152,0),0)),"",INDEX('Mock Database'!$S$3:$S$152,MATCH($A178,'Mock Database'!$C$3:$C$152,0))))</f>
        <v/>
      </c>
      <c r="G178" s="22" t="str">
        <f ca="1">IF(ISNA(MATCH($A178,'Mock Database'!$C$3:$C$152,0)),"",IF(ISBLANK(OFFSET('Mock Database'!$T$2,MATCH($A178,'Mock Database'!$C$3:$C$152,0),0)),"",INDEX('Mock Database'!$T$3:$T$152,MATCH($A178,'Mock Database'!$C$3:$C$152,0))))</f>
        <v/>
      </c>
      <c r="H178" s="89" t="str">
        <f ca="1">IF(ISNA(MATCH($A178,'Mock Database'!$C$3:$C$152,0)),"",IF(ISBLANK(OFFSET('Mock Database'!$Y$2,MATCH($A178,'Mock Database'!$C$3:$C$152,0),0)),"",INDEX('Mock Database'!$Y$3:$Y$152,MATCH($A178,'Mock Database'!$C$3:$C$152,0))))</f>
        <v/>
      </c>
      <c r="I178" s="22" t="str">
        <f ca="1">IF(ISNA(MATCH($A178,'Mock Database'!$C$3:$C$152,0)),"",IF(ISBLANK(OFFSET('Mock Database'!$Z$2,MATCH($A178,'Mock Database'!$C$3:$C$152,0),0)),"",INDEX('Mock Database'!$Z$3:$Z$152,MATCH($A178,'Mock Database'!$C$3:$C$152,0))))</f>
        <v/>
      </c>
      <c r="J178" s="89" t="str">
        <f ca="1">IF(ISNA(MATCH($A178,'Mock Database'!$C$3:$C$152,0)),"",IF(ISBLANK(OFFSET('Mock Database'!$AE$2,MATCH($A178,'Mock Database'!$C$3:$C$152,0),0)),"",INDEX('Mock Database'!$AE$3:$AE$152,MATCH($A178,'Mock Database'!$C$3:$C$152,0))))</f>
        <v/>
      </c>
      <c r="K178" s="22" t="str">
        <f ca="1">IF(ISNA(MATCH($A178,'Mock Database'!$C$3:$C$152,0)),"",IF(ISBLANK(OFFSET('Mock Database'!$AF$2,MATCH($A178,'Mock Database'!$C$3:$C$152,0),0)),"",INDEX('Mock Database'!$AF$3:$AF$152,MATCH($A178,'Mock Database'!$C$3:$C$152,0))))</f>
        <v/>
      </c>
      <c r="N178" t="e">
        <f t="shared" si="22"/>
        <v>#N/A</v>
      </c>
      <c r="O178" s="89" t="e">
        <f t="shared" ca="1" si="23"/>
        <v>#N/A</v>
      </c>
      <c r="P178" s="22" t="e">
        <f t="shared" ca="1" si="24"/>
        <v>#N/A</v>
      </c>
      <c r="Q178" s="89" t="e">
        <f t="shared" ca="1" si="25"/>
        <v>#N/A</v>
      </c>
      <c r="R178" s="22" t="e">
        <f t="shared" ca="1" si="26"/>
        <v>#N/A</v>
      </c>
      <c r="S178" s="89" t="e">
        <f t="shared" ca="1" si="27"/>
        <v>#N/A</v>
      </c>
      <c r="T178" s="22" t="e">
        <f t="shared" ca="1" si="28"/>
        <v>#N/A</v>
      </c>
      <c r="U178" s="89" t="e">
        <f t="shared" ca="1" si="29"/>
        <v>#N/A</v>
      </c>
      <c r="V178" s="22" t="e">
        <f t="shared" ca="1" si="30"/>
        <v>#N/A</v>
      </c>
      <c r="AM178" t="e">
        <f t="shared" si="31"/>
        <v>#N/A</v>
      </c>
      <c r="AN178" t="e">
        <f t="shared" ca="1" si="32"/>
        <v>#N/A</v>
      </c>
    </row>
    <row r="179" spans="1:40" x14ac:dyDescent="0.3">
      <c r="A179" s="87">
        <v>178</v>
      </c>
      <c r="B179" t="str">
        <f>IFERROR(INDEX('Mock Database'!$D$3:$D$152,MATCH($A179,'Mock Database'!$C$3:$C$152,0)),"")</f>
        <v/>
      </c>
      <c r="C179" s="88" t="str">
        <f>IFERROR(INDEX('Mock Database'!$I$3:$I$152,MATCH($A179,'Mock Database'!$C$3:$C$152,0)),"")</f>
        <v/>
      </c>
      <c r="D179" s="89" t="str">
        <f ca="1">IF(ISNA(MATCH($A179,'Mock Database'!$C$3:$C$152,0)),"",IF(ISBLANK(OFFSET('Mock Database'!$M$2,MATCH($A179,'Mock Database'!$C$3:$C$152,0),0)),"",INDEX('Mock Database'!$M$3:$M$152,MATCH($A179,'Mock Database'!$C$3:$C$152,0))))</f>
        <v/>
      </c>
      <c r="E179" s="22" t="str">
        <f ca="1">IF(ISNA(MATCH($A179,'Mock Database'!$C$3:$C$152,0)),"",IF(ISBLANK(OFFSET('Mock Database'!$N$2,MATCH($A179,'Mock Database'!$C$3:$C$152,0),0)),"",INDEX('Mock Database'!$N$3:$N$152,MATCH($A179,'Mock Database'!$C$3:$C$152,0))))</f>
        <v/>
      </c>
      <c r="F179" s="89" t="str">
        <f ca="1">IF(ISNA(MATCH($A179,'Mock Database'!$C$3:$C$152,0)),"",IF(ISBLANK(OFFSET('Mock Database'!$S$2,MATCH($A179,'Mock Database'!$C$3:$C$152,0),0)),"",INDEX('Mock Database'!$S$3:$S$152,MATCH($A179,'Mock Database'!$C$3:$C$152,0))))</f>
        <v/>
      </c>
      <c r="G179" s="22" t="str">
        <f ca="1">IF(ISNA(MATCH($A179,'Mock Database'!$C$3:$C$152,0)),"",IF(ISBLANK(OFFSET('Mock Database'!$T$2,MATCH($A179,'Mock Database'!$C$3:$C$152,0),0)),"",INDEX('Mock Database'!$T$3:$T$152,MATCH($A179,'Mock Database'!$C$3:$C$152,0))))</f>
        <v/>
      </c>
      <c r="H179" s="89" t="str">
        <f ca="1">IF(ISNA(MATCH($A179,'Mock Database'!$C$3:$C$152,0)),"",IF(ISBLANK(OFFSET('Mock Database'!$Y$2,MATCH($A179,'Mock Database'!$C$3:$C$152,0),0)),"",INDEX('Mock Database'!$Y$3:$Y$152,MATCH($A179,'Mock Database'!$C$3:$C$152,0))))</f>
        <v/>
      </c>
      <c r="I179" s="22" t="str">
        <f ca="1">IF(ISNA(MATCH($A179,'Mock Database'!$C$3:$C$152,0)),"",IF(ISBLANK(OFFSET('Mock Database'!$Z$2,MATCH($A179,'Mock Database'!$C$3:$C$152,0),0)),"",INDEX('Mock Database'!$Z$3:$Z$152,MATCH($A179,'Mock Database'!$C$3:$C$152,0))))</f>
        <v/>
      </c>
      <c r="J179" s="89" t="str">
        <f ca="1">IF(ISNA(MATCH($A179,'Mock Database'!$C$3:$C$152,0)),"",IF(ISBLANK(OFFSET('Mock Database'!$AE$2,MATCH($A179,'Mock Database'!$C$3:$C$152,0),0)),"",INDEX('Mock Database'!$AE$3:$AE$152,MATCH($A179,'Mock Database'!$C$3:$C$152,0))))</f>
        <v/>
      </c>
      <c r="K179" s="22" t="str">
        <f ca="1">IF(ISNA(MATCH($A179,'Mock Database'!$C$3:$C$152,0)),"",IF(ISBLANK(OFFSET('Mock Database'!$AF$2,MATCH($A179,'Mock Database'!$C$3:$C$152,0),0)),"",INDEX('Mock Database'!$AF$3:$AF$152,MATCH($A179,'Mock Database'!$C$3:$C$152,0))))</f>
        <v/>
      </c>
      <c r="N179" t="e">
        <f t="shared" si="22"/>
        <v>#N/A</v>
      </c>
      <c r="O179" s="89" t="e">
        <f t="shared" ca="1" si="23"/>
        <v>#N/A</v>
      </c>
      <c r="P179" s="22" t="e">
        <f t="shared" ca="1" si="24"/>
        <v>#N/A</v>
      </c>
      <c r="Q179" s="89" t="e">
        <f t="shared" ca="1" si="25"/>
        <v>#N/A</v>
      </c>
      <c r="R179" s="22" t="e">
        <f t="shared" ca="1" si="26"/>
        <v>#N/A</v>
      </c>
      <c r="S179" s="89" t="e">
        <f t="shared" ca="1" si="27"/>
        <v>#N/A</v>
      </c>
      <c r="T179" s="22" t="e">
        <f t="shared" ca="1" si="28"/>
        <v>#N/A</v>
      </c>
      <c r="U179" s="89" t="e">
        <f t="shared" ca="1" si="29"/>
        <v>#N/A</v>
      </c>
      <c r="V179" s="22" t="e">
        <f t="shared" ca="1" si="30"/>
        <v>#N/A</v>
      </c>
      <c r="AM179" t="e">
        <f t="shared" si="31"/>
        <v>#N/A</v>
      </c>
      <c r="AN179" t="e">
        <f t="shared" ca="1" si="32"/>
        <v>#N/A</v>
      </c>
    </row>
    <row r="180" spans="1:40" x14ac:dyDescent="0.3">
      <c r="A180" s="87">
        <v>179</v>
      </c>
      <c r="B180" t="str">
        <f>IFERROR(INDEX('Mock Database'!$D$3:$D$152,MATCH($A180,'Mock Database'!$C$3:$C$152,0)),"")</f>
        <v/>
      </c>
      <c r="C180" s="88" t="str">
        <f>IFERROR(INDEX('Mock Database'!$I$3:$I$152,MATCH($A180,'Mock Database'!$C$3:$C$152,0)),"")</f>
        <v/>
      </c>
      <c r="D180" s="89" t="str">
        <f ca="1">IF(ISNA(MATCH($A180,'Mock Database'!$C$3:$C$152,0)),"",IF(ISBLANK(OFFSET('Mock Database'!$M$2,MATCH($A180,'Mock Database'!$C$3:$C$152,0),0)),"",INDEX('Mock Database'!$M$3:$M$152,MATCH($A180,'Mock Database'!$C$3:$C$152,0))))</f>
        <v/>
      </c>
      <c r="E180" s="22" t="str">
        <f ca="1">IF(ISNA(MATCH($A180,'Mock Database'!$C$3:$C$152,0)),"",IF(ISBLANK(OFFSET('Mock Database'!$N$2,MATCH($A180,'Mock Database'!$C$3:$C$152,0),0)),"",INDEX('Mock Database'!$N$3:$N$152,MATCH($A180,'Mock Database'!$C$3:$C$152,0))))</f>
        <v/>
      </c>
      <c r="F180" s="89" t="str">
        <f ca="1">IF(ISNA(MATCH($A180,'Mock Database'!$C$3:$C$152,0)),"",IF(ISBLANK(OFFSET('Mock Database'!$S$2,MATCH($A180,'Mock Database'!$C$3:$C$152,0),0)),"",INDEX('Mock Database'!$S$3:$S$152,MATCH($A180,'Mock Database'!$C$3:$C$152,0))))</f>
        <v/>
      </c>
      <c r="G180" s="22" t="str">
        <f ca="1">IF(ISNA(MATCH($A180,'Mock Database'!$C$3:$C$152,0)),"",IF(ISBLANK(OFFSET('Mock Database'!$T$2,MATCH($A180,'Mock Database'!$C$3:$C$152,0),0)),"",INDEX('Mock Database'!$T$3:$T$152,MATCH($A180,'Mock Database'!$C$3:$C$152,0))))</f>
        <v/>
      </c>
      <c r="H180" s="89" t="str">
        <f ca="1">IF(ISNA(MATCH($A180,'Mock Database'!$C$3:$C$152,0)),"",IF(ISBLANK(OFFSET('Mock Database'!$Y$2,MATCH($A180,'Mock Database'!$C$3:$C$152,0),0)),"",INDEX('Mock Database'!$Y$3:$Y$152,MATCH($A180,'Mock Database'!$C$3:$C$152,0))))</f>
        <v/>
      </c>
      <c r="I180" s="22" t="str">
        <f ca="1">IF(ISNA(MATCH($A180,'Mock Database'!$C$3:$C$152,0)),"",IF(ISBLANK(OFFSET('Mock Database'!$Z$2,MATCH($A180,'Mock Database'!$C$3:$C$152,0),0)),"",INDEX('Mock Database'!$Z$3:$Z$152,MATCH($A180,'Mock Database'!$C$3:$C$152,0))))</f>
        <v/>
      </c>
      <c r="J180" s="89" t="str">
        <f ca="1">IF(ISNA(MATCH($A180,'Mock Database'!$C$3:$C$152,0)),"",IF(ISBLANK(OFFSET('Mock Database'!$AE$2,MATCH($A180,'Mock Database'!$C$3:$C$152,0),0)),"",INDEX('Mock Database'!$AE$3:$AE$152,MATCH($A180,'Mock Database'!$C$3:$C$152,0))))</f>
        <v/>
      </c>
      <c r="K180" s="22" t="str">
        <f ca="1">IF(ISNA(MATCH($A180,'Mock Database'!$C$3:$C$152,0)),"",IF(ISBLANK(OFFSET('Mock Database'!$AF$2,MATCH($A180,'Mock Database'!$C$3:$C$152,0),0)),"",INDEX('Mock Database'!$AF$3:$AF$152,MATCH($A180,'Mock Database'!$C$3:$C$152,0))))</f>
        <v/>
      </c>
      <c r="N180" t="e">
        <f t="shared" si="22"/>
        <v>#N/A</v>
      </c>
      <c r="O180" s="89" t="e">
        <f t="shared" ca="1" si="23"/>
        <v>#N/A</v>
      </c>
      <c r="P180" s="22" t="e">
        <f t="shared" ca="1" si="24"/>
        <v>#N/A</v>
      </c>
      <c r="Q180" s="89" t="e">
        <f t="shared" ca="1" si="25"/>
        <v>#N/A</v>
      </c>
      <c r="R180" s="22" t="e">
        <f t="shared" ca="1" si="26"/>
        <v>#N/A</v>
      </c>
      <c r="S180" s="89" t="e">
        <f t="shared" ca="1" si="27"/>
        <v>#N/A</v>
      </c>
      <c r="T180" s="22" t="e">
        <f t="shared" ca="1" si="28"/>
        <v>#N/A</v>
      </c>
      <c r="U180" s="89" t="e">
        <f t="shared" ca="1" si="29"/>
        <v>#N/A</v>
      </c>
      <c r="V180" s="22" t="e">
        <f t="shared" ca="1" si="30"/>
        <v>#N/A</v>
      </c>
      <c r="AM180" t="e">
        <f t="shared" si="31"/>
        <v>#N/A</v>
      </c>
      <c r="AN180" t="e">
        <f t="shared" ca="1" si="32"/>
        <v>#N/A</v>
      </c>
    </row>
    <row r="181" spans="1:40" x14ac:dyDescent="0.3">
      <c r="A181" s="87">
        <v>180</v>
      </c>
      <c r="B181" t="str">
        <f>IFERROR(INDEX('Mock Database'!$D$3:$D$152,MATCH($A181,'Mock Database'!$C$3:$C$152,0)),"")</f>
        <v/>
      </c>
      <c r="C181" s="88" t="str">
        <f>IFERROR(INDEX('Mock Database'!$I$3:$I$152,MATCH($A181,'Mock Database'!$C$3:$C$152,0)),"")</f>
        <v/>
      </c>
      <c r="D181" s="89" t="str">
        <f ca="1">IF(ISNA(MATCH($A181,'Mock Database'!$C$3:$C$152,0)),"",IF(ISBLANK(OFFSET('Mock Database'!$M$2,MATCH($A181,'Mock Database'!$C$3:$C$152,0),0)),"",INDEX('Mock Database'!$M$3:$M$152,MATCH($A181,'Mock Database'!$C$3:$C$152,0))))</f>
        <v/>
      </c>
      <c r="E181" s="22" t="str">
        <f ca="1">IF(ISNA(MATCH($A181,'Mock Database'!$C$3:$C$152,0)),"",IF(ISBLANK(OFFSET('Mock Database'!$N$2,MATCH($A181,'Mock Database'!$C$3:$C$152,0),0)),"",INDEX('Mock Database'!$N$3:$N$152,MATCH($A181,'Mock Database'!$C$3:$C$152,0))))</f>
        <v/>
      </c>
      <c r="F181" s="89" t="str">
        <f ca="1">IF(ISNA(MATCH($A181,'Mock Database'!$C$3:$C$152,0)),"",IF(ISBLANK(OFFSET('Mock Database'!$S$2,MATCH($A181,'Mock Database'!$C$3:$C$152,0),0)),"",INDEX('Mock Database'!$S$3:$S$152,MATCH($A181,'Mock Database'!$C$3:$C$152,0))))</f>
        <v/>
      </c>
      <c r="G181" s="22" t="str">
        <f ca="1">IF(ISNA(MATCH($A181,'Mock Database'!$C$3:$C$152,0)),"",IF(ISBLANK(OFFSET('Mock Database'!$T$2,MATCH($A181,'Mock Database'!$C$3:$C$152,0),0)),"",INDEX('Mock Database'!$T$3:$T$152,MATCH($A181,'Mock Database'!$C$3:$C$152,0))))</f>
        <v/>
      </c>
      <c r="H181" s="89" t="str">
        <f ca="1">IF(ISNA(MATCH($A181,'Mock Database'!$C$3:$C$152,0)),"",IF(ISBLANK(OFFSET('Mock Database'!$Y$2,MATCH($A181,'Mock Database'!$C$3:$C$152,0),0)),"",INDEX('Mock Database'!$Y$3:$Y$152,MATCH($A181,'Mock Database'!$C$3:$C$152,0))))</f>
        <v/>
      </c>
      <c r="I181" s="22" t="str">
        <f ca="1">IF(ISNA(MATCH($A181,'Mock Database'!$C$3:$C$152,0)),"",IF(ISBLANK(OFFSET('Mock Database'!$Z$2,MATCH($A181,'Mock Database'!$C$3:$C$152,0),0)),"",INDEX('Mock Database'!$Z$3:$Z$152,MATCH($A181,'Mock Database'!$C$3:$C$152,0))))</f>
        <v/>
      </c>
      <c r="J181" s="89" t="str">
        <f ca="1">IF(ISNA(MATCH($A181,'Mock Database'!$C$3:$C$152,0)),"",IF(ISBLANK(OFFSET('Mock Database'!$AE$2,MATCH($A181,'Mock Database'!$C$3:$C$152,0),0)),"",INDEX('Mock Database'!$AE$3:$AE$152,MATCH($A181,'Mock Database'!$C$3:$C$152,0))))</f>
        <v/>
      </c>
      <c r="K181" s="22" t="str">
        <f ca="1">IF(ISNA(MATCH($A181,'Mock Database'!$C$3:$C$152,0)),"",IF(ISBLANK(OFFSET('Mock Database'!$AF$2,MATCH($A181,'Mock Database'!$C$3:$C$152,0),0)),"",INDEX('Mock Database'!$AF$3:$AF$152,MATCH($A181,'Mock Database'!$C$3:$C$152,0))))</f>
        <v/>
      </c>
      <c r="N181" t="e">
        <f t="shared" si="22"/>
        <v>#N/A</v>
      </c>
      <c r="O181" s="89" t="e">
        <f t="shared" ca="1" si="23"/>
        <v>#N/A</v>
      </c>
      <c r="P181" s="22" t="e">
        <f t="shared" ca="1" si="24"/>
        <v>#N/A</v>
      </c>
      <c r="Q181" s="89" t="e">
        <f t="shared" ca="1" si="25"/>
        <v>#N/A</v>
      </c>
      <c r="R181" s="22" t="e">
        <f t="shared" ca="1" si="26"/>
        <v>#N/A</v>
      </c>
      <c r="S181" s="89" t="e">
        <f t="shared" ca="1" si="27"/>
        <v>#N/A</v>
      </c>
      <c r="T181" s="22" t="e">
        <f t="shared" ca="1" si="28"/>
        <v>#N/A</v>
      </c>
      <c r="U181" s="89" t="e">
        <f t="shared" ca="1" si="29"/>
        <v>#N/A</v>
      </c>
      <c r="V181" s="22" t="e">
        <f t="shared" ca="1" si="30"/>
        <v>#N/A</v>
      </c>
      <c r="AM181" t="e">
        <f t="shared" si="31"/>
        <v>#N/A</v>
      </c>
      <c r="AN181" t="e">
        <f t="shared" ca="1" si="32"/>
        <v>#N/A</v>
      </c>
    </row>
    <row r="182" spans="1:40" x14ac:dyDescent="0.3">
      <c r="A182" s="87">
        <v>181</v>
      </c>
      <c r="B182" t="str">
        <f>IFERROR(INDEX('Mock Database'!$D$3:$D$152,MATCH($A182,'Mock Database'!$C$3:$C$152,0)),"")</f>
        <v/>
      </c>
      <c r="C182" s="88" t="str">
        <f>IFERROR(INDEX('Mock Database'!$I$3:$I$152,MATCH($A182,'Mock Database'!$C$3:$C$152,0)),"")</f>
        <v/>
      </c>
      <c r="D182" s="89" t="str">
        <f ca="1">IF(ISNA(MATCH($A182,'Mock Database'!$C$3:$C$152,0)),"",IF(ISBLANK(OFFSET('Mock Database'!$M$2,MATCH($A182,'Mock Database'!$C$3:$C$152,0),0)),"",INDEX('Mock Database'!$M$3:$M$152,MATCH($A182,'Mock Database'!$C$3:$C$152,0))))</f>
        <v/>
      </c>
      <c r="E182" s="22" t="str">
        <f ca="1">IF(ISNA(MATCH($A182,'Mock Database'!$C$3:$C$152,0)),"",IF(ISBLANK(OFFSET('Mock Database'!$N$2,MATCH($A182,'Mock Database'!$C$3:$C$152,0),0)),"",INDEX('Mock Database'!$N$3:$N$152,MATCH($A182,'Mock Database'!$C$3:$C$152,0))))</f>
        <v/>
      </c>
      <c r="F182" s="89" t="str">
        <f ca="1">IF(ISNA(MATCH($A182,'Mock Database'!$C$3:$C$152,0)),"",IF(ISBLANK(OFFSET('Mock Database'!$S$2,MATCH($A182,'Mock Database'!$C$3:$C$152,0),0)),"",INDEX('Mock Database'!$S$3:$S$152,MATCH($A182,'Mock Database'!$C$3:$C$152,0))))</f>
        <v/>
      </c>
      <c r="G182" s="22" t="str">
        <f ca="1">IF(ISNA(MATCH($A182,'Mock Database'!$C$3:$C$152,0)),"",IF(ISBLANK(OFFSET('Mock Database'!$T$2,MATCH($A182,'Mock Database'!$C$3:$C$152,0),0)),"",INDEX('Mock Database'!$T$3:$T$152,MATCH($A182,'Mock Database'!$C$3:$C$152,0))))</f>
        <v/>
      </c>
      <c r="H182" s="89" t="str">
        <f ca="1">IF(ISNA(MATCH($A182,'Mock Database'!$C$3:$C$152,0)),"",IF(ISBLANK(OFFSET('Mock Database'!$Y$2,MATCH($A182,'Mock Database'!$C$3:$C$152,0),0)),"",INDEX('Mock Database'!$Y$3:$Y$152,MATCH($A182,'Mock Database'!$C$3:$C$152,0))))</f>
        <v/>
      </c>
      <c r="I182" s="22" t="str">
        <f ca="1">IF(ISNA(MATCH($A182,'Mock Database'!$C$3:$C$152,0)),"",IF(ISBLANK(OFFSET('Mock Database'!$Z$2,MATCH($A182,'Mock Database'!$C$3:$C$152,0),0)),"",INDEX('Mock Database'!$Z$3:$Z$152,MATCH($A182,'Mock Database'!$C$3:$C$152,0))))</f>
        <v/>
      </c>
      <c r="J182" s="89" t="str">
        <f ca="1">IF(ISNA(MATCH($A182,'Mock Database'!$C$3:$C$152,0)),"",IF(ISBLANK(OFFSET('Mock Database'!$AE$2,MATCH($A182,'Mock Database'!$C$3:$C$152,0),0)),"",INDEX('Mock Database'!$AE$3:$AE$152,MATCH($A182,'Mock Database'!$C$3:$C$152,0))))</f>
        <v/>
      </c>
      <c r="K182" s="22" t="str">
        <f ca="1">IF(ISNA(MATCH($A182,'Mock Database'!$C$3:$C$152,0)),"",IF(ISBLANK(OFFSET('Mock Database'!$AF$2,MATCH($A182,'Mock Database'!$C$3:$C$152,0),0)),"",INDEX('Mock Database'!$AF$3:$AF$152,MATCH($A182,'Mock Database'!$C$3:$C$152,0))))</f>
        <v/>
      </c>
      <c r="N182" t="e">
        <f t="shared" si="22"/>
        <v>#N/A</v>
      </c>
      <c r="O182" s="89" t="e">
        <f t="shared" ca="1" si="23"/>
        <v>#N/A</v>
      </c>
      <c r="P182" s="22" t="e">
        <f t="shared" ca="1" si="24"/>
        <v>#N/A</v>
      </c>
      <c r="Q182" s="89" t="e">
        <f t="shared" ca="1" si="25"/>
        <v>#N/A</v>
      </c>
      <c r="R182" s="22" t="e">
        <f t="shared" ca="1" si="26"/>
        <v>#N/A</v>
      </c>
      <c r="S182" s="89" t="e">
        <f t="shared" ca="1" si="27"/>
        <v>#N/A</v>
      </c>
      <c r="T182" s="22" t="e">
        <f t="shared" ca="1" si="28"/>
        <v>#N/A</v>
      </c>
      <c r="U182" s="89" t="e">
        <f t="shared" ca="1" si="29"/>
        <v>#N/A</v>
      </c>
      <c r="V182" s="22" t="e">
        <f t="shared" ca="1" si="30"/>
        <v>#N/A</v>
      </c>
      <c r="AM182" t="e">
        <f t="shared" si="31"/>
        <v>#N/A</v>
      </c>
      <c r="AN182" t="e">
        <f t="shared" ca="1" si="32"/>
        <v>#N/A</v>
      </c>
    </row>
    <row r="183" spans="1:40" x14ac:dyDescent="0.3">
      <c r="A183" s="87">
        <v>182</v>
      </c>
      <c r="B183" t="str">
        <f>IFERROR(INDEX('Mock Database'!$D$3:$D$152,MATCH($A183,'Mock Database'!$C$3:$C$152,0)),"")</f>
        <v/>
      </c>
      <c r="C183" s="88" t="str">
        <f>IFERROR(INDEX('Mock Database'!$I$3:$I$152,MATCH($A183,'Mock Database'!$C$3:$C$152,0)),"")</f>
        <v/>
      </c>
      <c r="D183" s="89" t="str">
        <f ca="1">IF(ISNA(MATCH($A183,'Mock Database'!$C$3:$C$152,0)),"",IF(ISBLANK(OFFSET('Mock Database'!$M$2,MATCH($A183,'Mock Database'!$C$3:$C$152,0),0)),"",INDEX('Mock Database'!$M$3:$M$152,MATCH($A183,'Mock Database'!$C$3:$C$152,0))))</f>
        <v/>
      </c>
      <c r="E183" s="22" t="str">
        <f ca="1">IF(ISNA(MATCH($A183,'Mock Database'!$C$3:$C$152,0)),"",IF(ISBLANK(OFFSET('Mock Database'!$N$2,MATCH($A183,'Mock Database'!$C$3:$C$152,0),0)),"",INDEX('Mock Database'!$N$3:$N$152,MATCH($A183,'Mock Database'!$C$3:$C$152,0))))</f>
        <v/>
      </c>
      <c r="F183" s="89" t="str">
        <f ca="1">IF(ISNA(MATCH($A183,'Mock Database'!$C$3:$C$152,0)),"",IF(ISBLANK(OFFSET('Mock Database'!$S$2,MATCH($A183,'Mock Database'!$C$3:$C$152,0),0)),"",INDEX('Mock Database'!$S$3:$S$152,MATCH($A183,'Mock Database'!$C$3:$C$152,0))))</f>
        <v/>
      </c>
      <c r="G183" s="22" t="str">
        <f ca="1">IF(ISNA(MATCH($A183,'Mock Database'!$C$3:$C$152,0)),"",IF(ISBLANK(OFFSET('Mock Database'!$T$2,MATCH($A183,'Mock Database'!$C$3:$C$152,0),0)),"",INDEX('Mock Database'!$T$3:$T$152,MATCH($A183,'Mock Database'!$C$3:$C$152,0))))</f>
        <v/>
      </c>
      <c r="H183" s="89" t="str">
        <f ca="1">IF(ISNA(MATCH($A183,'Mock Database'!$C$3:$C$152,0)),"",IF(ISBLANK(OFFSET('Mock Database'!$Y$2,MATCH($A183,'Mock Database'!$C$3:$C$152,0),0)),"",INDEX('Mock Database'!$Y$3:$Y$152,MATCH($A183,'Mock Database'!$C$3:$C$152,0))))</f>
        <v/>
      </c>
      <c r="I183" s="22" t="str">
        <f ca="1">IF(ISNA(MATCH($A183,'Mock Database'!$C$3:$C$152,0)),"",IF(ISBLANK(OFFSET('Mock Database'!$Z$2,MATCH($A183,'Mock Database'!$C$3:$C$152,0),0)),"",INDEX('Mock Database'!$Z$3:$Z$152,MATCH($A183,'Mock Database'!$C$3:$C$152,0))))</f>
        <v/>
      </c>
      <c r="J183" s="89" t="str">
        <f ca="1">IF(ISNA(MATCH($A183,'Mock Database'!$C$3:$C$152,0)),"",IF(ISBLANK(OFFSET('Mock Database'!$AE$2,MATCH($A183,'Mock Database'!$C$3:$C$152,0),0)),"",INDEX('Mock Database'!$AE$3:$AE$152,MATCH($A183,'Mock Database'!$C$3:$C$152,0))))</f>
        <v/>
      </c>
      <c r="K183" s="22" t="str">
        <f ca="1">IF(ISNA(MATCH($A183,'Mock Database'!$C$3:$C$152,0)),"",IF(ISBLANK(OFFSET('Mock Database'!$AF$2,MATCH($A183,'Mock Database'!$C$3:$C$152,0),0)),"",INDEX('Mock Database'!$AF$3:$AF$152,MATCH($A183,'Mock Database'!$C$3:$C$152,0))))</f>
        <v/>
      </c>
      <c r="N183" t="e">
        <f t="shared" si="22"/>
        <v>#N/A</v>
      </c>
      <c r="O183" s="89" t="e">
        <f t="shared" ca="1" si="23"/>
        <v>#N/A</v>
      </c>
      <c r="P183" s="22" t="e">
        <f t="shared" ca="1" si="24"/>
        <v>#N/A</v>
      </c>
      <c r="Q183" s="89" t="e">
        <f t="shared" ca="1" si="25"/>
        <v>#N/A</v>
      </c>
      <c r="R183" s="22" t="e">
        <f t="shared" ca="1" si="26"/>
        <v>#N/A</v>
      </c>
      <c r="S183" s="89" t="e">
        <f t="shared" ca="1" si="27"/>
        <v>#N/A</v>
      </c>
      <c r="T183" s="22" t="e">
        <f t="shared" ca="1" si="28"/>
        <v>#N/A</v>
      </c>
      <c r="U183" s="89" t="e">
        <f t="shared" ca="1" si="29"/>
        <v>#N/A</v>
      </c>
      <c r="V183" s="22" t="e">
        <f t="shared" ca="1" si="30"/>
        <v>#N/A</v>
      </c>
      <c r="AM183" t="e">
        <f t="shared" si="31"/>
        <v>#N/A</v>
      </c>
      <c r="AN183" t="e">
        <f t="shared" ca="1" si="32"/>
        <v>#N/A</v>
      </c>
    </row>
    <row r="184" spans="1:40" x14ac:dyDescent="0.3">
      <c r="A184" s="87">
        <v>183</v>
      </c>
      <c r="B184" t="str">
        <f>IFERROR(INDEX('Mock Database'!$D$3:$D$152,MATCH($A184,'Mock Database'!$C$3:$C$152,0)),"")</f>
        <v/>
      </c>
      <c r="C184" s="88" t="str">
        <f>IFERROR(INDEX('Mock Database'!$I$3:$I$152,MATCH($A184,'Mock Database'!$C$3:$C$152,0)),"")</f>
        <v/>
      </c>
      <c r="D184" s="89" t="str">
        <f ca="1">IF(ISNA(MATCH($A184,'Mock Database'!$C$3:$C$152,0)),"",IF(ISBLANK(OFFSET('Mock Database'!$M$2,MATCH($A184,'Mock Database'!$C$3:$C$152,0),0)),"",INDEX('Mock Database'!$M$3:$M$152,MATCH($A184,'Mock Database'!$C$3:$C$152,0))))</f>
        <v/>
      </c>
      <c r="E184" s="22" t="str">
        <f ca="1">IF(ISNA(MATCH($A184,'Mock Database'!$C$3:$C$152,0)),"",IF(ISBLANK(OFFSET('Mock Database'!$N$2,MATCH($A184,'Mock Database'!$C$3:$C$152,0),0)),"",INDEX('Mock Database'!$N$3:$N$152,MATCH($A184,'Mock Database'!$C$3:$C$152,0))))</f>
        <v/>
      </c>
      <c r="F184" s="89" t="str">
        <f ca="1">IF(ISNA(MATCH($A184,'Mock Database'!$C$3:$C$152,0)),"",IF(ISBLANK(OFFSET('Mock Database'!$S$2,MATCH($A184,'Mock Database'!$C$3:$C$152,0),0)),"",INDEX('Mock Database'!$S$3:$S$152,MATCH($A184,'Mock Database'!$C$3:$C$152,0))))</f>
        <v/>
      </c>
      <c r="G184" s="22" t="str">
        <f ca="1">IF(ISNA(MATCH($A184,'Mock Database'!$C$3:$C$152,0)),"",IF(ISBLANK(OFFSET('Mock Database'!$T$2,MATCH($A184,'Mock Database'!$C$3:$C$152,0),0)),"",INDEX('Mock Database'!$T$3:$T$152,MATCH($A184,'Mock Database'!$C$3:$C$152,0))))</f>
        <v/>
      </c>
      <c r="H184" s="89" t="str">
        <f ca="1">IF(ISNA(MATCH($A184,'Mock Database'!$C$3:$C$152,0)),"",IF(ISBLANK(OFFSET('Mock Database'!$Y$2,MATCH($A184,'Mock Database'!$C$3:$C$152,0),0)),"",INDEX('Mock Database'!$Y$3:$Y$152,MATCH($A184,'Mock Database'!$C$3:$C$152,0))))</f>
        <v/>
      </c>
      <c r="I184" s="22" t="str">
        <f ca="1">IF(ISNA(MATCH($A184,'Mock Database'!$C$3:$C$152,0)),"",IF(ISBLANK(OFFSET('Mock Database'!$Z$2,MATCH($A184,'Mock Database'!$C$3:$C$152,0),0)),"",INDEX('Mock Database'!$Z$3:$Z$152,MATCH($A184,'Mock Database'!$C$3:$C$152,0))))</f>
        <v/>
      </c>
      <c r="J184" s="89" t="str">
        <f ca="1">IF(ISNA(MATCH($A184,'Mock Database'!$C$3:$C$152,0)),"",IF(ISBLANK(OFFSET('Mock Database'!$AE$2,MATCH($A184,'Mock Database'!$C$3:$C$152,0),0)),"",INDEX('Mock Database'!$AE$3:$AE$152,MATCH($A184,'Mock Database'!$C$3:$C$152,0))))</f>
        <v/>
      </c>
      <c r="K184" s="22" t="str">
        <f ca="1">IF(ISNA(MATCH($A184,'Mock Database'!$C$3:$C$152,0)),"",IF(ISBLANK(OFFSET('Mock Database'!$AF$2,MATCH($A184,'Mock Database'!$C$3:$C$152,0),0)),"",INDEX('Mock Database'!$AF$3:$AF$152,MATCH($A184,'Mock Database'!$C$3:$C$152,0))))</f>
        <v/>
      </c>
      <c r="N184" t="e">
        <f t="shared" si="22"/>
        <v>#N/A</v>
      </c>
      <c r="O184" s="89" t="e">
        <f t="shared" ca="1" si="23"/>
        <v>#N/A</v>
      </c>
      <c r="P184" s="22" t="e">
        <f t="shared" ca="1" si="24"/>
        <v>#N/A</v>
      </c>
      <c r="Q184" s="89" t="e">
        <f t="shared" ca="1" si="25"/>
        <v>#N/A</v>
      </c>
      <c r="R184" s="22" t="e">
        <f t="shared" ca="1" si="26"/>
        <v>#N/A</v>
      </c>
      <c r="S184" s="89" t="e">
        <f t="shared" ca="1" si="27"/>
        <v>#N/A</v>
      </c>
      <c r="T184" s="22" t="e">
        <f t="shared" ca="1" si="28"/>
        <v>#N/A</v>
      </c>
      <c r="U184" s="89" t="e">
        <f t="shared" ca="1" si="29"/>
        <v>#N/A</v>
      </c>
      <c r="V184" s="22" t="e">
        <f t="shared" ca="1" si="30"/>
        <v>#N/A</v>
      </c>
      <c r="AM184" t="e">
        <f t="shared" si="31"/>
        <v>#N/A</v>
      </c>
      <c r="AN184" t="e">
        <f t="shared" ca="1" si="32"/>
        <v>#N/A</v>
      </c>
    </row>
    <row r="185" spans="1:40" x14ac:dyDescent="0.3">
      <c r="A185" s="87">
        <v>184</v>
      </c>
      <c r="B185" t="str">
        <f>IFERROR(INDEX('Mock Database'!$D$3:$D$152,MATCH($A185,'Mock Database'!$C$3:$C$152,0)),"")</f>
        <v/>
      </c>
      <c r="C185" s="88" t="str">
        <f>IFERROR(INDEX('Mock Database'!$I$3:$I$152,MATCH($A185,'Mock Database'!$C$3:$C$152,0)),"")</f>
        <v/>
      </c>
      <c r="D185" s="89" t="str">
        <f ca="1">IF(ISNA(MATCH($A185,'Mock Database'!$C$3:$C$152,0)),"",IF(ISBLANK(OFFSET('Mock Database'!$M$2,MATCH($A185,'Mock Database'!$C$3:$C$152,0),0)),"",INDEX('Mock Database'!$M$3:$M$152,MATCH($A185,'Mock Database'!$C$3:$C$152,0))))</f>
        <v/>
      </c>
      <c r="E185" s="22" t="str">
        <f ca="1">IF(ISNA(MATCH($A185,'Mock Database'!$C$3:$C$152,0)),"",IF(ISBLANK(OFFSET('Mock Database'!$N$2,MATCH($A185,'Mock Database'!$C$3:$C$152,0),0)),"",INDEX('Mock Database'!$N$3:$N$152,MATCH($A185,'Mock Database'!$C$3:$C$152,0))))</f>
        <v/>
      </c>
      <c r="F185" s="89" t="str">
        <f ca="1">IF(ISNA(MATCH($A185,'Mock Database'!$C$3:$C$152,0)),"",IF(ISBLANK(OFFSET('Mock Database'!$S$2,MATCH($A185,'Mock Database'!$C$3:$C$152,0),0)),"",INDEX('Mock Database'!$S$3:$S$152,MATCH($A185,'Mock Database'!$C$3:$C$152,0))))</f>
        <v/>
      </c>
      <c r="G185" s="22" t="str">
        <f ca="1">IF(ISNA(MATCH($A185,'Mock Database'!$C$3:$C$152,0)),"",IF(ISBLANK(OFFSET('Mock Database'!$T$2,MATCH($A185,'Mock Database'!$C$3:$C$152,0),0)),"",INDEX('Mock Database'!$T$3:$T$152,MATCH($A185,'Mock Database'!$C$3:$C$152,0))))</f>
        <v/>
      </c>
      <c r="H185" s="89" t="str">
        <f ca="1">IF(ISNA(MATCH($A185,'Mock Database'!$C$3:$C$152,0)),"",IF(ISBLANK(OFFSET('Mock Database'!$Y$2,MATCH($A185,'Mock Database'!$C$3:$C$152,0),0)),"",INDEX('Mock Database'!$Y$3:$Y$152,MATCH($A185,'Mock Database'!$C$3:$C$152,0))))</f>
        <v/>
      </c>
      <c r="I185" s="22" t="str">
        <f ca="1">IF(ISNA(MATCH($A185,'Mock Database'!$C$3:$C$152,0)),"",IF(ISBLANK(OFFSET('Mock Database'!$Z$2,MATCH($A185,'Mock Database'!$C$3:$C$152,0),0)),"",INDEX('Mock Database'!$Z$3:$Z$152,MATCH($A185,'Mock Database'!$C$3:$C$152,0))))</f>
        <v/>
      </c>
      <c r="J185" s="89" t="str">
        <f ca="1">IF(ISNA(MATCH($A185,'Mock Database'!$C$3:$C$152,0)),"",IF(ISBLANK(OFFSET('Mock Database'!$AE$2,MATCH($A185,'Mock Database'!$C$3:$C$152,0),0)),"",INDEX('Mock Database'!$AE$3:$AE$152,MATCH($A185,'Mock Database'!$C$3:$C$152,0))))</f>
        <v/>
      </c>
      <c r="K185" s="22" t="str">
        <f ca="1">IF(ISNA(MATCH($A185,'Mock Database'!$C$3:$C$152,0)),"",IF(ISBLANK(OFFSET('Mock Database'!$AF$2,MATCH($A185,'Mock Database'!$C$3:$C$152,0),0)),"",INDEX('Mock Database'!$AF$3:$AF$152,MATCH($A185,'Mock Database'!$C$3:$C$152,0))))</f>
        <v/>
      </c>
      <c r="N185" t="e">
        <f t="shared" si="22"/>
        <v>#N/A</v>
      </c>
      <c r="O185" s="89" t="e">
        <f t="shared" ca="1" si="23"/>
        <v>#N/A</v>
      </c>
      <c r="P185" s="22" t="e">
        <f t="shared" ca="1" si="24"/>
        <v>#N/A</v>
      </c>
      <c r="Q185" s="89" t="e">
        <f t="shared" ca="1" si="25"/>
        <v>#N/A</v>
      </c>
      <c r="R185" s="22" t="e">
        <f t="shared" ca="1" si="26"/>
        <v>#N/A</v>
      </c>
      <c r="S185" s="89" t="e">
        <f t="shared" ca="1" si="27"/>
        <v>#N/A</v>
      </c>
      <c r="T185" s="22" t="e">
        <f t="shared" ca="1" si="28"/>
        <v>#N/A</v>
      </c>
      <c r="U185" s="89" t="e">
        <f t="shared" ca="1" si="29"/>
        <v>#N/A</v>
      </c>
      <c r="V185" s="22" t="e">
        <f t="shared" ca="1" si="30"/>
        <v>#N/A</v>
      </c>
      <c r="AM185" t="e">
        <f t="shared" si="31"/>
        <v>#N/A</v>
      </c>
      <c r="AN185" t="e">
        <f t="shared" ca="1" si="32"/>
        <v>#N/A</v>
      </c>
    </row>
    <row r="186" spans="1:40" x14ac:dyDescent="0.3">
      <c r="A186" s="87">
        <v>185</v>
      </c>
      <c r="B186" t="str">
        <f>IFERROR(INDEX('Mock Database'!$D$3:$D$152,MATCH($A186,'Mock Database'!$C$3:$C$152,0)),"")</f>
        <v/>
      </c>
      <c r="C186" s="88" t="str">
        <f>IFERROR(INDEX('Mock Database'!$I$3:$I$152,MATCH($A186,'Mock Database'!$C$3:$C$152,0)),"")</f>
        <v/>
      </c>
      <c r="D186" s="89" t="str">
        <f ca="1">IF(ISNA(MATCH($A186,'Mock Database'!$C$3:$C$152,0)),"",IF(ISBLANK(OFFSET('Mock Database'!$M$2,MATCH($A186,'Mock Database'!$C$3:$C$152,0),0)),"",INDEX('Mock Database'!$M$3:$M$152,MATCH($A186,'Mock Database'!$C$3:$C$152,0))))</f>
        <v/>
      </c>
      <c r="E186" s="22" t="str">
        <f ca="1">IF(ISNA(MATCH($A186,'Mock Database'!$C$3:$C$152,0)),"",IF(ISBLANK(OFFSET('Mock Database'!$N$2,MATCH($A186,'Mock Database'!$C$3:$C$152,0),0)),"",INDEX('Mock Database'!$N$3:$N$152,MATCH($A186,'Mock Database'!$C$3:$C$152,0))))</f>
        <v/>
      </c>
      <c r="F186" s="89" t="str">
        <f ca="1">IF(ISNA(MATCH($A186,'Mock Database'!$C$3:$C$152,0)),"",IF(ISBLANK(OFFSET('Mock Database'!$S$2,MATCH($A186,'Mock Database'!$C$3:$C$152,0),0)),"",INDEX('Mock Database'!$S$3:$S$152,MATCH($A186,'Mock Database'!$C$3:$C$152,0))))</f>
        <v/>
      </c>
      <c r="G186" s="22" t="str">
        <f ca="1">IF(ISNA(MATCH($A186,'Mock Database'!$C$3:$C$152,0)),"",IF(ISBLANK(OFFSET('Mock Database'!$T$2,MATCH($A186,'Mock Database'!$C$3:$C$152,0),0)),"",INDEX('Mock Database'!$T$3:$T$152,MATCH($A186,'Mock Database'!$C$3:$C$152,0))))</f>
        <v/>
      </c>
      <c r="H186" s="89" t="str">
        <f ca="1">IF(ISNA(MATCH($A186,'Mock Database'!$C$3:$C$152,0)),"",IF(ISBLANK(OFFSET('Mock Database'!$Y$2,MATCH($A186,'Mock Database'!$C$3:$C$152,0),0)),"",INDEX('Mock Database'!$Y$3:$Y$152,MATCH($A186,'Mock Database'!$C$3:$C$152,0))))</f>
        <v/>
      </c>
      <c r="I186" s="22" t="str">
        <f ca="1">IF(ISNA(MATCH($A186,'Mock Database'!$C$3:$C$152,0)),"",IF(ISBLANK(OFFSET('Mock Database'!$Z$2,MATCH($A186,'Mock Database'!$C$3:$C$152,0),0)),"",INDEX('Mock Database'!$Z$3:$Z$152,MATCH($A186,'Mock Database'!$C$3:$C$152,0))))</f>
        <v/>
      </c>
      <c r="J186" s="89" t="str">
        <f ca="1">IF(ISNA(MATCH($A186,'Mock Database'!$C$3:$C$152,0)),"",IF(ISBLANK(OFFSET('Mock Database'!$AE$2,MATCH($A186,'Mock Database'!$C$3:$C$152,0),0)),"",INDEX('Mock Database'!$AE$3:$AE$152,MATCH($A186,'Mock Database'!$C$3:$C$152,0))))</f>
        <v/>
      </c>
      <c r="K186" s="22" t="str">
        <f ca="1">IF(ISNA(MATCH($A186,'Mock Database'!$C$3:$C$152,0)),"",IF(ISBLANK(OFFSET('Mock Database'!$AF$2,MATCH($A186,'Mock Database'!$C$3:$C$152,0),0)),"",INDEX('Mock Database'!$AF$3:$AF$152,MATCH($A186,'Mock Database'!$C$3:$C$152,0))))</f>
        <v/>
      </c>
      <c r="N186" t="e">
        <f t="shared" si="22"/>
        <v>#N/A</v>
      </c>
      <c r="O186" s="89" t="e">
        <f t="shared" ca="1" si="23"/>
        <v>#N/A</v>
      </c>
      <c r="P186" s="22" t="e">
        <f t="shared" ca="1" si="24"/>
        <v>#N/A</v>
      </c>
      <c r="Q186" s="89" t="e">
        <f t="shared" ca="1" si="25"/>
        <v>#N/A</v>
      </c>
      <c r="R186" s="22" t="e">
        <f t="shared" ca="1" si="26"/>
        <v>#N/A</v>
      </c>
      <c r="S186" s="89" t="e">
        <f t="shared" ca="1" si="27"/>
        <v>#N/A</v>
      </c>
      <c r="T186" s="22" t="e">
        <f t="shared" ca="1" si="28"/>
        <v>#N/A</v>
      </c>
      <c r="U186" s="89" t="e">
        <f t="shared" ca="1" si="29"/>
        <v>#N/A</v>
      </c>
      <c r="V186" s="22" t="e">
        <f t="shared" ca="1" si="30"/>
        <v>#N/A</v>
      </c>
      <c r="AM186" t="e">
        <f t="shared" si="31"/>
        <v>#N/A</v>
      </c>
      <c r="AN186" t="e">
        <f t="shared" ca="1" si="32"/>
        <v>#N/A</v>
      </c>
    </row>
    <row r="187" spans="1:40" x14ac:dyDescent="0.3">
      <c r="A187" s="87">
        <v>186</v>
      </c>
      <c r="B187" t="str">
        <f>IFERROR(INDEX('Mock Database'!$D$3:$D$152,MATCH($A187,'Mock Database'!$C$3:$C$152,0)),"")</f>
        <v/>
      </c>
      <c r="C187" s="88" t="str">
        <f>IFERROR(INDEX('Mock Database'!$I$3:$I$152,MATCH($A187,'Mock Database'!$C$3:$C$152,0)),"")</f>
        <v/>
      </c>
      <c r="D187" s="89" t="str">
        <f ca="1">IF(ISNA(MATCH($A187,'Mock Database'!$C$3:$C$152,0)),"",IF(ISBLANK(OFFSET('Mock Database'!$M$2,MATCH($A187,'Mock Database'!$C$3:$C$152,0),0)),"",INDEX('Mock Database'!$M$3:$M$152,MATCH($A187,'Mock Database'!$C$3:$C$152,0))))</f>
        <v/>
      </c>
      <c r="E187" s="22" t="str">
        <f ca="1">IF(ISNA(MATCH($A187,'Mock Database'!$C$3:$C$152,0)),"",IF(ISBLANK(OFFSET('Mock Database'!$N$2,MATCH($A187,'Mock Database'!$C$3:$C$152,0),0)),"",INDEX('Mock Database'!$N$3:$N$152,MATCH($A187,'Mock Database'!$C$3:$C$152,0))))</f>
        <v/>
      </c>
      <c r="F187" s="89" t="str">
        <f ca="1">IF(ISNA(MATCH($A187,'Mock Database'!$C$3:$C$152,0)),"",IF(ISBLANK(OFFSET('Mock Database'!$S$2,MATCH($A187,'Mock Database'!$C$3:$C$152,0),0)),"",INDEX('Mock Database'!$S$3:$S$152,MATCH($A187,'Mock Database'!$C$3:$C$152,0))))</f>
        <v/>
      </c>
      <c r="G187" s="22" t="str">
        <f ca="1">IF(ISNA(MATCH($A187,'Mock Database'!$C$3:$C$152,0)),"",IF(ISBLANK(OFFSET('Mock Database'!$T$2,MATCH($A187,'Mock Database'!$C$3:$C$152,0),0)),"",INDEX('Mock Database'!$T$3:$T$152,MATCH($A187,'Mock Database'!$C$3:$C$152,0))))</f>
        <v/>
      </c>
      <c r="H187" s="89" t="str">
        <f ca="1">IF(ISNA(MATCH($A187,'Mock Database'!$C$3:$C$152,0)),"",IF(ISBLANK(OFFSET('Mock Database'!$Y$2,MATCH($A187,'Mock Database'!$C$3:$C$152,0),0)),"",INDEX('Mock Database'!$Y$3:$Y$152,MATCH($A187,'Mock Database'!$C$3:$C$152,0))))</f>
        <v/>
      </c>
      <c r="I187" s="22" t="str">
        <f ca="1">IF(ISNA(MATCH($A187,'Mock Database'!$C$3:$C$152,0)),"",IF(ISBLANK(OFFSET('Mock Database'!$Z$2,MATCH($A187,'Mock Database'!$C$3:$C$152,0),0)),"",INDEX('Mock Database'!$Z$3:$Z$152,MATCH($A187,'Mock Database'!$C$3:$C$152,0))))</f>
        <v/>
      </c>
      <c r="J187" s="89" t="str">
        <f ca="1">IF(ISNA(MATCH($A187,'Mock Database'!$C$3:$C$152,0)),"",IF(ISBLANK(OFFSET('Mock Database'!$AE$2,MATCH($A187,'Mock Database'!$C$3:$C$152,0),0)),"",INDEX('Mock Database'!$AE$3:$AE$152,MATCH($A187,'Mock Database'!$C$3:$C$152,0))))</f>
        <v/>
      </c>
      <c r="K187" s="22" t="str">
        <f ca="1">IF(ISNA(MATCH($A187,'Mock Database'!$C$3:$C$152,0)),"",IF(ISBLANK(OFFSET('Mock Database'!$AF$2,MATCH($A187,'Mock Database'!$C$3:$C$152,0),0)),"",INDEX('Mock Database'!$AF$3:$AF$152,MATCH($A187,'Mock Database'!$C$3:$C$152,0))))</f>
        <v/>
      </c>
      <c r="N187" t="e">
        <f t="shared" si="22"/>
        <v>#N/A</v>
      </c>
      <c r="O187" s="89" t="e">
        <f t="shared" ca="1" si="23"/>
        <v>#N/A</v>
      </c>
      <c r="P187" s="22" t="e">
        <f t="shared" ca="1" si="24"/>
        <v>#N/A</v>
      </c>
      <c r="Q187" s="89" t="e">
        <f t="shared" ca="1" si="25"/>
        <v>#N/A</v>
      </c>
      <c r="R187" s="22" t="e">
        <f t="shared" ca="1" si="26"/>
        <v>#N/A</v>
      </c>
      <c r="S187" s="89" t="e">
        <f t="shared" ca="1" si="27"/>
        <v>#N/A</v>
      </c>
      <c r="T187" s="22" t="e">
        <f t="shared" ca="1" si="28"/>
        <v>#N/A</v>
      </c>
      <c r="U187" s="89" t="e">
        <f t="shared" ca="1" si="29"/>
        <v>#N/A</v>
      </c>
      <c r="V187" s="22" t="e">
        <f t="shared" ca="1" si="30"/>
        <v>#N/A</v>
      </c>
      <c r="AM187" t="e">
        <f t="shared" si="31"/>
        <v>#N/A</v>
      </c>
      <c r="AN187" t="e">
        <f t="shared" ca="1" si="32"/>
        <v>#N/A</v>
      </c>
    </row>
    <row r="188" spans="1:40" x14ac:dyDescent="0.3">
      <c r="A188" s="87">
        <v>187</v>
      </c>
      <c r="B188" t="str">
        <f>IFERROR(INDEX('Mock Database'!$D$3:$D$152,MATCH($A188,'Mock Database'!$C$3:$C$152,0)),"")</f>
        <v/>
      </c>
      <c r="C188" s="88" t="str">
        <f>IFERROR(INDEX('Mock Database'!$I$3:$I$152,MATCH($A188,'Mock Database'!$C$3:$C$152,0)),"")</f>
        <v/>
      </c>
      <c r="D188" s="89" t="str">
        <f ca="1">IF(ISNA(MATCH($A188,'Mock Database'!$C$3:$C$152,0)),"",IF(ISBLANK(OFFSET('Mock Database'!$M$2,MATCH($A188,'Mock Database'!$C$3:$C$152,0),0)),"",INDEX('Mock Database'!$M$3:$M$152,MATCH($A188,'Mock Database'!$C$3:$C$152,0))))</f>
        <v/>
      </c>
      <c r="E188" s="22" t="str">
        <f ca="1">IF(ISNA(MATCH($A188,'Mock Database'!$C$3:$C$152,0)),"",IF(ISBLANK(OFFSET('Mock Database'!$N$2,MATCH($A188,'Mock Database'!$C$3:$C$152,0),0)),"",INDEX('Mock Database'!$N$3:$N$152,MATCH($A188,'Mock Database'!$C$3:$C$152,0))))</f>
        <v/>
      </c>
      <c r="F188" s="89" t="str">
        <f ca="1">IF(ISNA(MATCH($A188,'Mock Database'!$C$3:$C$152,0)),"",IF(ISBLANK(OFFSET('Mock Database'!$S$2,MATCH($A188,'Mock Database'!$C$3:$C$152,0),0)),"",INDEX('Mock Database'!$S$3:$S$152,MATCH($A188,'Mock Database'!$C$3:$C$152,0))))</f>
        <v/>
      </c>
      <c r="G188" s="22" t="str">
        <f ca="1">IF(ISNA(MATCH($A188,'Mock Database'!$C$3:$C$152,0)),"",IF(ISBLANK(OFFSET('Mock Database'!$T$2,MATCH($A188,'Mock Database'!$C$3:$C$152,0),0)),"",INDEX('Mock Database'!$T$3:$T$152,MATCH($A188,'Mock Database'!$C$3:$C$152,0))))</f>
        <v/>
      </c>
      <c r="H188" s="89" t="str">
        <f ca="1">IF(ISNA(MATCH($A188,'Mock Database'!$C$3:$C$152,0)),"",IF(ISBLANK(OFFSET('Mock Database'!$Y$2,MATCH($A188,'Mock Database'!$C$3:$C$152,0),0)),"",INDEX('Mock Database'!$Y$3:$Y$152,MATCH($A188,'Mock Database'!$C$3:$C$152,0))))</f>
        <v/>
      </c>
      <c r="I188" s="22" t="str">
        <f ca="1">IF(ISNA(MATCH($A188,'Mock Database'!$C$3:$C$152,0)),"",IF(ISBLANK(OFFSET('Mock Database'!$Z$2,MATCH($A188,'Mock Database'!$C$3:$C$152,0),0)),"",INDEX('Mock Database'!$Z$3:$Z$152,MATCH($A188,'Mock Database'!$C$3:$C$152,0))))</f>
        <v/>
      </c>
      <c r="J188" s="89" t="str">
        <f ca="1">IF(ISNA(MATCH($A188,'Mock Database'!$C$3:$C$152,0)),"",IF(ISBLANK(OFFSET('Mock Database'!$AE$2,MATCH($A188,'Mock Database'!$C$3:$C$152,0),0)),"",INDEX('Mock Database'!$AE$3:$AE$152,MATCH($A188,'Mock Database'!$C$3:$C$152,0))))</f>
        <v/>
      </c>
      <c r="K188" s="22" t="str">
        <f ca="1">IF(ISNA(MATCH($A188,'Mock Database'!$C$3:$C$152,0)),"",IF(ISBLANK(OFFSET('Mock Database'!$AF$2,MATCH($A188,'Mock Database'!$C$3:$C$152,0),0)),"",INDEX('Mock Database'!$AF$3:$AF$152,MATCH($A188,'Mock Database'!$C$3:$C$152,0))))</f>
        <v/>
      </c>
      <c r="N188" t="e">
        <f t="shared" si="22"/>
        <v>#N/A</v>
      </c>
      <c r="O188" s="89" t="e">
        <f t="shared" ca="1" si="23"/>
        <v>#N/A</v>
      </c>
      <c r="P188" s="22" t="e">
        <f t="shared" ca="1" si="24"/>
        <v>#N/A</v>
      </c>
      <c r="Q188" s="89" t="e">
        <f t="shared" ca="1" si="25"/>
        <v>#N/A</v>
      </c>
      <c r="R188" s="22" t="e">
        <f t="shared" ca="1" si="26"/>
        <v>#N/A</v>
      </c>
      <c r="S188" s="89" t="e">
        <f t="shared" ca="1" si="27"/>
        <v>#N/A</v>
      </c>
      <c r="T188" s="22" t="e">
        <f t="shared" ca="1" si="28"/>
        <v>#N/A</v>
      </c>
      <c r="U188" s="89" t="e">
        <f t="shared" ca="1" si="29"/>
        <v>#N/A</v>
      </c>
      <c r="V188" s="22" t="e">
        <f t="shared" ca="1" si="30"/>
        <v>#N/A</v>
      </c>
      <c r="AM188" t="e">
        <f t="shared" si="31"/>
        <v>#N/A</v>
      </c>
      <c r="AN188" t="e">
        <f t="shared" ca="1" si="32"/>
        <v>#N/A</v>
      </c>
    </row>
    <row r="189" spans="1:40" x14ac:dyDescent="0.3">
      <c r="A189" s="87">
        <v>188</v>
      </c>
      <c r="B189" t="str">
        <f>IFERROR(INDEX('Mock Database'!$D$3:$D$152,MATCH($A189,'Mock Database'!$C$3:$C$152,0)),"")</f>
        <v/>
      </c>
      <c r="C189" s="88" t="str">
        <f>IFERROR(INDEX('Mock Database'!$I$3:$I$152,MATCH($A189,'Mock Database'!$C$3:$C$152,0)),"")</f>
        <v/>
      </c>
      <c r="D189" s="89" t="str">
        <f ca="1">IF(ISNA(MATCH($A189,'Mock Database'!$C$3:$C$152,0)),"",IF(ISBLANK(OFFSET('Mock Database'!$M$2,MATCH($A189,'Mock Database'!$C$3:$C$152,0),0)),"",INDEX('Mock Database'!$M$3:$M$152,MATCH($A189,'Mock Database'!$C$3:$C$152,0))))</f>
        <v/>
      </c>
      <c r="E189" s="22" t="str">
        <f ca="1">IF(ISNA(MATCH($A189,'Mock Database'!$C$3:$C$152,0)),"",IF(ISBLANK(OFFSET('Mock Database'!$N$2,MATCH($A189,'Mock Database'!$C$3:$C$152,0),0)),"",INDEX('Mock Database'!$N$3:$N$152,MATCH($A189,'Mock Database'!$C$3:$C$152,0))))</f>
        <v/>
      </c>
      <c r="F189" s="89" t="str">
        <f ca="1">IF(ISNA(MATCH($A189,'Mock Database'!$C$3:$C$152,0)),"",IF(ISBLANK(OFFSET('Mock Database'!$S$2,MATCH($A189,'Mock Database'!$C$3:$C$152,0),0)),"",INDEX('Mock Database'!$S$3:$S$152,MATCH($A189,'Mock Database'!$C$3:$C$152,0))))</f>
        <v/>
      </c>
      <c r="G189" s="22" t="str">
        <f ca="1">IF(ISNA(MATCH($A189,'Mock Database'!$C$3:$C$152,0)),"",IF(ISBLANK(OFFSET('Mock Database'!$T$2,MATCH($A189,'Mock Database'!$C$3:$C$152,0),0)),"",INDEX('Mock Database'!$T$3:$T$152,MATCH($A189,'Mock Database'!$C$3:$C$152,0))))</f>
        <v/>
      </c>
      <c r="H189" s="89" t="str">
        <f ca="1">IF(ISNA(MATCH($A189,'Mock Database'!$C$3:$C$152,0)),"",IF(ISBLANK(OFFSET('Mock Database'!$Y$2,MATCH($A189,'Mock Database'!$C$3:$C$152,0),0)),"",INDEX('Mock Database'!$Y$3:$Y$152,MATCH($A189,'Mock Database'!$C$3:$C$152,0))))</f>
        <v/>
      </c>
      <c r="I189" s="22" t="str">
        <f ca="1">IF(ISNA(MATCH($A189,'Mock Database'!$C$3:$C$152,0)),"",IF(ISBLANK(OFFSET('Mock Database'!$Z$2,MATCH($A189,'Mock Database'!$C$3:$C$152,0),0)),"",INDEX('Mock Database'!$Z$3:$Z$152,MATCH($A189,'Mock Database'!$C$3:$C$152,0))))</f>
        <v/>
      </c>
      <c r="J189" s="89" t="str">
        <f ca="1">IF(ISNA(MATCH($A189,'Mock Database'!$C$3:$C$152,0)),"",IF(ISBLANK(OFFSET('Mock Database'!$AE$2,MATCH($A189,'Mock Database'!$C$3:$C$152,0),0)),"",INDEX('Mock Database'!$AE$3:$AE$152,MATCH($A189,'Mock Database'!$C$3:$C$152,0))))</f>
        <v/>
      </c>
      <c r="K189" s="22" t="str">
        <f ca="1">IF(ISNA(MATCH($A189,'Mock Database'!$C$3:$C$152,0)),"",IF(ISBLANK(OFFSET('Mock Database'!$AF$2,MATCH($A189,'Mock Database'!$C$3:$C$152,0),0)),"",INDEX('Mock Database'!$AF$3:$AF$152,MATCH($A189,'Mock Database'!$C$3:$C$152,0))))</f>
        <v/>
      </c>
      <c r="N189" t="e">
        <f t="shared" si="22"/>
        <v>#N/A</v>
      </c>
      <c r="O189" s="89" t="e">
        <f t="shared" ca="1" si="23"/>
        <v>#N/A</v>
      </c>
      <c r="P189" s="22" t="e">
        <f t="shared" ca="1" si="24"/>
        <v>#N/A</v>
      </c>
      <c r="Q189" s="89" t="e">
        <f t="shared" ca="1" si="25"/>
        <v>#N/A</v>
      </c>
      <c r="R189" s="22" t="e">
        <f t="shared" ca="1" si="26"/>
        <v>#N/A</v>
      </c>
      <c r="S189" s="89" t="e">
        <f t="shared" ca="1" si="27"/>
        <v>#N/A</v>
      </c>
      <c r="T189" s="22" t="e">
        <f t="shared" ca="1" si="28"/>
        <v>#N/A</v>
      </c>
      <c r="U189" s="89" t="e">
        <f t="shared" ca="1" si="29"/>
        <v>#N/A</v>
      </c>
      <c r="V189" s="22" t="e">
        <f t="shared" ca="1" si="30"/>
        <v>#N/A</v>
      </c>
      <c r="AM189" t="e">
        <f t="shared" si="31"/>
        <v>#N/A</v>
      </c>
      <c r="AN189" t="e">
        <f t="shared" ca="1" si="32"/>
        <v>#N/A</v>
      </c>
    </row>
    <row r="190" spans="1:40" x14ac:dyDescent="0.3">
      <c r="A190" s="87">
        <v>189</v>
      </c>
      <c r="B190" t="str">
        <f>IFERROR(INDEX('Mock Database'!$D$3:$D$152,MATCH($A190,'Mock Database'!$C$3:$C$152,0)),"")</f>
        <v/>
      </c>
      <c r="C190" s="88" t="str">
        <f>IFERROR(INDEX('Mock Database'!$I$3:$I$152,MATCH($A190,'Mock Database'!$C$3:$C$152,0)),"")</f>
        <v/>
      </c>
      <c r="D190" s="89" t="str">
        <f ca="1">IF(ISNA(MATCH($A190,'Mock Database'!$C$3:$C$152,0)),"",IF(ISBLANK(OFFSET('Mock Database'!$M$2,MATCH($A190,'Mock Database'!$C$3:$C$152,0),0)),"",INDEX('Mock Database'!$M$3:$M$152,MATCH($A190,'Mock Database'!$C$3:$C$152,0))))</f>
        <v/>
      </c>
      <c r="E190" s="22" t="str">
        <f ca="1">IF(ISNA(MATCH($A190,'Mock Database'!$C$3:$C$152,0)),"",IF(ISBLANK(OFFSET('Mock Database'!$N$2,MATCH($A190,'Mock Database'!$C$3:$C$152,0),0)),"",INDEX('Mock Database'!$N$3:$N$152,MATCH($A190,'Mock Database'!$C$3:$C$152,0))))</f>
        <v/>
      </c>
      <c r="F190" s="89" t="str">
        <f ca="1">IF(ISNA(MATCH($A190,'Mock Database'!$C$3:$C$152,0)),"",IF(ISBLANK(OFFSET('Mock Database'!$S$2,MATCH($A190,'Mock Database'!$C$3:$C$152,0),0)),"",INDEX('Mock Database'!$S$3:$S$152,MATCH($A190,'Mock Database'!$C$3:$C$152,0))))</f>
        <v/>
      </c>
      <c r="G190" s="22" t="str">
        <f ca="1">IF(ISNA(MATCH($A190,'Mock Database'!$C$3:$C$152,0)),"",IF(ISBLANK(OFFSET('Mock Database'!$T$2,MATCH($A190,'Mock Database'!$C$3:$C$152,0),0)),"",INDEX('Mock Database'!$T$3:$T$152,MATCH($A190,'Mock Database'!$C$3:$C$152,0))))</f>
        <v/>
      </c>
      <c r="H190" s="89" t="str">
        <f ca="1">IF(ISNA(MATCH($A190,'Mock Database'!$C$3:$C$152,0)),"",IF(ISBLANK(OFFSET('Mock Database'!$Y$2,MATCH($A190,'Mock Database'!$C$3:$C$152,0),0)),"",INDEX('Mock Database'!$Y$3:$Y$152,MATCH($A190,'Mock Database'!$C$3:$C$152,0))))</f>
        <v/>
      </c>
      <c r="I190" s="22" t="str">
        <f ca="1">IF(ISNA(MATCH($A190,'Mock Database'!$C$3:$C$152,0)),"",IF(ISBLANK(OFFSET('Mock Database'!$Z$2,MATCH($A190,'Mock Database'!$C$3:$C$152,0),0)),"",INDEX('Mock Database'!$Z$3:$Z$152,MATCH($A190,'Mock Database'!$C$3:$C$152,0))))</f>
        <v/>
      </c>
      <c r="J190" s="89" t="str">
        <f ca="1">IF(ISNA(MATCH($A190,'Mock Database'!$C$3:$C$152,0)),"",IF(ISBLANK(OFFSET('Mock Database'!$AE$2,MATCH($A190,'Mock Database'!$C$3:$C$152,0),0)),"",INDEX('Mock Database'!$AE$3:$AE$152,MATCH($A190,'Mock Database'!$C$3:$C$152,0))))</f>
        <v/>
      </c>
      <c r="K190" s="22" t="str">
        <f ca="1">IF(ISNA(MATCH($A190,'Mock Database'!$C$3:$C$152,0)),"",IF(ISBLANK(OFFSET('Mock Database'!$AF$2,MATCH($A190,'Mock Database'!$C$3:$C$152,0),0)),"",INDEX('Mock Database'!$AF$3:$AF$152,MATCH($A190,'Mock Database'!$C$3:$C$152,0))))</f>
        <v/>
      </c>
      <c r="N190" t="e">
        <f t="shared" si="22"/>
        <v>#N/A</v>
      </c>
      <c r="O190" s="89" t="e">
        <f t="shared" ca="1" si="23"/>
        <v>#N/A</v>
      </c>
      <c r="P190" s="22" t="e">
        <f t="shared" ca="1" si="24"/>
        <v>#N/A</v>
      </c>
      <c r="Q190" s="89" t="e">
        <f t="shared" ca="1" si="25"/>
        <v>#N/A</v>
      </c>
      <c r="R190" s="22" t="e">
        <f t="shared" ca="1" si="26"/>
        <v>#N/A</v>
      </c>
      <c r="S190" s="89" t="e">
        <f t="shared" ca="1" si="27"/>
        <v>#N/A</v>
      </c>
      <c r="T190" s="22" t="e">
        <f t="shared" ca="1" si="28"/>
        <v>#N/A</v>
      </c>
      <c r="U190" s="89" t="e">
        <f t="shared" ca="1" si="29"/>
        <v>#N/A</v>
      </c>
      <c r="V190" s="22" t="e">
        <f t="shared" ca="1" si="30"/>
        <v>#N/A</v>
      </c>
      <c r="AM190" t="e">
        <f t="shared" si="31"/>
        <v>#N/A</v>
      </c>
      <c r="AN190" t="e">
        <f t="shared" ca="1" si="32"/>
        <v>#N/A</v>
      </c>
    </row>
    <row r="191" spans="1:40" x14ac:dyDescent="0.3">
      <c r="A191" s="87">
        <v>190</v>
      </c>
      <c r="B191" t="str">
        <f>IFERROR(INDEX('Mock Database'!$D$3:$D$152,MATCH($A191,'Mock Database'!$C$3:$C$152,0)),"")</f>
        <v/>
      </c>
      <c r="C191" s="88" t="str">
        <f>IFERROR(INDEX('Mock Database'!$I$3:$I$152,MATCH($A191,'Mock Database'!$C$3:$C$152,0)),"")</f>
        <v/>
      </c>
      <c r="D191" s="89" t="str">
        <f ca="1">IF(ISNA(MATCH($A191,'Mock Database'!$C$3:$C$152,0)),"",IF(ISBLANK(OFFSET('Mock Database'!$M$2,MATCH($A191,'Mock Database'!$C$3:$C$152,0),0)),"",INDEX('Mock Database'!$M$3:$M$152,MATCH($A191,'Mock Database'!$C$3:$C$152,0))))</f>
        <v/>
      </c>
      <c r="E191" s="22" t="str">
        <f ca="1">IF(ISNA(MATCH($A191,'Mock Database'!$C$3:$C$152,0)),"",IF(ISBLANK(OFFSET('Mock Database'!$N$2,MATCH($A191,'Mock Database'!$C$3:$C$152,0),0)),"",INDEX('Mock Database'!$N$3:$N$152,MATCH($A191,'Mock Database'!$C$3:$C$152,0))))</f>
        <v/>
      </c>
      <c r="F191" s="89" t="str">
        <f ca="1">IF(ISNA(MATCH($A191,'Mock Database'!$C$3:$C$152,0)),"",IF(ISBLANK(OFFSET('Mock Database'!$S$2,MATCH($A191,'Mock Database'!$C$3:$C$152,0),0)),"",INDEX('Mock Database'!$S$3:$S$152,MATCH($A191,'Mock Database'!$C$3:$C$152,0))))</f>
        <v/>
      </c>
      <c r="G191" s="22" t="str">
        <f ca="1">IF(ISNA(MATCH($A191,'Mock Database'!$C$3:$C$152,0)),"",IF(ISBLANK(OFFSET('Mock Database'!$T$2,MATCH($A191,'Mock Database'!$C$3:$C$152,0),0)),"",INDEX('Mock Database'!$T$3:$T$152,MATCH($A191,'Mock Database'!$C$3:$C$152,0))))</f>
        <v/>
      </c>
      <c r="H191" s="89" t="str">
        <f ca="1">IF(ISNA(MATCH($A191,'Mock Database'!$C$3:$C$152,0)),"",IF(ISBLANK(OFFSET('Mock Database'!$Y$2,MATCH($A191,'Mock Database'!$C$3:$C$152,0),0)),"",INDEX('Mock Database'!$Y$3:$Y$152,MATCH($A191,'Mock Database'!$C$3:$C$152,0))))</f>
        <v/>
      </c>
      <c r="I191" s="22" t="str">
        <f ca="1">IF(ISNA(MATCH($A191,'Mock Database'!$C$3:$C$152,0)),"",IF(ISBLANK(OFFSET('Mock Database'!$Z$2,MATCH($A191,'Mock Database'!$C$3:$C$152,0),0)),"",INDEX('Mock Database'!$Z$3:$Z$152,MATCH($A191,'Mock Database'!$C$3:$C$152,0))))</f>
        <v/>
      </c>
      <c r="J191" s="89" t="str">
        <f ca="1">IF(ISNA(MATCH($A191,'Mock Database'!$C$3:$C$152,0)),"",IF(ISBLANK(OFFSET('Mock Database'!$AE$2,MATCH($A191,'Mock Database'!$C$3:$C$152,0),0)),"",INDEX('Mock Database'!$AE$3:$AE$152,MATCH($A191,'Mock Database'!$C$3:$C$152,0))))</f>
        <v/>
      </c>
      <c r="K191" s="22" t="str">
        <f ca="1">IF(ISNA(MATCH($A191,'Mock Database'!$C$3:$C$152,0)),"",IF(ISBLANK(OFFSET('Mock Database'!$AF$2,MATCH($A191,'Mock Database'!$C$3:$C$152,0),0)),"",INDEX('Mock Database'!$AF$3:$AF$152,MATCH($A191,'Mock Database'!$C$3:$C$152,0))))</f>
        <v/>
      </c>
      <c r="N191" t="e">
        <f t="shared" si="22"/>
        <v>#N/A</v>
      </c>
      <c r="O191" s="89" t="e">
        <f t="shared" ca="1" si="23"/>
        <v>#N/A</v>
      </c>
      <c r="P191" s="22" t="e">
        <f t="shared" ca="1" si="24"/>
        <v>#N/A</v>
      </c>
      <c r="Q191" s="89" t="e">
        <f t="shared" ca="1" si="25"/>
        <v>#N/A</v>
      </c>
      <c r="R191" s="22" t="e">
        <f t="shared" ca="1" si="26"/>
        <v>#N/A</v>
      </c>
      <c r="S191" s="89" t="e">
        <f t="shared" ca="1" si="27"/>
        <v>#N/A</v>
      </c>
      <c r="T191" s="22" t="e">
        <f t="shared" ca="1" si="28"/>
        <v>#N/A</v>
      </c>
      <c r="U191" s="89" t="e">
        <f t="shared" ca="1" si="29"/>
        <v>#N/A</v>
      </c>
      <c r="V191" s="22" t="e">
        <f t="shared" ca="1" si="30"/>
        <v>#N/A</v>
      </c>
      <c r="AM191" t="e">
        <f t="shared" si="31"/>
        <v>#N/A</v>
      </c>
      <c r="AN191" t="e">
        <f t="shared" ca="1" si="32"/>
        <v>#N/A</v>
      </c>
    </row>
    <row r="192" spans="1:40" x14ac:dyDescent="0.3">
      <c r="A192" s="87">
        <v>191</v>
      </c>
      <c r="B192" t="str">
        <f>IFERROR(INDEX('Mock Database'!$D$3:$D$152,MATCH($A192,'Mock Database'!$C$3:$C$152,0)),"")</f>
        <v/>
      </c>
      <c r="C192" s="88" t="str">
        <f>IFERROR(INDEX('Mock Database'!$I$3:$I$152,MATCH($A192,'Mock Database'!$C$3:$C$152,0)),"")</f>
        <v/>
      </c>
      <c r="D192" s="89" t="str">
        <f ca="1">IF(ISNA(MATCH($A192,'Mock Database'!$C$3:$C$152,0)),"",IF(ISBLANK(OFFSET('Mock Database'!$M$2,MATCH($A192,'Mock Database'!$C$3:$C$152,0),0)),"",INDEX('Mock Database'!$M$3:$M$152,MATCH($A192,'Mock Database'!$C$3:$C$152,0))))</f>
        <v/>
      </c>
      <c r="E192" s="22" t="str">
        <f ca="1">IF(ISNA(MATCH($A192,'Mock Database'!$C$3:$C$152,0)),"",IF(ISBLANK(OFFSET('Mock Database'!$N$2,MATCH($A192,'Mock Database'!$C$3:$C$152,0),0)),"",INDEX('Mock Database'!$N$3:$N$152,MATCH($A192,'Mock Database'!$C$3:$C$152,0))))</f>
        <v/>
      </c>
      <c r="F192" s="89" t="str">
        <f ca="1">IF(ISNA(MATCH($A192,'Mock Database'!$C$3:$C$152,0)),"",IF(ISBLANK(OFFSET('Mock Database'!$S$2,MATCH($A192,'Mock Database'!$C$3:$C$152,0),0)),"",INDEX('Mock Database'!$S$3:$S$152,MATCH($A192,'Mock Database'!$C$3:$C$152,0))))</f>
        <v/>
      </c>
      <c r="G192" s="22" t="str">
        <f ca="1">IF(ISNA(MATCH($A192,'Mock Database'!$C$3:$C$152,0)),"",IF(ISBLANK(OFFSET('Mock Database'!$T$2,MATCH($A192,'Mock Database'!$C$3:$C$152,0),0)),"",INDEX('Mock Database'!$T$3:$T$152,MATCH($A192,'Mock Database'!$C$3:$C$152,0))))</f>
        <v/>
      </c>
      <c r="H192" s="89" t="str">
        <f ca="1">IF(ISNA(MATCH($A192,'Mock Database'!$C$3:$C$152,0)),"",IF(ISBLANK(OFFSET('Mock Database'!$Y$2,MATCH($A192,'Mock Database'!$C$3:$C$152,0),0)),"",INDEX('Mock Database'!$Y$3:$Y$152,MATCH($A192,'Mock Database'!$C$3:$C$152,0))))</f>
        <v/>
      </c>
      <c r="I192" s="22" t="str">
        <f ca="1">IF(ISNA(MATCH($A192,'Mock Database'!$C$3:$C$152,0)),"",IF(ISBLANK(OFFSET('Mock Database'!$Z$2,MATCH($A192,'Mock Database'!$C$3:$C$152,0),0)),"",INDEX('Mock Database'!$Z$3:$Z$152,MATCH($A192,'Mock Database'!$C$3:$C$152,0))))</f>
        <v/>
      </c>
      <c r="J192" s="89" t="str">
        <f ca="1">IF(ISNA(MATCH($A192,'Mock Database'!$C$3:$C$152,0)),"",IF(ISBLANK(OFFSET('Mock Database'!$AE$2,MATCH($A192,'Mock Database'!$C$3:$C$152,0),0)),"",INDEX('Mock Database'!$AE$3:$AE$152,MATCH($A192,'Mock Database'!$C$3:$C$152,0))))</f>
        <v/>
      </c>
      <c r="K192" s="22" t="str">
        <f ca="1">IF(ISNA(MATCH($A192,'Mock Database'!$C$3:$C$152,0)),"",IF(ISBLANK(OFFSET('Mock Database'!$AF$2,MATCH($A192,'Mock Database'!$C$3:$C$152,0),0)),"",INDEX('Mock Database'!$AF$3:$AF$152,MATCH($A192,'Mock Database'!$C$3:$C$152,0))))</f>
        <v/>
      </c>
      <c r="N192" t="e">
        <f t="shared" si="22"/>
        <v>#N/A</v>
      </c>
      <c r="O192" s="89" t="e">
        <f t="shared" ca="1" si="23"/>
        <v>#N/A</v>
      </c>
      <c r="P192" s="22" t="e">
        <f t="shared" ca="1" si="24"/>
        <v>#N/A</v>
      </c>
      <c r="Q192" s="89" t="e">
        <f t="shared" ca="1" si="25"/>
        <v>#N/A</v>
      </c>
      <c r="R192" s="22" t="e">
        <f t="shared" ca="1" si="26"/>
        <v>#N/A</v>
      </c>
      <c r="S192" s="89" t="e">
        <f t="shared" ca="1" si="27"/>
        <v>#N/A</v>
      </c>
      <c r="T192" s="22" t="e">
        <f t="shared" ca="1" si="28"/>
        <v>#N/A</v>
      </c>
      <c r="U192" s="89" t="e">
        <f t="shared" ca="1" si="29"/>
        <v>#N/A</v>
      </c>
      <c r="V192" s="22" t="e">
        <f t="shared" ca="1" si="30"/>
        <v>#N/A</v>
      </c>
      <c r="AM192" t="e">
        <f t="shared" si="31"/>
        <v>#N/A</v>
      </c>
      <c r="AN192" t="e">
        <f t="shared" ca="1" si="32"/>
        <v>#N/A</v>
      </c>
    </row>
    <row r="193" spans="1:40" x14ac:dyDescent="0.3">
      <c r="A193" s="87">
        <v>192</v>
      </c>
      <c r="B193" t="str">
        <f>IFERROR(INDEX('Mock Database'!$D$3:$D$152,MATCH($A193,'Mock Database'!$C$3:$C$152,0)),"")</f>
        <v/>
      </c>
      <c r="C193" s="88" t="str">
        <f>IFERROR(INDEX('Mock Database'!$I$3:$I$152,MATCH($A193,'Mock Database'!$C$3:$C$152,0)),"")</f>
        <v/>
      </c>
      <c r="D193" s="89" t="str">
        <f ca="1">IF(ISNA(MATCH($A193,'Mock Database'!$C$3:$C$152,0)),"",IF(ISBLANK(OFFSET('Mock Database'!$M$2,MATCH($A193,'Mock Database'!$C$3:$C$152,0),0)),"",INDEX('Mock Database'!$M$3:$M$152,MATCH($A193,'Mock Database'!$C$3:$C$152,0))))</f>
        <v/>
      </c>
      <c r="E193" s="22" t="str">
        <f ca="1">IF(ISNA(MATCH($A193,'Mock Database'!$C$3:$C$152,0)),"",IF(ISBLANK(OFFSET('Mock Database'!$N$2,MATCH($A193,'Mock Database'!$C$3:$C$152,0),0)),"",INDEX('Mock Database'!$N$3:$N$152,MATCH($A193,'Mock Database'!$C$3:$C$152,0))))</f>
        <v/>
      </c>
      <c r="F193" s="89" t="str">
        <f ca="1">IF(ISNA(MATCH($A193,'Mock Database'!$C$3:$C$152,0)),"",IF(ISBLANK(OFFSET('Mock Database'!$S$2,MATCH($A193,'Mock Database'!$C$3:$C$152,0),0)),"",INDEX('Mock Database'!$S$3:$S$152,MATCH($A193,'Mock Database'!$C$3:$C$152,0))))</f>
        <v/>
      </c>
      <c r="G193" s="22" t="str">
        <f ca="1">IF(ISNA(MATCH($A193,'Mock Database'!$C$3:$C$152,0)),"",IF(ISBLANK(OFFSET('Mock Database'!$T$2,MATCH($A193,'Mock Database'!$C$3:$C$152,0),0)),"",INDEX('Mock Database'!$T$3:$T$152,MATCH($A193,'Mock Database'!$C$3:$C$152,0))))</f>
        <v/>
      </c>
      <c r="H193" s="89" t="str">
        <f ca="1">IF(ISNA(MATCH($A193,'Mock Database'!$C$3:$C$152,0)),"",IF(ISBLANK(OFFSET('Mock Database'!$Y$2,MATCH($A193,'Mock Database'!$C$3:$C$152,0),0)),"",INDEX('Mock Database'!$Y$3:$Y$152,MATCH($A193,'Mock Database'!$C$3:$C$152,0))))</f>
        <v/>
      </c>
      <c r="I193" s="22" t="str">
        <f ca="1">IF(ISNA(MATCH($A193,'Mock Database'!$C$3:$C$152,0)),"",IF(ISBLANK(OFFSET('Mock Database'!$Z$2,MATCH($A193,'Mock Database'!$C$3:$C$152,0),0)),"",INDEX('Mock Database'!$Z$3:$Z$152,MATCH($A193,'Mock Database'!$C$3:$C$152,0))))</f>
        <v/>
      </c>
      <c r="J193" s="89" t="str">
        <f ca="1">IF(ISNA(MATCH($A193,'Mock Database'!$C$3:$C$152,0)),"",IF(ISBLANK(OFFSET('Mock Database'!$AE$2,MATCH($A193,'Mock Database'!$C$3:$C$152,0),0)),"",INDEX('Mock Database'!$AE$3:$AE$152,MATCH($A193,'Mock Database'!$C$3:$C$152,0))))</f>
        <v/>
      </c>
      <c r="K193" s="22" t="str">
        <f ca="1">IF(ISNA(MATCH($A193,'Mock Database'!$C$3:$C$152,0)),"",IF(ISBLANK(OFFSET('Mock Database'!$AF$2,MATCH($A193,'Mock Database'!$C$3:$C$152,0),0)),"",INDEX('Mock Database'!$AF$3:$AF$152,MATCH($A193,'Mock Database'!$C$3:$C$152,0))))</f>
        <v/>
      </c>
      <c r="N193" t="e">
        <f t="shared" si="22"/>
        <v>#N/A</v>
      </c>
      <c r="O193" s="89" t="e">
        <f t="shared" ca="1" si="23"/>
        <v>#N/A</v>
      </c>
      <c r="P193" s="22" t="e">
        <f t="shared" ca="1" si="24"/>
        <v>#N/A</v>
      </c>
      <c r="Q193" s="89" t="e">
        <f t="shared" ca="1" si="25"/>
        <v>#N/A</v>
      </c>
      <c r="R193" s="22" t="e">
        <f t="shared" ca="1" si="26"/>
        <v>#N/A</v>
      </c>
      <c r="S193" s="89" t="e">
        <f t="shared" ca="1" si="27"/>
        <v>#N/A</v>
      </c>
      <c r="T193" s="22" t="e">
        <f t="shared" ca="1" si="28"/>
        <v>#N/A</v>
      </c>
      <c r="U193" s="89" t="e">
        <f t="shared" ca="1" si="29"/>
        <v>#N/A</v>
      </c>
      <c r="V193" s="22" t="e">
        <f t="shared" ca="1" si="30"/>
        <v>#N/A</v>
      </c>
      <c r="AM193" t="e">
        <f t="shared" si="31"/>
        <v>#N/A</v>
      </c>
      <c r="AN193" t="e">
        <f t="shared" ca="1" si="32"/>
        <v>#N/A</v>
      </c>
    </row>
    <row r="194" spans="1:40" x14ac:dyDescent="0.3">
      <c r="A194" s="87">
        <v>193</v>
      </c>
      <c r="B194" t="str">
        <f>IFERROR(INDEX('Mock Database'!$D$3:$D$152,MATCH($A194,'Mock Database'!$C$3:$C$152,0)),"")</f>
        <v/>
      </c>
      <c r="C194" s="88" t="str">
        <f>IFERROR(INDEX('Mock Database'!$I$3:$I$152,MATCH($A194,'Mock Database'!$C$3:$C$152,0)),"")</f>
        <v/>
      </c>
      <c r="D194" s="89" t="str">
        <f ca="1">IF(ISNA(MATCH($A194,'Mock Database'!$C$3:$C$152,0)),"",IF(ISBLANK(OFFSET('Mock Database'!$M$2,MATCH($A194,'Mock Database'!$C$3:$C$152,0),0)),"",INDEX('Mock Database'!$M$3:$M$152,MATCH($A194,'Mock Database'!$C$3:$C$152,0))))</f>
        <v/>
      </c>
      <c r="E194" s="22" t="str">
        <f ca="1">IF(ISNA(MATCH($A194,'Mock Database'!$C$3:$C$152,0)),"",IF(ISBLANK(OFFSET('Mock Database'!$N$2,MATCH($A194,'Mock Database'!$C$3:$C$152,0),0)),"",INDEX('Mock Database'!$N$3:$N$152,MATCH($A194,'Mock Database'!$C$3:$C$152,0))))</f>
        <v/>
      </c>
      <c r="F194" s="89" t="str">
        <f ca="1">IF(ISNA(MATCH($A194,'Mock Database'!$C$3:$C$152,0)),"",IF(ISBLANK(OFFSET('Mock Database'!$S$2,MATCH($A194,'Mock Database'!$C$3:$C$152,0),0)),"",INDEX('Mock Database'!$S$3:$S$152,MATCH($A194,'Mock Database'!$C$3:$C$152,0))))</f>
        <v/>
      </c>
      <c r="G194" s="22" t="str">
        <f ca="1">IF(ISNA(MATCH($A194,'Mock Database'!$C$3:$C$152,0)),"",IF(ISBLANK(OFFSET('Mock Database'!$T$2,MATCH($A194,'Mock Database'!$C$3:$C$152,0),0)),"",INDEX('Mock Database'!$T$3:$T$152,MATCH($A194,'Mock Database'!$C$3:$C$152,0))))</f>
        <v/>
      </c>
      <c r="H194" s="89" t="str">
        <f ca="1">IF(ISNA(MATCH($A194,'Mock Database'!$C$3:$C$152,0)),"",IF(ISBLANK(OFFSET('Mock Database'!$Y$2,MATCH($A194,'Mock Database'!$C$3:$C$152,0),0)),"",INDEX('Mock Database'!$Y$3:$Y$152,MATCH($A194,'Mock Database'!$C$3:$C$152,0))))</f>
        <v/>
      </c>
      <c r="I194" s="22" t="str">
        <f ca="1">IF(ISNA(MATCH($A194,'Mock Database'!$C$3:$C$152,0)),"",IF(ISBLANK(OFFSET('Mock Database'!$Z$2,MATCH($A194,'Mock Database'!$C$3:$C$152,0),0)),"",INDEX('Mock Database'!$Z$3:$Z$152,MATCH($A194,'Mock Database'!$C$3:$C$152,0))))</f>
        <v/>
      </c>
      <c r="J194" s="89" t="str">
        <f ca="1">IF(ISNA(MATCH($A194,'Mock Database'!$C$3:$C$152,0)),"",IF(ISBLANK(OFFSET('Mock Database'!$AE$2,MATCH($A194,'Mock Database'!$C$3:$C$152,0),0)),"",INDEX('Mock Database'!$AE$3:$AE$152,MATCH($A194,'Mock Database'!$C$3:$C$152,0))))</f>
        <v/>
      </c>
      <c r="K194" s="22" t="str">
        <f ca="1">IF(ISNA(MATCH($A194,'Mock Database'!$C$3:$C$152,0)),"",IF(ISBLANK(OFFSET('Mock Database'!$AF$2,MATCH($A194,'Mock Database'!$C$3:$C$152,0),0)),"",INDEX('Mock Database'!$AF$3:$AF$152,MATCH($A194,'Mock Database'!$C$3:$C$152,0))))</f>
        <v/>
      </c>
      <c r="N194" t="e">
        <f t="shared" si="22"/>
        <v>#N/A</v>
      </c>
      <c r="O194" s="89" t="e">
        <f t="shared" ca="1" si="23"/>
        <v>#N/A</v>
      </c>
      <c r="P194" s="22" t="e">
        <f t="shared" ca="1" si="24"/>
        <v>#N/A</v>
      </c>
      <c r="Q194" s="89" t="e">
        <f t="shared" ca="1" si="25"/>
        <v>#N/A</v>
      </c>
      <c r="R194" s="22" t="e">
        <f t="shared" ca="1" si="26"/>
        <v>#N/A</v>
      </c>
      <c r="S194" s="89" t="e">
        <f t="shared" ca="1" si="27"/>
        <v>#N/A</v>
      </c>
      <c r="T194" s="22" t="e">
        <f t="shared" ca="1" si="28"/>
        <v>#N/A</v>
      </c>
      <c r="U194" s="89" t="e">
        <f t="shared" ca="1" si="29"/>
        <v>#N/A</v>
      </c>
      <c r="V194" s="22" t="e">
        <f t="shared" ca="1" si="30"/>
        <v>#N/A</v>
      </c>
      <c r="AM194" t="e">
        <f t="shared" si="31"/>
        <v>#N/A</v>
      </c>
      <c r="AN194" t="e">
        <f t="shared" ca="1" si="32"/>
        <v>#N/A</v>
      </c>
    </row>
    <row r="195" spans="1:40" x14ac:dyDescent="0.3">
      <c r="A195" s="87">
        <v>194</v>
      </c>
      <c r="B195" t="str">
        <f>IFERROR(INDEX('Mock Database'!$D$3:$D$152,MATCH($A195,'Mock Database'!$C$3:$C$152,0)),"")</f>
        <v/>
      </c>
      <c r="C195" s="88" t="str">
        <f>IFERROR(INDEX('Mock Database'!$I$3:$I$152,MATCH($A195,'Mock Database'!$C$3:$C$152,0)),"")</f>
        <v/>
      </c>
      <c r="D195" s="89" t="str">
        <f ca="1">IF(ISNA(MATCH($A195,'Mock Database'!$C$3:$C$152,0)),"",IF(ISBLANK(OFFSET('Mock Database'!$M$2,MATCH($A195,'Mock Database'!$C$3:$C$152,0),0)),"",INDEX('Mock Database'!$M$3:$M$152,MATCH($A195,'Mock Database'!$C$3:$C$152,0))))</f>
        <v/>
      </c>
      <c r="E195" s="22" t="str">
        <f ca="1">IF(ISNA(MATCH($A195,'Mock Database'!$C$3:$C$152,0)),"",IF(ISBLANK(OFFSET('Mock Database'!$N$2,MATCH($A195,'Mock Database'!$C$3:$C$152,0),0)),"",INDEX('Mock Database'!$N$3:$N$152,MATCH($A195,'Mock Database'!$C$3:$C$152,0))))</f>
        <v/>
      </c>
      <c r="F195" s="89" t="str">
        <f ca="1">IF(ISNA(MATCH($A195,'Mock Database'!$C$3:$C$152,0)),"",IF(ISBLANK(OFFSET('Mock Database'!$S$2,MATCH($A195,'Mock Database'!$C$3:$C$152,0),0)),"",INDEX('Mock Database'!$S$3:$S$152,MATCH($A195,'Mock Database'!$C$3:$C$152,0))))</f>
        <v/>
      </c>
      <c r="G195" s="22" t="str">
        <f ca="1">IF(ISNA(MATCH($A195,'Mock Database'!$C$3:$C$152,0)),"",IF(ISBLANK(OFFSET('Mock Database'!$T$2,MATCH($A195,'Mock Database'!$C$3:$C$152,0),0)),"",INDEX('Mock Database'!$T$3:$T$152,MATCH($A195,'Mock Database'!$C$3:$C$152,0))))</f>
        <v/>
      </c>
      <c r="H195" s="89" t="str">
        <f ca="1">IF(ISNA(MATCH($A195,'Mock Database'!$C$3:$C$152,0)),"",IF(ISBLANK(OFFSET('Mock Database'!$Y$2,MATCH($A195,'Mock Database'!$C$3:$C$152,0),0)),"",INDEX('Mock Database'!$Y$3:$Y$152,MATCH($A195,'Mock Database'!$C$3:$C$152,0))))</f>
        <v/>
      </c>
      <c r="I195" s="22" t="str">
        <f ca="1">IF(ISNA(MATCH($A195,'Mock Database'!$C$3:$C$152,0)),"",IF(ISBLANK(OFFSET('Mock Database'!$Z$2,MATCH($A195,'Mock Database'!$C$3:$C$152,0),0)),"",INDEX('Mock Database'!$Z$3:$Z$152,MATCH($A195,'Mock Database'!$C$3:$C$152,0))))</f>
        <v/>
      </c>
      <c r="J195" s="89" t="str">
        <f ca="1">IF(ISNA(MATCH($A195,'Mock Database'!$C$3:$C$152,0)),"",IF(ISBLANK(OFFSET('Mock Database'!$AE$2,MATCH($A195,'Mock Database'!$C$3:$C$152,0),0)),"",INDEX('Mock Database'!$AE$3:$AE$152,MATCH($A195,'Mock Database'!$C$3:$C$152,0))))</f>
        <v/>
      </c>
      <c r="K195" s="22" t="str">
        <f ca="1">IF(ISNA(MATCH($A195,'Mock Database'!$C$3:$C$152,0)),"",IF(ISBLANK(OFFSET('Mock Database'!$AF$2,MATCH($A195,'Mock Database'!$C$3:$C$152,0),0)),"",INDEX('Mock Database'!$AF$3:$AF$152,MATCH($A195,'Mock Database'!$C$3:$C$152,0))))</f>
        <v/>
      </c>
      <c r="N195" t="e">
        <f t="shared" ref="N195:N258" si="33">IF($B195="",NA(),$B195)</f>
        <v>#N/A</v>
      </c>
      <c r="O195" s="89" t="e">
        <f t="shared" ref="O195:O258" ca="1" si="34">IF($D195="",NA(),$D195)</f>
        <v>#N/A</v>
      </c>
      <c r="P195" s="22" t="e">
        <f t="shared" ref="P195:P258" ca="1" si="35">IF($E195="",NA(),$E195)</f>
        <v>#N/A</v>
      </c>
      <c r="Q195" s="89" t="e">
        <f t="shared" ref="Q195:Q258" ca="1" si="36">IF($F195="",NA(),$F195)</f>
        <v>#N/A</v>
      </c>
      <c r="R195" s="22" t="e">
        <f t="shared" ref="R195:R258" ca="1" si="37">IF($G195="",NA(),$G195)</f>
        <v>#N/A</v>
      </c>
      <c r="S195" s="89" t="e">
        <f t="shared" ref="S195:S258" ca="1" si="38">IF($H195="",NA(),$H195)</f>
        <v>#N/A</v>
      </c>
      <c r="T195" s="22" t="e">
        <f t="shared" ref="T195:T258" ca="1" si="39">IF($I195="",NA(),$I195)</f>
        <v>#N/A</v>
      </c>
      <c r="U195" s="89" t="e">
        <f t="shared" ref="U195:U258" ca="1" si="40">IF($J195="",NA(),$J195)</f>
        <v>#N/A</v>
      </c>
      <c r="V195" s="22" t="e">
        <f t="shared" ref="V195:V258" ca="1" si="41">IF($K195="",NA(),$K195)</f>
        <v>#N/A</v>
      </c>
      <c r="AM195" t="e">
        <f t="shared" ref="AM195:AM258" si="42">IF($B195="",NA(),$A195)</f>
        <v>#N/A</v>
      </c>
      <c r="AN195" t="e">
        <f t="shared" ref="AN195:AN258" ca="1" si="43">$U195</f>
        <v>#N/A</v>
      </c>
    </row>
    <row r="196" spans="1:40" x14ac:dyDescent="0.3">
      <c r="A196" s="87">
        <v>195</v>
      </c>
      <c r="B196" t="str">
        <f>IFERROR(INDEX('Mock Database'!$D$3:$D$152,MATCH($A196,'Mock Database'!$C$3:$C$152,0)),"")</f>
        <v/>
      </c>
      <c r="C196" s="88" t="str">
        <f>IFERROR(INDEX('Mock Database'!$I$3:$I$152,MATCH($A196,'Mock Database'!$C$3:$C$152,0)),"")</f>
        <v/>
      </c>
      <c r="D196" s="89" t="str">
        <f ca="1">IF(ISNA(MATCH($A196,'Mock Database'!$C$3:$C$152,0)),"",IF(ISBLANK(OFFSET('Mock Database'!$M$2,MATCH($A196,'Mock Database'!$C$3:$C$152,0),0)),"",INDEX('Mock Database'!$M$3:$M$152,MATCH($A196,'Mock Database'!$C$3:$C$152,0))))</f>
        <v/>
      </c>
      <c r="E196" s="22" t="str">
        <f ca="1">IF(ISNA(MATCH($A196,'Mock Database'!$C$3:$C$152,0)),"",IF(ISBLANK(OFFSET('Mock Database'!$N$2,MATCH($A196,'Mock Database'!$C$3:$C$152,0),0)),"",INDEX('Mock Database'!$N$3:$N$152,MATCH($A196,'Mock Database'!$C$3:$C$152,0))))</f>
        <v/>
      </c>
      <c r="F196" s="89" t="str">
        <f ca="1">IF(ISNA(MATCH($A196,'Mock Database'!$C$3:$C$152,0)),"",IF(ISBLANK(OFFSET('Mock Database'!$S$2,MATCH($A196,'Mock Database'!$C$3:$C$152,0),0)),"",INDEX('Mock Database'!$S$3:$S$152,MATCH($A196,'Mock Database'!$C$3:$C$152,0))))</f>
        <v/>
      </c>
      <c r="G196" s="22" t="str">
        <f ca="1">IF(ISNA(MATCH($A196,'Mock Database'!$C$3:$C$152,0)),"",IF(ISBLANK(OFFSET('Mock Database'!$T$2,MATCH($A196,'Mock Database'!$C$3:$C$152,0),0)),"",INDEX('Mock Database'!$T$3:$T$152,MATCH($A196,'Mock Database'!$C$3:$C$152,0))))</f>
        <v/>
      </c>
      <c r="H196" s="89" t="str">
        <f ca="1">IF(ISNA(MATCH($A196,'Mock Database'!$C$3:$C$152,0)),"",IF(ISBLANK(OFFSET('Mock Database'!$Y$2,MATCH($A196,'Mock Database'!$C$3:$C$152,0),0)),"",INDEX('Mock Database'!$Y$3:$Y$152,MATCH($A196,'Mock Database'!$C$3:$C$152,0))))</f>
        <v/>
      </c>
      <c r="I196" s="22" t="str">
        <f ca="1">IF(ISNA(MATCH($A196,'Mock Database'!$C$3:$C$152,0)),"",IF(ISBLANK(OFFSET('Mock Database'!$Z$2,MATCH($A196,'Mock Database'!$C$3:$C$152,0),0)),"",INDEX('Mock Database'!$Z$3:$Z$152,MATCH($A196,'Mock Database'!$C$3:$C$152,0))))</f>
        <v/>
      </c>
      <c r="J196" s="89" t="str">
        <f ca="1">IF(ISNA(MATCH($A196,'Mock Database'!$C$3:$C$152,0)),"",IF(ISBLANK(OFFSET('Mock Database'!$AE$2,MATCH($A196,'Mock Database'!$C$3:$C$152,0),0)),"",INDEX('Mock Database'!$AE$3:$AE$152,MATCH($A196,'Mock Database'!$C$3:$C$152,0))))</f>
        <v/>
      </c>
      <c r="K196" s="22" t="str">
        <f ca="1">IF(ISNA(MATCH($A196,'Mock Database'!$C$3:$C$152,0)),"",IF(ISBLANK(OFFSET('Mock Database'!$AF$2,MATCH($A196,'Mock Database'!$C$3:$C$152,0),0)),"",INDEX('Mock Database'!$AF$3:$AF$152,MATCH($A196,'Mock Database'!$C$3:$C$152,0))))</f>
        <v/>
      </c>
      <c r="N196" t="e">
        <f t="shared" si="33"/>
        <v>#N/A</v>
      </c>
      <c r="O196" s="89" t="e">
        <f t="shared" ca="1" si="34"/>
        <v>#N/A</v>
      </c>
      <c r="P196" s="22" t="e">
        <f t="shared" ca="1" si="35"/>
        <v>#N/A</v>
      </c>
      <c r="Q196" s="89" t="e">
        <f t="shared" ca="1" si="36"/>
        <v>#N/A</v>
      </c>
      <c r="R196" s="22" t="e">
        <f t="shared" ca="1" si="37"/>
        <v>#N/A</v>
      </c>
      <c r="S196" s="89" t="e">
        <f t="shared" ca="1" si="38"/>
        <v>#N/A</v>
      </c>
      <c r="T196" s="22" t="e">
        <f t="shared" ca="1" si="39"/>
        <v>#N/A</v>
      </c>
      <c r="U196" s="89" t="e">
        <f t="shared" ca="1" si="40"/>
        <v>#N/A</v>
      </c>
      <c r="V196" s="22" t="e">
        <f t="shared" ca="1" si="41"/>
        <v>#N/A</v>
      </c>
      <c r="AM196" t="e">
        <f t="shared" si="42"/>
        <v>#N/A</v>
      </c>
      <c r="AN196" t="e">
        <f t="shared" ca="1" si="43"/>
        <v>#N/A</v>
      </c>
    </row>
    <row r="197" spans="1:40" x14ac:dyDescent="0.3">
      <c r="A197" s="87">
        <v>196</v>
      </c>
      <c r="B197" t="str">
        <f>IFERROR(INDEX('Mock Database'!$D$3:$D$152,MATCH($A197,'Mock Database'!$C$3:$C$152,0)),"")</f>
        <v/>
      </c>
      <c r="C197" s="88" t="str">
        <f>IFERROR(INDEX('Mock Database'!$I$3:$I$152,MATCH($A197,'Mock Database'!$C$3:$C$152,0)),"")</f>
        <v/>
      </c>
      <c r="D197" s="89" t="str">
        <f ca="1">IF(ISNA(MATCH($A197,'Mock Database'!$C$3:$C$152,0)),"",IF(ISBLANK(OFFSET('Mock Database'!$M$2,MATCH($A197,'Mock Database'!$C$3:$C$152,0),0)),"",INDEX('Mock Database'!$M$3:$M$152,MATCH($A197,'Mock Database'!$C$3:$C$152,0))))</f>
        <v/>
      </c>
      <c r="E197" s="22" t="str">
        <f ca="1">IF(ISNA(MATCH($A197,'Mock Database'!$C$3:$C$152,0)),"",IF(ISBLANK(OFFSET('Mock Database'!$N$2,MATCH($A197,'Mock Database'!$C$3:$C$152,0),0)),"",INDEX('Mock Database'!$N$3:$N$152,MATCH($A197,'Mock Database'!$C$3:$C$152,0))))</f>
        <v/>
      </c>
      <c r="F197" s="89" t="str">
        <f ca="1">IF(ISNA(MATCH($A197,'Mock Database'!$C$3:$C$152,0)),"",IF(ISBLANK(OFFSET('Mock Database'!$S$2,MATCH($A197,'Mock Database'!$C$3:$C$152,0),0)),"",INDEX('Mock Database'!$S$3:$S$152,MATCH($A197,'Mock Database'!$C$3:$C$152,0))))</f>
        <v/>
      </c>
      <c r="G197" s="22" t="str">
        <f ca="1">IF(ISNA(MATCH($A197,'Mock Database'!$C$3:$C$152,0)),"",IF(ISBLANK(OFFSET('Mock Database'!$T$2,MATCH($A197,'Mock Database'!$C$3:$C$152,0),0)),"",INDEX('Mock Database'!$T$3:$T$152,MATCH($A197,'Mock Database'!$C$3:$C$152,0))))</f>
        <v/>
      </c>
      <c r="H197" s="89" t="str">
        <f ca="1">IF(ISNA(MATCH($A197,'Mock Database'!$C$3:$C$152,0)),"",IF(ISBLANK(OFFSET('Mock Database'!$Y$2,MATCH($A197,'Mock Database'!$C$3:$C$152,0),0)),"",INDEX('Mock Database'!$Y$3:$Y$152,MATCH($A197,'Mock Database'!$C$3:$C$152,0))))</f>
        <v/>
      </c>
      <c r="I197" s="22" t="str">
        <f ca="1">IF(ISNA(MATCH($A197,'Mock Database'!$C$3:$C$152,0)),"",IF(ISBLANK(OFFSET('Mock Database'!$Z$2,MATCH($A197,'Mock Database'!$C$3:$C$152,0),0)),"",INDEX('Mock Database'!$Z$3:$Z$152,MATCH($A197,'Mock Database'!$C$3:$C$152,0))))</f>
        <v/>
      </c>
      <c r="J197" s="89" t="str">
        <f ca="1">IF(ISNA(MATCH($A197,'Mock Database'!$C$3:$C$152,0)),"",IF(ISBLANK(OFFSET('Mock Database'!$AE$2,MATCH($A197,'Mock Database'!$C$3:$C$152,0),0)),"",INDEX('Mock Database'!$AE$3:$AE$152,MATCH($A197,'Mock Database'!$C$3:$C$152,0))))</f>
        <v/>
      </c>
      <c r="K197" s="22" t="str">
        <f ca="1">IF(ISNA(MATCH($A197,'Mock Database'!$C$3:$C$152,0)),"",IF(ISBLANK(OFFSET('Mock Database'!$AF$2,MATCH($A197,'Mock Database'!$C$3:$C$152,0),0)),"",INDEX('Mock Database'!$AF$3:$AF$152,MATCH($A197,'Mock Database'!$C$3:$C$152,0))))</f>
        <v/>
      </c>
      <c r="N197" t="e">
        <f t="shared" si="33"/>
        <v>#N/A</v>
      </c>
      <c r="O197" s="89" t="e">
        <f t="shared" ca="1" si="34"/>
        <v>#N/A</v>
      </c>
      <c r="P197" s="22" t="e">
        <f t="shared" ca="1" si="35"/>
        <v>#N/A</v>
      </c>
      <c r="Q197" s="89" t="e">
        <f t="shared" ca="1" si="36"/>
        <v>#N/A</v>
      </c>
      <c r="R197" s="22" t="e">
        <f t="shared" ca="1" si="37"/>
        <v>#N/A</v>
      </c>
      <c r="S197" s="89" t="e">
        <f t="shared" ca="1" si="38"/>
        <v>#N/A</v>
      </c>
      <c r="T197" s="22" t="e">
        <f t="shared" ca="1" si="39"/>
        <v>#N/A</v>
      </c>
      <c r="U197" s="89" t="e">
        <f t="shared" ca="1" si="40"/>
        <v>#N/A</v>
      </c>
      <c r="V197" s="22" t="e">
        <f t="shared" ca="1" si="41"/>
        <v>#N/A</v>
      </c>
      <c r="AM197" t="e">
        <f t="shared" si="42"/>
        <v>#N/A</v>
      </c>
      <c r="AN197" t="e">
        <f t="shared" ca="1" si="43"/>
        <v>#N/A</v>
      </c>
    </row>
    <row r="198" spans="1:40" x14ac:dyDescent="0.3">
      <c r="A198" s="87">
        <v>197</v>
      </c>
      <c r="B198" t="str">
        <f>IFERROR(INDEX('Mock Database'!$D$3:$D$152,MATCH($A198,'Mock Database'!$C$3:$C$152,0)),"")</f>
        <v/>
      </c>
      <c r="C198" s="88" t="str">
        <f>IFERROR(INDEX('Mock Database'!$I$3:$I$152,MATCH($A198,'Mock Database'!$C$3:$C$152,0)),"")</f>
        <v/>
      </c>
      <c r="D198" s="89" t="str">
        <f ca="1">IF(ISNA(MATCH($A198,'Mock Database'!$C$3:$C$152,0)),"",IF(ISBLANK(OFFSET('Mock Database'!$M$2,MATCH($A198,'Mock Database'!$C$3:$C$152,0),0)),"",INDEX('Mock Database'!$M$3:$M$152,MATCH($A198,'Mock Database'!$C$3:$C$152,0))))</f>
        <v/>
      </c>
      <c r="E198" s="22" t="str">
        <f ca="1">IF(ISNA(MATCH($A198,'Mock Database'!$C$3:$C$152,0)),"",IF(ISBLANK(OFFSET('Mock Database'!$N$2,MATCH($A198,'Mock Database'!$C$3:$C$152,0),0)),"",INDEX('Mock Database'!$N$3:$N$152,MATCH($A198,'Mock Database'!$C$3:$C$152,0))))</f>
        <v/>
      </c>
      <c r="F198" s="89" t="str">
        <f ca="1">IF(ISNA(MATCH($A198,'Mock Database'!$C$3:$C$152,0)),"",IF(ISBLANK(OFFSET('Mock Database'!$S$2,MATCH($A198,'Mock Database'!$C$3:$C$152,0),0)),"",INDEX('Mock Database'!$S$3:$S$152,MATCH($A198,'Mock Database'!$C$3:$C$152,0))))</f>
        <v/>
      </c>
      <c r="G198" s="22" t="str">
        <f ca="1">IF(ISNA(MATCH($A198,'Mock Database'!$C$3:$C$152,0)),"",IF(ISBLANK(OFFSET('Mock Database'!$T$2,MATCH($A198,'Mock Database'!$C$3:$C$152,0),0)),"",INDEX('Mock Database'!$T$3:$T$152,MATCH($A198,'Mock Database'!$C$3:$C$152,0))))</f>
        <v/>
      </c>
      <c r="H198" s="89" t="str">
        <f ca="1">IF(ISNA(MATCH($A198,'Mock Database'!$C$3:$C$152,0)),"",IF(ISBLANK(OFFSET('Mock Database'!$Y$2,MATCH($A198,'Mock Database'!$C$3:$C$152,0),0)),"",INDEX('Mock Database'!$Y$3:$Y$152,MATCH($A198,'Mock Database'!$C$3:$C$152,0))))</f>
        <v/>
      </c>
      <c r="I198" s="22" t="str">
        <f ca="1">IF(ISNA(MATCH($A198,'Mock Database'!$C$3:$C$152,0)),"",IF(ISBLANK(OFFSET('Mock Database'!$Z$2,MATCH($A198,'Mock Database'!$C$3:$C$152,0),0)),"",INDEX('Mock Database'!$Z$3:$Z$152,MATCH($A198,'Mock Database'!$C$3:$C$152,0))))</f>
        <v/>
      </c>
      <c r="J198" s="89" t="str">
        <f ca="1">IF(ISNA(MATCH($A198,'Mock Database'!$C$3:$C$152,0)),"",IF(ISBLANK(OFFSET('Mock Database'!$AE$2,MATCH($A198,'Mock Database'!$C$3:$C$152,0),0)),"",INDEX('Mock Database'!$AE$3:$AE$152,MATCH($A198,'Mock Database'!$C$3:$C$152,0))))</f>
        <v/>
      </c>
      <c r="K198" s="22" t="str">
        <f ca="1">IF(ISNA(MATCH($A198,'Mock Database'!$C$3:$C$152,0)),"",IF(ISBLANK(OFFSET('Mock Database'!$AF$2,MATCH($A198,'Mock Database'!$C$3:$C$152,0),0)),"",INDEX('Mock Database'!$AF$3:$AF$152,MATCH($A198,'Mock Database'!$C$3:$C$152,0))))</f>
        <v/>
      </c>
      <c r="N198" t="e">
        <f t="shared" si="33"/>
        <v>#N/A</v>
      </c>
      <c r="O198" s="89" t="e">
        <f t="shared" ca="1" si="34"/>
        <v>#N/A</v>
      </c>
      <c r="P198" s="22" t="e">
        <f t="shared" ca="1" si="35"/>
        <v>#N/A</v>
      </c>
      <c r="Q198" s="89" t="e">
        <f t="shared" ca="1" si="36"/>
        <v>#N/A</v>
      </c>
      <c r="R198" s="22" t="e">
        <f t="shared" ca="1" si="37"/>
        <v>#N/A</v>
      </c>
      <c r="S198" s="89" t="e">
        <f t="shared" ca="1" si="38"/>
        <v>#N/A</v>
      </c>
      <c r="T198" s="22" t="e">
        <f t="shared" ca="1" si="39"/>
        <v>#N/A</v>
      </c>
      <c r="U198" s="89" t="e">
        <f t="shared" ca="1" si="40"/>
        <v>#N/A</v>
      </c>
      <c r="V198" s="22" t="e">
        <f t="shared" ca="1" si="41"/>
        <v>#N/A</v>
      </c>
      <c r="AM198" t="e">
        <f t="shared" si="42"/>
        <v>#N/A</v>
      </c>
      <c r="AN198" t="e">
        <f t="shared" ca="1" si="43"/>
        <v>#N/A</v>
      </c>
    </row>
    <row r="199" spans="1:40" x14ac:dyDescent="0.3">
      <c r="A199" s="87">
        <v>198</v>
      </c>
      <c r="B199" t="str">
        <f>IFERROR(INDEX('Mock Database'!$D$3:$D$152,MATCH($A199,'Mock Database'!$C$3:$C$152,0)),"")</f>
        <v/>
      </c>
      <c r="C199" s="88" t="str">
        <f>IFERROR(INDEX('Mock Database'!$I$3:$I$152,MATCH($A199,'Mock Database'!$C$3:$C$152,0)),"")</f>
        <v/>
      </c>
      <c r="D199" s="89" t="str">
        <f ca="1">IF(ISNA(MATCH($A199,'Mock Database'!$C$3:$C$152,0)),"",IF(ISBLANK(OFFSET('Mock Database'!$M$2,MATCH($A199,'Mock Database'!$C$3:$C$152,0),0)),"",INDEX('Mock Database'!$M$3:$M$152,MATCH($A199,'Mock Database'!$C$3:$C$152,0))))</f>
        <v/>
      </c>
      <c r="E199" s="22" t="str">
        <f ca="1">IF(ISNA(MATCH($A199,'Mock Database'!$C$3:$C$152,0)),"",IF(ISBLANK(OFFSET('Mock Database'!$N$2,MATCH($A199,'Mock Database'!$C$3:$C$152,0),0)),"",INDEX('Mock Database'!$N$3:$N$152,MATCH($A199,'Mock Database'!$C$3:$C$152,0))))</f>
        <v/>
      </c>
      <c r="F199" s="89" t="str">
        <f ca="1">IF(ISNA(MATCH($A199,'Mock Database'!$C$3:$C$152,0)),"",IF(ISBLANK(OFFSET('Mock Database'!$S$2,MATCH($A199,'Mock Database'!$C$3:$C$152,0),0)),"",INDEX('Mock Database'!$S$3:$S$152,MATCH($A199,'Mock Database'!$C$3:$C$152,0))))</f>
        <v/>
      </c>
      <c r="G199" s="22" t="str">
        <f ca="1">IF(ISNA(MATCH($A199,'Mock Database'!$C$3:$C$152,0)),"",IF(ISBLANK(OFFSET('Mock Database'!$T$2,MATCH($A199,'Mock Database'!$C$3:$C$152,0),0)),"",INDEX('Mock Database'!$T$3:$T$152,MATCH($A199,'Mock Database'!$C$3:$C$152,0))))</f>
        <v/>
      </c>
      <c r="H199" s="89" t="str">
        <f ca="1">IF(ISNA(MATCH($A199,'Mock Database'!$C$3:$C$152,0)),"",IF(ISBLANK(OFFSET('Mock Database'!$Y$2,MATCH($A199,'Mock Database'!$C$3:$C$152,0),0)),"",INDEX('Mock Database'!$Y$3:$Y$152,MATCH($A199,'Mock Database'!$C$3:$C$152,0))))</f>
        <v/>
      </c>
      <c r="I199" s="22" t="str">
        <f ca="1">IF(ISNA(MATCH($A199,'Mock Database'!$C$3:$C$152,0)),"",IF(ISBLANK(OFFSET('Mock Database'!$Z$2,MATCH($A199,'Mock Database'!$C$3:$C$152,0),0)),"",INDEX('Mock Database'!$Z$3:$Z$152,MATCH($A199,'Mock Database'!$C$3:$C$152,0))))</f>
        <v/>
      </c>
      <c r="J199" s="89" t="str">
        <f ca="1">IF(ISNA(MATCH($A199,'Mock Database'!$C$3:$C$152,0)),"",IF(ISBLANK(OFFSET('Mock Database'!$AE$2,MATCH($A199,'Mock Database'!$C$3:$C$152,0),0)),"",INDEX('Mock Database'!$AE$3:$AE$152,MATCH($A199,'Mock Database'!$C$3:$C$152,0))))</f>
        <v/>
      </c>
      <c r="K199" s="22" t="str">
        <f ca="1">IF(ISNA(MATCH($A199,'Mock Database'!$C$3:$C$152,0)),"",IF(ISBLANK(OFFSET('Mock Database'!$AF$2,MATCH($A199,'Mock Database'!$C$3:$C$152,0),0)),"",INDEX('Mock Database'!$AF$3:$AF$152,MATCH($A199,'Mock Database'!$C$3:$C$152,0))))</f>
        <v/>
      </c>
      <c r="N199" t="e">
        <f t="shared" si="33"/>
        <v>#N/A</v>
      </c>
      <c r="O199" s="89" t="e">
        <f t="shared" ca="1" si="34"/>
        <v>#N/A</v>
      </c>
      <c r="P199" s="22" t="e">
        <f t="shared" ca="1" si="35"/>
        <v>#N/A</v>
      </c>
      <c r="Q199" s="89" t="e">
        <f t="shared" ca="1" si="36"/>
        <v>#N/A</v>
      </c>
      <c r="R199" s="22" t="e">
        <f t="shared" ca="1" si="37"/>
        <v>#N/A</v>
      </c>
      <c r="S199" s="89" t="e">
        <f t="shared" ca="1" si="38"/>
        <v>#N/A</v>
      </c>
      <c r="T199" s="22" t="e">
        <f t="shared" ca="1" si="39"/>
        <v>#N/A</v>
      </c>
      <c r="U199" s="89" t="e">
        <f t="shared" ca="1" si="40"/>
        <v>#N/A</v>
      </c>
      <c r="V199" s="22" t="e">
        <f t="shared" ca="1" si="41"/>
        <v>#N/A</v>
      </c>
      <c r="AM199" t="e">
        <f t="shared" si="42"/>
        <v>#N/A</v>
      </c>
      <c r="AN199" t="e">
        <f t="shared" ca="1" si="43"/>
        <v>#N/A</v>
      </c>
    </row>
    <row r="200" spans="1:40" x14ac:dyDescent="0.3">
      <c r="A200" s="87">
        <v>199</v>
      </c>
      <c r="B200" t="str">
        <f>IFERROR(INDEX('Mock Database'!$D$3:$D$152,MATCH($A200,'Mock Database'!$C$3:$C$152,0)),"")</f>
        <v/>
      </c>
      <c r="C200" s="88" t="str">
        <f>IFERROR(INDEX('Mock Database'!$I$3:$I$152,MATCH($A200,'Mock Database'!$C$3:$C$152,0)),"")</f>
        <v/>
      </c>
      <c r="D200" s="89" t="str">
        <f ca="1">IF(ISNA(MATCH($A200,'Mock Database'!$C$3:$C$152,0)),"",IF(ISBLANK(OFFSET('Mock Database'!$M$2,MATCH($A200,'Mock Database'!$C$3:$C$152,0),0)),"",INDEX('Mock Database'!$M$3:$M$152,MATCH($A200,'Mock Database'!$C$3:$C$152,0))))</f>
        <v/>
      </c>
      <c r="E200" s="22" t="str">
        <f ca="1">IF(ISNA(MATCH($A200,'Mock Database'!$C$3:$C$152,0)),"",IF(ISBLANK(OFFSET('Mock Database'!$N$2,MATCH($A200,'Mock Database'!$C$3:$C$152,0),0)),"",INDEX('Mock Database'!$N$3:$N$152,MATCH($A200,'Mock Database'!$C$3:$C$152,0))))</f>
        <v/>
      </c>
      <c r="F200" s="89" t="str">
        <f ca="1">IF(ISNA(MATCH($A200,'Mock Database'!$C$3:$C$152,0)),"",IF(ISBLANK(OFFSET('Mock Database'!$S$2,MATCH($A200,'Mock Database'!$C$3:$C$152,0),0)),"",INDEX('Mock Database'!$S$3:$S$152,MATCH($A200,'Mock Database'!$C$3:$C$152,0))))</f>
        <v/>
      </c>
      <c r="G200" s="22" t="str">
        <f ca="1">IF(ISNA(MATCH($A200,'Mock Database'!$C$3:$C$152,0)),"",IF(ISBLANK(OFFSET('Mock Database'!$T$2,MATCH($A200,'Mock Database'!$C$3:$C$152,0),0)),"",INDEX('Mock Database'!$T$3:$T$152,MATCH($A200,'Mock Database'!$C$3:$C$152,0))))</f>
        <v/>
      </c>
      <c r="H200" s="89" t="str">
        <f ca="1">IF(ISNA(MATCH($A200,'Mock Database'!$C$3:$C$152,0)),"",IF(ISBLANK(OFFSET('Mock Database'!$Y$2,MATCH($A200,'Mock Database'!$C$3:$C$152,0),0)),"",INDEX('Mock Database'!$Y$3:$Y$152,MATCH($A200,'Mock Database'!$C$3:$C$152,0))))</f>
        <v/>
      </c>
      <c r="I200" s="22" t="str">
        <f ca="1">IF(ISNA(MATCH($A200,'Mock Database'!$C$3:$C$152,0)),"",IF(ISBLANK(OFFSET('Mock Database'!$Z$2,MATCH($A200,'Mock Database'!$C$3:$C$152,0),0)),"",INDEX('Mock Database'!$Z$3:$Z$152,MATCH($A200,'Mock Database'!$C$3:$C$152,0))))</f>
        <v/>
      </c>
      <c r="J200" s="89" t="str">
        <f ca="1">IF(ISNA(MATCH($A200,'Mock Database'!$C$3:$C$152,0)),"",IF(ISBLANK(OFFSET('Mock Database'!$AE$2,MATCH($A200,'Mock Database'!$C$3:$C$152,0),0)),"",INDEX('Mock Database'!$AE$3:$AE$152,MATCH($A200,'Mock Database'!$C$3:$C$152,0))))</f>
        <v/>
      </c>
      <c r="K200" s="22" t="str">
        <f ca="1">IF(ISNA(MATCH($A200,'Mock Database'!$C$3:$C$152,0)),"",IF(ISBLANK(OFFSET('Mock Database'!$AF$2,MATCH($A200,'Mock Database'!$C$3:$C$152,0),0)),"",INDEX('Mock Database'!$AF$3:$AF$152,MATCH($A200,'Mock Database'!$C$3:$C$152,0))))</f>
        <v/>
      </c>
      <c r="N200" t="e">
        <f t="shared" si="33"/>
        <v>#N/A</v>
      </c>
      <c r="O200" s="89" t="e">
        <f t="shared" ca="1" si="34"/>
        <v>#N/A</v>
      </c>
      <c r="P200" s="22" t="e">
        <f t="shared" ca="1" si="35"/>
        <v>#N/A</v>
      </c>
      <c r="Q200" s="89" t="e">
        <f t="shared" ca="1" si="36"/>
        <v>#N/A</v>
      </c>
      <c r="R200" s="22" t="e">
        <f t="shared" ca="1" si="37"/>
        <v>#N/A</v>
      </c>
      <c r="S200" s="89" t="e">
        <f t="shared" ca="1" si="38"/>
        <v>#N/A</v>
      </c>
      <c r="T200" s="22" t="e">
        <f t="shared" ca="1" si="39"/>
        <v>#N/A</v>
      </c>
      <c r="U200" s="89" t="e">
        <f t="shared" ca="1" si="40"/>
        <v>#N/A</v>
      </c>
      <c r="V200" s="22" t="e">
        <f t="shared" ca="1" si="41"/>
        <v>#N/A</v>
      </c>
      <c r="AM200" t="e">
        <f t="shared" si="42"/>
        <v>#N/A</v>
      </c>
      <c r="AN200" t="e">
        <f t="shared" ca="1" si="43"/>
        <v>#N/A</v>
      </c>
    </row>
    <row r="201" spans="1:40" x14ac:dyDescent="0.3">
      <c r="A201" s="87">
        <v>200</v>
      </c>
      <c r="B201" t="str">
        <f>IFERROR(INDEX('Mock Database'!$D$3:$D$152,MATCH($A201,'Mock Database'!$C$3:$C$152,0)),"")</f>
        <v/>
      </c>
      <c r="C201" s="88" t="str">
        <f>IFERROR(INDEX('Mock Database'!$I$3:$I$152,MATCH($A201,'Mock Database'!$C$3:$C$152,0)),"")</f>
        <v/>
      </c>
      <c r="D201" s="89" t="str">
        <f ca="1">IF(ISNA(MATCH($A201,'Mock Database'!$C$3:$C$152,0)),"",IF(ISBLANK(OFFSET('Mock Database'!$M$2,MATCH($A201,'Mock Database'!$C$3:$C$152,0),0)),"",INDEX('Mock Database'!$M$3:$M$152,MATCH($A201,'Mock Database'!$C$3:$C$152,0))))</f>
        <v/>
      </c>
      <c r="E201" s="22" t="str">
        <f ca="1">IF(ISNA(MATCH($A201,'Mock Database'!$C$3:$C$152,0)),"",IF(ISBLANK(OFFSET('Mock Database'!$N$2,MATCH($A201,'Mock Database'!$C$3:$C$152,0),0)),"",INDEX('Mock Database'!$N$3:$N$152,MATCH($A201,'Mock Database'!$C$3:$C$152,0))))</f>
        <v/>
      </c>
      <c r="F201" s="89" t="str">
        <f ca="1">IF(ISNA(MATCH($A201,'Mock Database'!$C$3:$C$152,0)),"",IF(ISBLANK(OFFSET('Mock Database'!$S$2,MATCH($A201,'Mock Database'!$C$3:$C$152,0),0)),"",INDEX('Mock Database'!$S$3:$S$152,MATCH($A201,'Mock Database'!$C$3:$C$152,0))))</f>
        <v/>
      </c>
      <c r="G201" s="22" t="str">
        <f ca="1">IF(ISNA(MATCH($A201,'Mock Database'!$C$3:$C$152,0)),"",IF(ISBLANK(OFFSET('Mock Database'!$T$2,MATCH($A201,'Mock Database'!$C$3:$C$152,0),0)),"",INDEX('Mock Database'!$T$3:$T$152,MATCH($A201,'Mock Database'!$C$3:$C$152,0))))</f>
        <v/>
      </c>
      <c r="H201" s="89" t="str">
        <f ca="1">IF(ISNA(MATCH($A201,'Mock Database'!$C$3:$C$152,0)),"",IF(ISBLANK(OFFSET('Mock Database'!$Y$2,MATCH($A201,'Mock Database'!$C$3:$C$152,0),0)),"",INDEX('Mock Database'!$Y$3:$Y$152,MATCH($A201,'Mock Database'!$C$3:$C$152,0))))</f>
        <v/>
      </c>
      <c r="I201" s="22" t="str">
        <f ca="1">IF(ISNA(MATCH($A201,'Mock Database'!$C$3:$C$152,0)),"",IF(ISBLANK(OFFSET('Mock Database'!$Z$2,MATCH($A201,'Mock Database'!$C$3:$C$152,0),0)),"",INDEX('Mock Database'!$Z$3:$Z$152,MATCH($A201,'Mock Database'!$C$3:$C$152,0))))</f>
        <v/>
      </c>
      <c r="J201" s="89" t="str">
        <f ca="1">IF(ISNA(MATCH($A201,'Mock Database'!$C$3:$C$152,0)),"",IF(ISBLANK(OFFSET('Mock Database'!$AE$2,MATCH($A201,'Mock Database'!$C$3:$C$152,0),0)),"",INDEX('Mock Database'!$AE$3:$AE$152,MATCH($A201,'Mock Database'!$C$3:$C$152,0))))</f>
        <v/>
      </c>
      <c r="K201" s="22" t="str">
        <f ca="1">IF(ISNA(MATCH($A201,'Mock Database'!$C$3:$C$152,0)),"",IF(ISBLANK(OFFSET('Mock Database'!$AF$2,MATCH($A201,'Mock Database'!$C$3:$C$152,0),0)),"",INDEX('Mock Database'!$AF$3:$AF$152,MATCH($A201,'Mock Database'!$C$3:$C$152,0))))</f>
        <v/>
      </c>
      <c r="N201" t="e">
        <f t="shared" si="33"/>
        <v>#N/A</v>
      </c>
      <c r="O201" s="89" t="e">
        <f t="shared" ca="1" si="34"/>
        <v>#N/A</v>
      </c>
      <c r="P201" s="22" t="e">
        <f t="shared" ca="1" si="35"/>
        <v>#N/A</v>
      </c>
      <c r="Q201" s="89" t="e">
        <f t="shared" ca="1" si="36"/>
        <v>#N/A</v>
      </c>
      <c r="R201" s="22" t="e">
        <f t="shared" ca="1" si="37"/>
        <v>#N/A</v>
      </c>
      <c r="S201" s="89" t="e">
        <f t="shared" ca="1" si="38"/>
        <v>#N/A</v>
      </c>
      <c r="T201" s="22" t="e">
        <f t="shared" ca="1" si="39"/>
        <v>#N/A</v>
      </c>
      <c r="U201" s="89" t="e">
        <f t="shared" ca="1" si="40"/>
        <v>#N/A</v>
      </c>
      <c r="V201" s="22" t="e">
        <f t="shared" ca="1" si="41"/>
        <v>#N/A</v>
      </c>
      <c r="AM201" t="e">
        <f t="shared" si="42"/>
        <v>#N/A</v>
      </c>
      <c r="AN201" t="e">
        <f t="shared" ca="1" si="43"/>
        <v>#N/A</v>
      </c>
    </row>
    <row r="202" spans="1:40" x14ac:dyDescent="0.3">
      <c r="A202" s="87">
        <v>201</v>
      </c>
      <c r="B202" t="str">
        <f>IFERROR(INDEX('Mock Database'!$D$3:$D$152,MATCH($A202,'Mock Database'!$C$3:$C$152,0)),"")</f>
        <v/>
      </c>
      <c r="C202" s="88" t="str">
        <f>IFERROR(INDEX('Mock Database'!$I$3:$I$152,MATCH($A202,'Mock Database'!$C$3:$C$152,0)),"")</f>
        <v/>
      </c>
      <c r="D202" s="89" t="str">
        <f ca="1">IF(ISNA(MATCH($A202,'Mock Database'!$C$3:$C$152,0)),"",IF(ISBLANK(OFFSET('Mock Database'!$M$2,MATCH($A202,'Mock Database'!$C$3:$C$152,0),0)),"",INDEX('Mock Database'!$M$3:$M$152,MATCH($A202,'Mock Database'!$C$3:$C$152,0))))</f>
        <v/>
      </c>
      <c r="E202" s="22" t="str">
        <f ca="1">IF(ISNA(MATCH($A202,'Mock Database'!$C$3:$C$152,0)),"",IF(ISBLANK(OFFSET('Mock Database'!$N$2,MATCH($A202,'Mock Database'!$C$3:$C$152,0),0)),"",INDEX('Mock Database'!$N$3:$N$152,MATCH($A202,'Mock Database'!$C$3:$C$152,0))))</f>
        <v/>
      </c>
      <c r="F202" s="89" t="str">
        <f ca="1">IF(ISNA(MATCH($A202,'Mock Database'!$C$3:$C$152,0)),"",IF(ISBLANK(OFFSET('Mock Database'!$S$2,MATCH($A202,'Mock Database'!$C$3:$C$152,0),0)),"",INDEX('Mock Database'!$S$3:$S$152,MATCH($A202,'Mock Database'!$C$3:$C$152,0))))</f>
        <v/>
      </c>
      <c r="G202" s="22" t="str">
        <f ca="1">IF(ISNA(MATCH($A202,'Mock Database'!$C$3:$C$152,0)),"",IF(ISBLANK(OFFSET('Mock Database'!$T$2,MATCH($A202,'Mock Database'!$C$3:$C$152,0),0)),"",INDEX('Mock Database'!$T$3:$T$152,MATCH($A202,'Mock Database'!$C$3:$C$152,0))))</f>
        <v/>
      </c>
      <c r="H202" s="89" t="str">
        <f ca="1">IF(ISNA(MATCH($A202,'Mock Database'!$C$3:$C$152,0)),"",IF(ISBLANK(OFFSET('Mock Database'!$Y$2,MATCH($A202,'Mock Database'!$C$3:$C$152,0),0)),"",INDEX('Mock Database'!$Y$3:$Y$152,MATCH($A202,'Mock Database'!$C$3:$C$152,0))))</f>
        <v/>
      </c>
      <c r="I202" s="22" t="str">
        <f ca="1">IF(ISNA(MATCH($A202,'Mock Database'!$C$3:$C$152,0)),"",IF(ISBLANK(OFFSET('Mock Database'!$Z$2,MATCH($A202,'Mock Database'!$C$3:$C$152,0),0)),"",INDEX('Mock Database'!$Z$3:$Z$152,MATCH($A202,'Mock Database'!$C$3:$C$152,0))))</f>
        <v/>
      </c>
      <c r="J202" s="89" t="str">
        <f ca="1">IF(ISNA(MATCH($A202,'Mock Database'!$C$3:$C$152,0)),"",IF(ISBLANK(OFFSET('Mock Database'!$AE$2,MATCH($A202,'Mock Database'!$C$3:$C$152,0),0)),"",INDEX('Mock Database'!$AE$3:$AE$152,MATCH($A202,'Mock Database'!$C$3:$C$152,0))))</f>
        <v/>
      </c>
      <c r="K202" s="22" t="str">
        <f ca="1">IF(ISNA(MATCH($A202,'Mock Database'!$C$3:$C$152,0)),"",IF(ISBLANK(OFFSET('Mock Database'!$AF$2,MATCH($A202,'Mock Database'!$C$3:$C$152,0),0)),"",INDEX('Mock Database'!$AF$3:$AF$152,MATCH($A202,'Mock Database'!$C$3:$C$152,0))))</f>
        <v/>
      </c>
      <c r="N202" t="e">
        <f t="shared" si="33"/>
        <v>#N/A</v>
      </c>
      <c r="O202" s="89" t="e">
        <f t="shared" ca="1" si="34"/>
        <v>#N/A</v>
      </c>
      <c r="P202" s="22" t="e">
        <f t="shared" ca="1" si="35"/>
        <v>#N/A</v>
      </c>
      <c r="Q202" s="89" t="e">
        <f t="shared" ca="1" si="36"/>
        <v>#N/A</v>
      </c>
      <c r="R202" s="22" t="e">
        <f t="shared" ca="1" si="37"/>
        <v>#N/A</v>
      </c>
      <c r="S202" s="89" t="e">
        <f t="shared" ca="1" si="38"/>
        <v>#N/A</v>
      </c>
      <c r="T202" s="22" t="e">
        <f t="shared" ca="1" si="39"/>
        <v>#N/A</v>
      </c>
      <c r="U202" s="89" t="e">
        <f t="shared" ca="1" si="40"/>
        <v>#N/A</v>
      </c>
      <c r="V202" s="22" t="e">
        <f t="shared" ca="1" si="41"/>
        <v>#N/A</v>
      </c>
      <c r="AM202" t="e">
        <f t="shared" si="42"/>
        <v>#N/A</v>
      </c>
      <c r="AN202" t="e">
        <f t="shared" ca="1" si="43"/>
        <v>#N/A</v>
      </c>
    </row>
    <row r="203" spans="1:40" x14ac:dyDescent="0.3">
      <c r="A203" s="87">
        <v>202</v>
      </c>
      <c r="B203" t="str">
        <f>IFERROR(INDEX('Mock Database'!$D$3:$D$152,MATCH($A203,'Mock Database'!$C$3:$C$152,0)),"")</f>
        <v/>
      </c>
      <c r="C203" s="88" t="str">
        <f>IFERROR(INDEX('Mock Database'!$I$3:$I$152,MATCH($A203,'Mock Database'!$C$3:$C$152,0)),"")</f>
        <v/>
      </c>
      <c r="D203" s="89" t="str">
        <f ca="1">IF(ISNA(MATCH($A203,'Mock Database'!$C$3:$C$152,0)),"",IF(ISBLANK(OFFSET('Mock Database'!$M$2,MATCH($A203,'Mock Database'!$C$3:$C$152,0),0)),"",INDEX('Mock Database'!$M$3:$M$152,MATCH($A203,'Mock Database'!$C$3:$C$152,0))))</f>
        <v/>
      </c>
      <c r="E203" s="22" t="str">
        <f ca="1">IF(ISNA(MATCH($A203,'Mock Database'!$C$3:$C$152,0)),"",IF(ISBLANK(OFFSET('Mock Database'!$N$2,MATCH($A203,'Mock Database'!$C$3:$C$152,0),0)),"",INDEX('Mock Database'!$N$3:$N$152,MATCH($A203,'Mock Database'!$C$3:$C$152,0))))</f>
        <v/>
      </c>
      <c r="F203" s="89" t="str">
        <f ca="1">IF(ISNA(MATCH($A203,'Mock Database'!$C$3:$C$152,0)),"",IF(ISBLANK(OFFSET('Mock Database'!$S$2,MATCH($A203,'Mock Database'!$C$3:$C$152,0),0)),"",INDEX('Mock Database'!$S$3:$S$152,MATCH($A203,'Mock Database'!$C$3:$C$152,0))))</f>
        <v/>
      </c>
      <c r="G203" s="22" t="str">
        <f ca="1">IF(ISNA(MATCH($A203,'Mock Database'!$C$3:$C$152,0)),"",IF(ISBLANK(OFFSET('Mock Database'!$T$2,MATCH($A203,'Mock Database'!$C$3:$C$152,0),0)),"",INDEX('Mock Database'!$T$3:$T$152,MATCH($A203,'Mock Database'!$C$3:$C$152,0))))</f>
        <v/>
      </c>
      <c r="H203" s="89" t="str">
        <f ca="1">IF(ISNA(MATCH($A203,'Mock Database'!$C$3:$C$152,0)),"",IF(ISBLANK(OFFSET('Mock Database'!$Y$2,MATCH($A203,'Mock Database'!$C$3:$C$152,0),0)),"",INDEX('Mock Database'!$Y$3:$Y$152,MATCH($A203,'Mock Database'!$C$3:$C$152,0))))</f>
        <v/>
      </c>
      <c r="I203" s="22" t="str">
        <f ca="1">IF(ISNA(MATCH($A203,'Mock Database'!$C$3:$C$152,0)),"",IF(ISBLANK(OFFSET('Mock Database'!$Z$2,MATCH($A203,'Mock Database'!$C$3:$C$152,0),0)),"",INDEX('Mock Database'!$Z$3:$Z$152,MATCH($A203,'Mock Database'!$C$3:$C$152,0))))</f>
        <v/>
      </c>
      <c r="J203" s="89" t="str">
        <f ca="1">IF(ISNA(MATCH($A203,'Mock Database'!$C$3:$C$152,0)),"",IF(ISBLANK(OFFSET('Mock Database'!$AE$2,MATCH($A203,'Mock Database'!$C$3:$C$152,0),0)),"",INDEX('Mock Database'!$AE$3:$AE$152,MATCH($A203,'Mock Database'!$C$3:$C$152,0))))</f>
        <v/>
      </c>
      <c r="K203" s="22" t="str">
        <f ca="1">IF(ISNA(MATCH($A203,'Mock Database'!$C$3:$C$152,0)),"",IF(ISBLANK(OFFSET('Mock Database'!$AF$2,MATCH($A203,'Mock Database'!$C$3:$C$152,0),0)),"",INDEX('Mock Database'!$AF$3:$AF$152,MATCH($A203,'Mock Database'!$C$3:$C$152,0))))</f>
        <v/>
      </c>
      <c r="N203" t="e">
        <f t="shared" si="33"/>
        <v>#N/A</v>
      </c>
      <c r="O203" s="89" t="e">
        <f t="shared" ca="1" si="34"/>
        <v>#N/A</v>
      </c>
      <c r="P203" s="22" t="e">
        <f t="shared" ca="1" si="35"/>
        <v>#N/A</v>
      </c>
      <c r="Q203" s="89" t="e">
        <f t="shared" ca="1" si="36"/>
        <v>#N/A</v>
      </c>
      <c r="R203" s="22" t="e">
        <f t="shared" ca="1" si="37"/>
        <v>#N/A</v>
      </c>
      <c r="S203" s="89" t="e">
        <f t="shared" ca="1" si="38"/>
        <v>#N/A</v>
      </c>
      <c r="T203" s="22" t="e">
        <f t="shared" ca="1" si="39"/>
        <v>#N/A</v>
      </c>
      <c r="U203" s="89" t="e">
        <f t="shared" ca="1" si="40"/>
        <v>#N/A</v>
      </c>
      <c r="V203" s="22" t="e">
        <f t="shared" ca="1" si="41"/>
        <v>#N/A</v>
      </c>
      <c r="AM203" t="e">
        <f t="shared" si="42"/>
        <v>#N/A</v>
      </c>
      <c r="AN203" t="e">
        <f t="shared" ca="1" si="43"/>
        <v>#N/A</v>
      </c>
    </row>
    <row r="204" spans="1:40" x14ac:dyDescent="0.3">
      <c r="A204" s="87">
        <v>203</v>
      </c>
      <c r="B204" t="str">
        <f>IFERROR(INDEX('Mock Database'!$D$3:$D$152,MATCH($A204,'Mock Database'!$C$3:$C$152,0)),"")</f>
        <v/>
      </c>
      <c r="C204" s="88" t="str">
        <f>IFERROR(INDEX('Mock Database'!$I$3:$I$152,MATCH($A204,'Mock Database'!$C$3:$C$152,0)),"")</f>
        <v/>
      </c>
      <c r="D204" s="89" t="str">
        <f ca="1">IF(ISNA(MATCH($A204,'Mock Database'!$C$3:$C$152,0)),"",IF(ISBLANK(OFFSET('Mock Database'!$M$2,MATCH($A204,'Mock Database'!$C$3:$C$152,0),0)),"",INDEX('Mock Database'!$M$3:$M$152,MATCH($A204,'Mock Database'!$C$3:$C$152,0))))</f>
        <v/>
      </c>
      <c r="E204" s="22" t="str">
        <f ca="1">IF(ISNA(MATCH($A204,'Mock Database'!$C$3:$C$152,0)),"",IF(ISBLANK(OFFSET('Mock Database'!$N$2,MATCH($A204,'Mock Database'!$C$3:$C$152,0),0)),"",INDEX('Mock Database'!$N$3:$N$152,MATCH($A204,'Mock Database'!$C$3:$C$152,0))))</f>
        <v/>
      </c>
      <c r="F204" s="89" t="str">
        <f ca="1">IF(ISNA(MATCH($A204,'Mock Database'!$C$3:$C$152,0)),"",IF(ISBLANK(OFFSET('Mock Database'!$S$2,MATCH($A204,'Mock Database'!$C$3:$C$152,0),0)),"",INDEX('Mock Database'!$S$3:$S$152,MATCH($A204,'Mock Database'!$C$3:$C$152,0))))</f>
        <v/>
      </c>
      <c r="G204" s="22" t="str">
        <f ca="1">IF(ISNA(MATCH($A204,'Mock Database'!$C$3:$C$152,0)),"",IF(ISBLANK(OFFSET('Mock Database'!$T$2,MATCH($A204,'Mock Database'!$C$3:$C$152,0),0)),"",INDEX('Mock Database'!$T$3:$T$152,MATCH($A204,'Mock Database'!$C$3:$C$152,0))))</f>
        <v/>
      </c>
      <c r="H204" s="89" t="str">
        <f ca="1">IF(ISNA(MATCH($A204,'Mock Database'!$C$3:$C$152,0)),"",IF(ISBLANK(OFFSET('Mock Database'!$Y$2,MATCH($A204,'Mock Database'!$C$3:$C$152,0),0)),"",INDEX('Mock Database'!$Y$3:$Y$152,MATCH($A204,'Mock Database'!$C$3:$C$152,0))))</f>
        <v/>
      </c>
      <c r="I204" s="22" t="str">
        <f ca="1">IF(ISNA(MATCH($A204,'Mock Database'!$C$3:$C$152,0)),"",IF(ISBLANK(OFFSET('Mock Database'!$Z$2,MATCH($A204,'Mock Database'!$C$3:$C$152,0),0)),"",INDEX('Mock Database'!$Z$3:$Z$152,MATCH($A204,'Mock Database'!$C$3:$C$152,0))))</f>
        <v/>
      </c>
      <c r="J204" s="89" t="str">
        <f ca="1">IF(ISNA(MATCH($A204,'Mock Database'!$C$3:$C$152,0)),"",IF(ISBLANK(OFFSET('Mock Database'!$AE$2,MATCH($A204,'Mock Database'!$C$3:$C$152,0),0)),"",INDEX('Mock Database'!$AE$3:$AE$152,MATCH($A204,'Mock Database'!$C$3:$C$152,0))))</f>
        <v/>
      </c>
      <c r="K204" s="22" t="str">
        <f ca="1">IF(ISNA(MATCH($A204,'Mock Database'!$C$3:$C$152,0)),"",IF(ISBLANK(OFFSET('Mock Database'!$AF$2,MATCH($A204,'Mock Database'!$C$3:$C$152,0),0)),"",INDEX('Mock Database'!$AF$3:$AF$152,MATCH($A204,'Mock Database'!$C$3:$C$152,0))))</f>
        <v/>
      </c>
      <c r="N204" t="e">
        <f t="shared" si="33"/>
        <v>#N/A</v>
      </c>
      <c r="O204" s="89" t="e">
        <f t="shared" ca="1" si="34"/>
        <v>#N/A</v>
      </c>
      <c r="P204" s="22" t="e">
        <f t="shared" ca="1" si="35"/>
        <v>#N/A</v>
      </c>
      <c r="Q204" s="89" t="e">
        <f t="shared" ca="1" si="36"/>
        <v>#N/A</v>
      </c>
      <c r="R204" s="22" t="e">
        <f t="shared" ca="1" si="37"/>
        <v>#N/A</v>
      </c>
      <c r="S204" s="89" t="e">
        <f t="shared" ca="1" si="38"/>
        <v>#N/A</v>
      </c>
      <c r="T204" s="22" t="e">
        <f t="shared" ca="1" si="39"/>
        <v>#N/A</v>
      </c>
      <c r="U204" s="89" t="e">
        <f t="shared" ca="1" si="40"/>
        <v>#N/A</v>
      </c>
      <c r="V204" s="22" t="e">
        <f t="shared" ca="1" si="41"/>
        <v>#N/A</v>
      </c>
      <c r="AM204" t="e">
        <f t="shared" si="42"/>
        <v>#N/A</v>
      </c>
      <c r="AN204" t="e">
        <f t="shared" ca="1" si="43"/>
        <v>#N/A</v>
      </c>
    </row>
    <row r="205" spans="1:40" x14ac:dyDescent="0.3">
      <c r="A205" s="87">
        <v>204</v>
      </c>
      <c r="B205" t="str">
        <f>IFERROR(INDEX('Mock Database'!$D$3:$D$152,MATCH($A205,'Mock Database'!$C$3:$C$152,0)),"")</f>
        <v/>
      </c>
      <c r="C205" s="88" t="str">
        <f>IFERROR(INDEX('Mock Database'!$I$3:$I$152,MATCH($A205,'Mock Database'!$C$3:$C$152,0)),"")</f>
        <v/>
      </c>
      <c r="D205" s="89" t="str">
        <f ca="1">IF(ISNA(MATCH($A205,'Mock Database'!$C$3:$C$152,0)),"",IF(ISBLANK(OFFSET('Mock Database'!$M$2,MATCH($A205,'Mock Database'!$C$3:$C$152,0),0)),"",INDEX('Mock Database'!$M$3:$M$152,MATCH($A205,'Mock Database'!$C$3:$C$152,0))))</f>
        <v/>
      </c>
      <c r="E205" s="22" t="str">
        <f ca="1">IF(ISNA(MATCH($A205,'Mock Database'!$C$3:$C$152,0)),"",IF(ISBLANK(OFFSET('Mock Database'!$N$2,MATCH($A205,'Mock Database'!$C$3:$C$152,0),0)),"",INDEX('Mock Database'!$N$3:$N$152,MATCH($A205,'Mock Database'!$C$3:$C$152,0))))</f>
        <v/>
      </c>
      <c r="F205" s="89" t="str">
        <f ca="1">IF(ISNA(MATCH($A205,'Mock Database'!$C$3:$C$152,0)),"",IF(ISBLANK(OFFSET('Mock Database'!$S$2,MATCH($A205,'Mock Database'!$C$3:$C$152,0),0)),"",INDEX('Mock Database'!$S$3:$S$152,MATCH($A205,'Mock Database'!$C$3:$C$152,0))))</f>
        <v/>
      </c>
      <c r="G205" s="22" t="str">
        <f ca="1">IF(ISNA(MATCH($A205,'Mock Database'!$C$3:$C$152,0)),"",IF(ISBLANK(OFFSET('Mock Database'!$T$2,MATCH($A205,'Mock Database'!$C$3:$C$152,0),0)),"",INDEX('Mock Database'!$T$3:$T$152,MATCH($A205,'Mock Database'!$C$3:$C$152,0))))</f>
        <v/>
      </c>
      <c r="H205" s="89" t="str">
        <f ca="1">IF(ISNA(MATCH($A205,'Mock Database'!$C$3:$C$152,0)),"",IF(ISBLANK(OFFSET('Mock Database'!$Y$2,MATCH($A205,'Mock Database'!$C$3:$C$152,0),0)),"",INDEX('Mock Database'!$Y$3:$Y$152,MATCH($A205,'Mock Database'!$C$3:$C$152,0))))</f>
        <v/>
      </c>
      <c r="I205" s="22" t="str">
        <f ca="1">IF(ISNA(MATCH($A205,'Mock Database'!$C$3:$C$152,0)),"",IF(ISBLANK(OFFSET('Mock Database'!$Z$2,MATCH($A205,'Mock Database'!$C$3:$C$152,0),0)),"",INDEX('Mock Database'!$Z$3:$Z$152,MATCH($A205,'Mock Database'!$C$3:$C$152,0))))</f>
        <v/>
      </c>
      <c r="J205" s="89" t="str">
        <f ca="1">IF(ISNA(MATCH($A205,'Mock Database'!$C$3:$C$152,0)),"",IF(ISBLANK(OFFSET('Mock Database'!$AE$2,MATCH($A205,'Mock Database'!$C$3:$C$152,0),0)),"",INDEX('Mock Database'!$AE$3:$AE$152,MATCH($A205,'Mock Database'!$C$3:$C$152,0))))</f>
        <v/>
      </c>
      <c r="K205" s="22" t="str">
        <f ca="1">IF(ISNA(MATCH($A205,'Mock Database'!$C$3:$C$152,0)),"",IF(ISBLANK(OFFSET('Mock Database'!$AF$2,MATCH($A205,'Mock Database'!$C$3:$C$152,0),0)),"",INDEX('Mock Database'!$AF$3:$AF$152,MATCH($A205,'Mock Database'!$C$3:$C$152,0))))</f>
        <v/>
      </c>
      <c r="N205" t="e">
        <f t="shared" si="33"/>
        <v>#N/A</v>
      </c>
      <c r="O205" s="89" t="e">
        <f t="shared" ca="1" si="34"/>
        <v>#N/A</v>
      </c>
      <c r="P205" s="22" t="e">
        <f t="shared" ca="1" si="35"/>
        <v>#N/A</v>
      </c>
      <c r="Q205" s="89" t="e">
        <f t="shared" ca="1" si="36"/>
        <v>#N/A</v>
      </c>
      <c r="R205" s="22" t="e">
        <f t="shared" ca="1" si="37"/>
        <v>#N/A</v>
      </c>
      <c r="S205" s="89" t="e">
        <f t="shared" ca="1" si="38"/>
        <v>#N/A</v>
      </c>
      <c r="T205" s="22" t="e">
        <f t="shared" ca="1" si="39"/>
        <v>#N/A</v>
      </c>
      <c r="U205" s="89" t="e">
        <f t="shared" ca="1" si="40"/>
        <v>#N/A</v>
      </c>
      <c r="V205" s="22" t="e">
        <f t="shared" ca="1" si="41"/>
        <v>#N/A</v>
      </c>
      <c r="AM205" t="e">
        <f t="shared" si="42"/>
        <v>#N/A</v>
      </c>
      <c r="AN205" t="e">
        <f t="shared" ca="1" si="43"/>
        <v>#N/A</v>
      </c>
    </row>
    <row r="206" spans="1:40" x14ac:dyDescent="0.3">
      <c r="A206" s="87">
        <v>205</v>
      </c>
      <c r="B206" t="str">
        <f>IFERROR(INDEX('Mock Database'!$D$3:$D$152,MATCH($A206,'Mock Database'!$C$3:$C$152,0)),"")</f>
        <v/>
      </c>
      <c r="C206" s="88" t="str">
        <f>IFERROR(INDEX('Mock Database'!$I$3:$I$152,MATCH($A206,'Mock Database'!$C$3:$C$152,0)),"")</f>
        <v/>
      </c>
      <c r="D206" s="89" t="str">
        <f ca="1">IF(ISNA(MATCH($A206,'Mock Database'!$C$3:$C$152,0)),"",IF(ISBLANK(OFFSET('Mock Database'!$M$2,MATCH($A206,'Mock Database'!$C$3:$C$152,0),0)),"",INDEX('Mock Database'!$M$3:$M$152,MATCH($A206,'Mock Database'!$C$3:$C$152,0))))</f>
        <v/>
      </c>
      <c r="E206" s="22" t="str">
        <f ca="1">IF(ISNA(MATCH($A206,'Mock Database'!$C$3:$C$152,0)),"",IF(ISBLANK(OFFSET('Mock Database'!$N$2,MATCH($A206,'Mock Database'!$C$3:$C$152,0),0)),"",INDEX('Mock Database'!$N$3:$N$152,MATCH($A206,'Mock Database'!$C$3:$C$152,0))))</f>
        <v/>
      </c>
      <c r="F206" s="89" t="str">
        <f ca="1">IF(ISNA(MATCH($A206,'Mock Database'!$C$3:$C$152,0)),"",IF(ISBLANK(OFFSET('Mock Database'!$S$2,MATCH($A206,'Mock Database'!$C$3:$C$152,0),0)),"",INDEX('Mock Database'!$S$3:$S$152,MATCH($A206,'Mock Database'!$C$3:$C$152,0))))</f>
        <v/>
      </c>
      <c r="G206" s="22" t="str">
        <f ca="1">IF(ISNA(MATCH($A206,'Mock Database'!$C$3:$C$152,0)),"",IF(ISBLANK(OFFSET('Mock Database'!$T$2,MATCH($A206,'Mock Database'!$C$3:$C$152,0),0)),"",INDEX('Mock Database'!$T$3:$T$152,MATCH($A206,'Mock Database'!$C$3:$C$152,0))))</f>
        <v/>
      </c>
      <c r="H206" s="89" t="str">
        <f ca="1">IF(ISNA(MATCH($A206,'Mock Database'!$C$3:$C$152,0)),"",IF(ISBLANK(OFFSET('Mock Database'!$Y$2,MATCH($A206,'Mock Database'!$C$3:$C$152,0),0)),"",INDEX('Mock Database'!$Y$3:$Y$152,MATCH($A206,'Mock Database'!$C$3:$C$152,0))))</f>
        <v/>
      </c>
      <c r="I206" s="22" t="str">
        <f ca="1">IF(ISNA(MATCH($A206,'Mock Database'!$C$3:$C$152,0)),"",IF(ISBLANK(OFFSET('Mock Database'!$Z$2,MATCH($A206,'Mock Database'!$C$3:$C$152,0),0)),"",INDEX('Mock Database'!$Z$3:$Z$152,MATCH($A206,'Mock Database'!$C$3:$C$152,0))))</f>
        <v/>
      </c>
      <c r="J206" s="89" t="str">
        <f ca="1">IF(ISNA(MATCH($A206,'Mock Database'!$C$3:$C$152,0)),"",IF(ISBLANK(OFFSET('Mock Database'!$AE$2,MATCH($A206,'Mock Database'!$C$3:$C$152,0),0)),"",INDEX('Mock Database'!$AE$3:$AE$152,MATCH($A206,'Mock Database'!$C$3:$C$152,0))))</f>
        <v/>
      </c>
      <c r="K206" s="22" t="str">
        <f ca="1">IF(ISNA(MATCH($A206,'Mock Database'!$C$3:$C$152,0)),"",IF(ISBLANK(OFFSET('Mock Database'!$AF$2,MATCH($A206,'Mock Database'!$C$3:$C$152,0),0)),"",INDEX('Mock Database'!$AF$3:$AF$152,MATCH($A206,'Mock Database'!$C$3:$C$152,0))))</f>
        <v/>
      </c>
      <c r="N206" t="e">
        <f t="shared" si="33"/>
        <v>#N/A</v>
      </c>
      <c r="O206" s="89" t="e">
        <f t="shared" ca="1" si="34"/>
        <v>#N/A</v>
      </c>
      <c r="P206" s="22" t="e">
        <f t="shared" ca="1" si="35"/>
        <v>#N/A</v>
      </c>
      <c r="Q206" s="89" t="e">
        <f t="shared" ca="1" si="36"/>
        <v>#N/A</v>
      </c>
      <c r="R206" s="22" t="e">
        <f t="shared" ca="1" si="37"/>
        <v>#N/A</v>
      </c>
      <c r="S206" s="89" t="e">
        <f t="shared" ca="1" si="38"/>
        <v>#N/A</v>
      </c>
      <c r="T206" s="22" t="e">
        <f t="shared" ca="1" si="39"/>
        <v>#N/A</v>
      </c>
      <c r="U206" s="89" t="e">
        <f t="shared" ca="1" si="40"/>
        <v>#N/A</v>
      </c>
      <c r="V206" s="22" t="e">
        <f t="shared" ca="1" si="41"/>
        <v>#N/A</v>
      </c>
      <c r="AM206" t="e">
        <f t="shared" si="42"/>
        <v>#N/A</v>
      </c>
      <c r="AN206" t="e">
        <f t="shared" ca="1" si="43"/>
        <v>#N/A</v>
      </c>
    </row>
    <row r="207" spans="1:40" x14ac:dyDescent="0.3">
      <c r="A207" s="87">
        <v>206</v>
      </c>
      <c r="B207" t="str">
        <f>IFERROR(INDEX('Mock Database'!$D$3:$D$152,MATCH($A207,'Mock Database'!$C$3:$C$152,0)),"")</f>
        <v/>
      </c>
      <c r="C207" s="88" t="str">
        <f>IFERROR(INDEX('Mock Database'!$I$3:$I$152,MATCH($A207,'Mock Database'!$C$3:$C$152,0)),"")</f>
        <v/>
      </c>
      <c r="D207" s="89" t="str">
        <f ca="1">IF(ISNA(MATCH($A207,'Mock Database'!$C$3:$C$152,0)),"",IF(ISBLANK(OFFSET('Mock Database'!$M$2,MATCH($A207,'Mock Database'!$C$3:$C$152,0),0)),"",INDEX('Mock Database'!$M$3:$M$152,MATCH($A207,'Mock Database'!$C$3:$C$152,0))))</f>
        <v/>
      </c>
      <c r="E207" s="22" t="str">
        <f ca="1">IF(ISNA(MATCH($A207,'Mock Database'!$C$3:$C$152,0)),"",IF(ISBLANK(OFFSET('Mock Database'!$N$2,MATCH($A207,'Mock Database'!$C$3:$C$152,0),0)),"",INDEX('Mock Database'!$N$3:$N$152,MATCH($A207,'Mock Database'!$C$3:$C$152,0))))</f>
        <v/>
      </c>
      <c r="F207" s="89" t="str">
        <f ca="1">IF(ISNA(MATCH($A207,'Mock Database'!$C$3:$C$152,0)),"",IF(ISBLANK(OFFSET('Mock Database'!$S$2,MATCH($A207,'Mock Database'!$C$3:$C$152,0),0)),"",INDEX('Mock Database'!$S$3:$S$152,MATCH($A207,'Mock Database'!$C$3:$C$152,0))))</f>
        <v/>
      </c>
      <c r="G207" s="22" t="str">
        <f ca="1">IF(ISNA(MATCH($A207,'Mock Database'!$C$3:$C$152,0)),"",IF(ISBLANK(OFFSET('Mock Database'!$T$2,MATCH($A207,'Mock Database'!$C$3:$C$152,0),0)),"",INDEX('Mock Database'!$T$3:$T$152,MATCH($A207,'Mock Database'!$C$3:$C$152,0))))</f>
        <v/>
      </c>
      <c r="H207" s="89" t="str">
        <f ca="1">IF(ISNA(MATCH($A207,'Mock Database'!$C$3:$C$152,0)),"",IF(ISBLANK(OFFSET('Mock Database'!$Y$2,MATCH($A207,'Mock Database'!$C$3:$C$152,0),0)),"",INDEX('Mock Database'!$Y$3:$Y$152,MATCH($A207,'Mock Database'!$C$3:$C$152,0))))</f>
        <v/>
      </c>
      <c r="I207" s="22" t="str">
        <f ca="1">IF(ISNA(MATCH($A207,'Mock Database'!$C$3:$C$152,0)),"",IF(ISBLANK(OFFSET('Mock Database'!$Z$2,MATCH($A207,'Mock Database'!$C$3:$C$152,0),0)),"",INDEX('Mock Database'!$Z$3:$Z$152,MATCH($A207,'Mock Database'!$C$3:$C$152,0))))</f>
        <v/>
      </c>
      <c r="J207" s="89" t="str">
        <f ca="1">IF(ISNA(MATCH($A207,'Mock Database'!$C$3:$C$152,0)),"",IF(ISBLANK(OFFSET('Mock Database'!$AE$2,MATCH($A207,'Mock Database'!$C$3:$C$152,0),0)),"",INDEX('Mock Database'!$AE$3:$AE$152,MATCH($A207,'Mock Database'!$C$3:$C$152,0))))</f>
        <v/>
      </c>
      <c r="K207" s="22" t="str">
        <f ca="1">IF(ISNA(MATCH($A207,'Mock Database'!$C$3:$C$152,0)),"",IF(ISBLANK(OFFSET('Mock Database'!$AF$2,MATCH($A207,'Mock Database'!$C$3:$C$152,0),0)),"",INDEX('Mock Database'!$AF$3:$AF$152,MATCH($A207,'Mock Database'!$C$3:$C$152,0))))</f>
        <v/>
      </c>
      <c r="N207" t="e">
        <f t="shared" si="33"/>
        <v>#N/A</v>
      </c>
      <c r="O207" s="89" t="e">
        <f t="shared" ca="1" si="34"/>
        <v>#N/A</v>
      </c>
      <c r="P207" s="22" t="e">
        <f t="shared" ca="1" si="35"/>
        <v>#N/A</v>
      </c>
      <c r="Q207" s="89" t="e">
        <f t="shared" ca="1" si="36"/>
        <v>#N/A</v>
      </c>
      <c r="R207" s="22" t="e">
        <f t="shared" ca="1" si="37"/>
        <v>#N/A</v>
      </c>
      <c r="S207" s="89" t="e">
        <f t="shared" ca="1" si="38"/>
        <v>#N/A</v>
      </c>
      <c r="T207" s="22" t="e">
        <f t="shared" ca="1" si="39"/>
        <v>#N/A</v>
      </c>
      <c r="U207" s="89" t="e">
        <f t="shared" ca="1" si="40"/>
        <v>#N/A</v>
      </c>
      <c r="V207" s="22" t="e">
        <f t="shared" ca="1" si="41"/>
        <v>#N/A</v>
      </c>
      <c r="AM207" t="e">
        <f t="shared" si="42"/>
        <v>#N/A</v>
      </c>
      <c r="AN207" t="e">
        <f t="shared" ca="1" si="43"/>
        <v>#N/A</v>
      </c>
    </row>
    <row r="208" spans="1:40" x14ac:dyDescent="0.3">
      <c r="A208" s="87">
        <v>207</v>
      </c>
      <c r="B208" t="str">
        <f>IFERROR(INDEX('Mock Database'!$D$3:$D$152,MATCH($A208,'Mock Database'!$C$3:$C$152,0)),"")</f>
        <v/>
      </c>
      <c r="C208" s="88" t="str">
        <f>IFERROR(INDEX('Mock Database'!$I$3:$I$152,MATCH($A208,'Mock Database'!$C$3:$C$152,0)),"")</f>
        <v/>
      </c>
      <c r="D208" s="89" t="str">
        <f ca="1">IF(ISNA(MATCH($A208,'Mock Database'!$C$3:$C$152,0)),"",IF(ISBLANK(OFFSET('Mock Database'!$M$2,MATCH($A208,'Mock Database'!$C$3:$C$152,0),0)),"",INDEX('Mock Database'!$M$3:$M$152,MATCH($A208,'Mock Database'!$C$3:$C$152,0))))</f>
        <v/>
      </c>
      <c r="E208" s="22" t="str">
        <f ca="1">IF(ISNA(MATCH($A208,'Mock Database'!$C$3:$C$152,0)),"",IF(ISBLANK(OFFSET('Mock Database'!$N$2,MATCH($A208,'Mock Database'!$C$3:$C$152,0),0)),"",INDEX('Mock Database'!$N$3:$N$152,MATCH($A208,'Mock Database'!$C$3:$C$152,0))))</f>
        <v/>
      </c>
      <c r="F208" s="89" t="str">
        <f ca="1">IF(ISNA(MATCH($A208,'Mock Database'!$C$3:$C$152,0)),"",IF(ISBLANK(OFFSET('Mock Database'!$S$2,MATCH($A208,'Mock Database'!$C$3:$C$152,0),0)),"",INDEX('Mock Database'!$S$3:$S$152,MATCH($A208,'Mock Database'!$C$3:$C$152,0))))</f>
        <v/>
      </c>
      <c r="G208" s="22" t="str">
        <f ca="1">IF(ISNA(MATCH($A208,'Mock Database'!$C$3:$C$152,0)),"",IF(ISBLANK(OFFSET('Mock Database'!$T$2,MATCH($A208,'Mock Database'!$C$3:$C$152,0),0)),"",INDEX('Mock Database'!$T$3:$T$152,MATCH($A208,'Mock Database'!$C$3:$C$152,0))))</f>
        <v/>
      </c>
      <c r="H208" s="89" t="str">
        <f ca="1">IF(ISNA(MATCH($A208,'Mock Database'!$C$3:$C$152,0)),"",IF(ISBLANK(OFFSET('Mock Database'!$Y$2,MATCH($A208,'Mock Database'!$C$3:$C$152,0),0)),"",INDEX('Mock Database'!$Y$3:$Y$152,MATCH($A208,'Mock Database'!$C$3:$C$152,0))))</f>
        <v/>
      </c>
      <c r="I208" s="22" t="str">
        <f ca="1">IF(ISNA(MATCH($A208,'Mock Database'!$C$3:$C$152,0)),"",IF(ISBLANK(OFFSET('Mock Database'!$Z$2,MATCH($A208,'Mock Database'!$C$3:$C$152,0),0)),"",INDEX('Mock Database'!$Z$3:$Z$152,MATCH($A208,'Mock Database'!$C$3:$C$152,0))))</f>
        <v/>
      </c>
      <c r="J208" s="89" t="str">
        <f ca="1">IF(ISNA(MATCH($A208,'Mock Database'!$C$3:$C$152,0)),"",IF(ISBLANK(OFFSET('Mock Database'!$AE$2,MATCH($A208,'Mock Database'!$C$3:$C$152,0),0)),"",INDEX('Mock Database'!$AE$3:$AE$152,MATCH($A208,'Mock Database'!$C$3:$C$152,0))))</f>
        <v/>
      </c>
      <c r="K208" s="22" t="str">
        <f ca="1">IF(ISNA(MATCH($A208,'Mock Database'!$C$3:$C$152,0)),"",IF(ISBLANK(OFFSET('Mock Database'!$AF$2,MATCH($A208,'Mock Database'!$C$3:$C$152,0),0)),"",INDEX('Mock Database'!$AF$3:$AF$152,MATCH($A208,'Mock Database'!$C$3:$C$152,0))))</f>
        <v/>
      </c>
      <c r="N208" t="e">
        <f t="shared" si="33"/>
        <v>#N/A</v>
      </c>
      <c r="O208" s="89" t="e">
        <f t="shared" ca="1" si="34"/>
        <v>#N/A</v>
      </c>
      <c r="P208" s="22" t="e">
        <f t="shared" ca="1" si="35"/>
        <v>#N/A</v>
      </c>
      <c r="Q208" s="89" t="e">
        <f t="shared" ca="1" si="36"/>
        <v>#N/A</v>
      </c>
      <c r="R208" s="22" t="e">
        <f t="shared" ca="1" si="37"/>
        <v>#N/A</v>
      </c>
      <c r="S208" s="89" t="e">
        <f t="shared" ca="1" si="38"/>
        <v>#N/A</v>
      </c>
      <c r="T208" s="22" t="e">
        <f t="shared" ca="1" si="39"/>
        <v>#N/A</v>
      </c>
      <c r="U208" s="89" t="e">
        <f t="shared" ca="1" si="40"/>
        <v>#N/A</v>
      </c>
      <c r="V208" s="22" t="e">
        <f t="shared" ca="1" si="41"/>
        <v>#N/A</v>
      </c>
      <c r="AM208" t="e">
        <f t="shared" si="42"/>
        <v>#N/A</v>
      </c>
      <c r="AN208" t="e">
        <f t="shared" ca="1" si="43"/>
        <v>#N/A</v>
      </c>
    </row>
    <row r="209" spans="1:40" x14ac:dyDescent="0.3">
      <c r="A209" s="87">
        <v>208</v>
      </c>
      <c r="B209" t="str">
        <f>IFERROR(INDEX('Mock Database'!$D$3:$D$152,MATCH($A209,'Mock Database'!$C$3:$C$152,0)),"")</f>
        <v/>
      </c>
      <c r="C209" s="88" t="str">
        <f>IFERROR(INDEX('Mock Database'!$I$3:$I$152,MATCH($A209,'Mock Database'!$C$3:$C$152,0)),"")</f>
        <v/>
      </c>
      <c r="D209" s="89" t="str">
        <f ca="1">IF(ISNA(MATCH($A209,'Mock Database'!$C$3:$C$152,0)),"",IF(ISBLANK(OFFSET('Mock Database'!$M$2,MATCH($A209,'Mock Database'!$C$3:$C$152,0),0)),"",INDEX('Mock Database'!$M$3:$M$152,MATCH($A209,'Mock Database'!$C$3:$C$152,0))))</f>
        <v/>
      </c>
      <c r="E209" s="22" t="str">
        <f ca="1">IF(ISNA(MATCH($A209,'Mock Database'!$C$3:$C$152,0)),"",IF(ISBLANK(OFFSET('Mock Database'!$N$2,MATCH($A209,'Mock Database'!$C$3:$C$152,0),0)),"",INDEX('Mock Database'!$N$3:$N$152,MATCH($A209,'Mock Database'!$C$3:$C$152,0))))</f>
        <v/>
      </c>
      <c r="F209" s="89" t="str">
        <f ca="1">IF(ISNA(MATCH($A209,'Mock Database'!$C$3:$C$152,0)),"",IF(ISBLANK(OFFSET('Mock Database'!$S$2,MATCH($A209,'Mock Database'!$C$3:$C$152,0),0)),"",INDEX('Mock Database'!$S$3:$S$152,MATCH($A209,'Mock Database'!$C$3:$C$152,0))))</f>
        <v/>
      </c>
      <c r="G209" s="22" t="str">
        <f ca="1">IF(ISNA(MATCH($A209,'Mock Database'!$C$3:$C$152,0)),"",IF(ISBLANK(OFFSET('Mock Database'!$T$2,MATCH($A209,'Mock Database'!$C$3:$C$152,0),0)),"",INDEX('Mock Database'!$T$3:$T$152,MATCH($A209,'Mock Database'!$C$3:$C$152,0))))</f>
        <v/>
      </c>
      <c r="H209" s="89" t="str">
        <f ca="1">IF(ISNA(MATCH($A209,'Mock Database'!$C$3:$C$152,0)),"",IF(ISBLANK(OFFSET('Mock Database'!$Y$2,MATCH($A209,'Mock Database'!$C$3:$C$152,0),0)),"",INDEX('Mock Database'!$Y$3:$Y$152,MATCH($A209,'Mock Database'!$C$3:$C$152,0))))</f>
        <v/>
      </c>
      <c r="I209" s="22" t="str">
        <f ca="1">IF(ISNA(MATCH($A209,'Mock Database'!$C$3:$C$152,0)),"",IF(ISBLANK(OFFSET('Mock Database'!$Z$2,MATCH($A209,'Mock Database'!$C$3:$C$152,0),0)),"",INDEX('Mock Database'!$Z$3:$Z$152,MATCH($A209,'Mock Database'!$C$3:$C$152,0))))</f>
        <v/>
      </c>
      <c r="J209" s="89" t="str">
        <f ca="1">IF(ISNA(MATCH($A209,'Mock Database'!$C$3:$C$152,0)),"",IF(ISBLANK(OFFSET('Mock Database'!$AE$2,MATCH($A209,'Mock Database'!$C$3:$C$152,0),0)),"",INDEX('Mock Database'!$AE$3:$AE$152,MATCH($A209,'Mock Database'!$C$3:$C$152,0))))</f>
        <v/>
      </c>
      <c r="K209" s="22" t="str">
        <f ca="1">IF(ISNA(MATCH($A209,'Mock Database'!$C$3:$C$152,0)),"",IF(ISBLANK(OFFSET('Mock Database'!$AF$2,MATCH($A209,'Mock Database'!$C$3:$C$152,0),0)),"",INDEX('Mock Database'!$AF$3:$AF$152,MATCH($A209,'Mock Database'!$C$3:$C$152,0))))</f>
        <v/>
      </c>
      <c r="N209" t="e">
        <f t="shared" si="33"/>
        <v>#N/A</v>
      </c>
      <c r="O209" s="89" t="e">
        <f t="shared" ca="1" si="34"/>
        <v>#N/A</v>
      </c>
      <c r="P209" s="22" t="e">
        <f t="shared" ca="1" si="35"/>
        <v>#N/A</v>
      </c>
      <c r="Q209" s="89" t="e">
        <f t="shared" ca="1" si="36"/>
        <v>#N/A</v>
      </c>
      <c r="R209" s="22" t="e">
        <f t="shared" ca="1" si="37"/>
        <v>#N/A</v>
      </c>
      <c r="S209" s="89" t="e">
        <f t="shared" ca="1" si="38"/>
        <v>#N/A</v>
      </c>
      <c r="T209" s="22" t="e">
        <f t="shared" ca="1" si="39"/>
        <v>#N/A</v>
      </c>
      <c r="U209" s="89" t="e">
        <f t="shared" ca="1" si="40"/>
        <v>#N/A</v>
      </c>
      <c r="V209" s="22" t="e">
        <f t="shared" ca="1" si="41"/>
        <v>#N/A</v>
      </c>
      <c r="AM209" t="e">
        <f t="shared" si="42"/>
        <v>#N/A</v>
      </c>
      <c r="AN209" t="e">
        <f t="shared" ca="1" si="43"/>
        <v>#N/A</v>
      </c>
    </row>
    <row r="210" spans="1:40" x14ac:dyDescent="0.3">
      <c r="A210" s="87">
        <v>209</v>
      </c>
      <c r="B210" t="str">
        <f>IFERROR(INDEX('Mock Database'!$D$3:$D$152,MATCH($A210,'Mock Database'!$C$3:$C$152,0)),"")</f>
        <v/>
      </c>
      <c r="C210" s="88" t="str">
        <f>IFERROR(INDEX('Mock Database'!$I$3:$I$152,MATCH($A210,'Mock Database'!$C$3:$C$152,0)),"")</f>
        <v/>
      </c>
      <c r="D210" s="89" t="str">
        <f ca="1">IF(ISNA(MATCH($A210,'Mock Database'!$C$3:$C$152,0)),"",IF(ISBLANK(OFFSET('Mock Database'!$M$2,MATCH($A210,'Mock Database'!$C$3:$C$152,0),0)),"",INDEX('Mock Database'!$M$3:$M$152,MATCH($A210,'Mock Database'!$C$3:$C$152,0))))</f>
        <v/>
      </c>
      <c r="E210" s="22" t="str">
        <f ca="1">IF(ISNA(MATCH($A210,'Mock Database'!$C$3:$C$152,0)),"",IF(ISBLANK(OFFSET('Mock Database'!$N$2,MATCH($A210,'Mock Database'!$C$3:$C$152,0),0)),"",INDEX('Mock Database'!$N$3:$N$152,MATCH($A210,'Mock Database'!$C$3:$C$152,0))))</f>
        <v/>
      </c>
      <c r="F210" s="89" t="str">
        <f ca="1">IF(ISNA(MATCH($A210,'Mock Database'!$C$3:$C$152,0)),"",IF(ISBLANK(OFFSET('Mock Database'!$S$2,MATCH($A210,'Mock Database'!$C$3:$C$152,0),0)),"",INDEX('Mock Database'!$S$3:$S$152,MATCH($A210,'Mock Database'!$C$3:$C$152,0))))</f>
        <v/>
      </c>
      <c r="G210" s="22" t="str">
        <f ca="1">IF(ISNA(MATCH($A210,'Mock Database'!$C$3:$C$152,0)),"",IF(ISBLANK(OFFSET('Mock Database'!$T$2,MATCH($A210,'Mock Database'!$C$3:$C$152,0),0)),"",INDEX('Mock Database'!$T$3:$T$152,MATCH($A210,'Mock Database'!$C$3:$C$152,0))))</f>
        <v/>
      </c>
      <c r="H210" s="89" t="str">
        <f ca="1">IF(ISNA(MATCH($A210,'Mock Database'!$C$3:$C$152,0)),"",IF(ISBLANK(OFFSET('Mock Database'!$Y$2,MATCH($A210,'Mock Database'!$C$3:$C$152,0),0)),"",INDEX('Mock Database'!$Y$3:$Y$152,MATCH($A210,'Mock Database'!$C$3:$C$152,0))))</f>
        <v/>
      </c>
      <c r="I210" s="22" t="str">
        <f ca="1">IF(ISNA(MATCH($A210,'Mock Database'!$C$3:$C$152,0)),"",IF(ISBLANK(OFFSET('Mock Database'!$Z$2,MATCH($A210,'Mock Database'!$C$3:$C$152,0),0)),"",INDEX('Mock Database'!$Z$3:$Z$152,MATCH($A210,'Mock Database'!$C$3:$C$152,0))))</f>
        <v/>
      </c>
      <c r="J210" s="89" t="str">
        <f ca="1">IF(ISNA(MATCH($A210,'Mock Database'!$C$3:$C$152,0)),"",IF(ISBLANK(OFFSET('Mock Database'!$AE$2,MATCH($A210,'Mock Database'!$C$3:$C$152,0),0)),"",INDEX('Mock Database'!$AE$3:$AE$152,MATCH($A210,'Mock Database'!$C$3:$C$152,0))))</f>
        <v/>
      </c>
      <c r="K210" s="22" t="str">
        <f ca="1">IF(ISNA(MATCH($A210,'Mock Database'!$C$3:$C$152,0)),"",IF(ISBLANK(OFFSET('Mock Database'!$AF$2,MATCH($A210,'Mock Database'!$C$3:$C$152,0),0)),"",INDEX('Mock Database'!$AF$3:$AF$152,MATCH($A210,'Mock Database'!$C$3:$C$152,0))))</f>
        <v/>
      </c>
      <c r="N210" t="e">
        <f t="shared" si="33"/>
        <v>#N/A</v>
      </c>
      <c r="O210" s="89" t="e">
        <f t="shared" ca="1" si="34"/>
        <v>#N/A</v>
      </c>
      <c r="P210" s="22" t="e">
        <f t="shared" ca="1" si="35"/>
        <v>#N/A</v>
      </c>
      <c r="Q210" s="89" t="e">
        <f t="shared" ca="1" si="36"/>
        <v>#N/A</v>
      </c>
      <c r="R210" s="22" t="e">
        <f t="shared" ca="1" si="37"/>
        <v>#N/A</v>
      </c>
      <c r="S210" s="89" t="e">
        <f t="shared" ca="1" si="38"/>
        <v>#N/A</v>
      </c>
      <c r="T210" s="22" t="e">
        <f t="shared" ca="1" si="39"/>
        <v>#N/A</v>
      </c>
      <c r="U210" s="89" t="e">
        <f t="shared" ca="1" si="40"/>
        <v>#N/A</v>
      </c>
      <c r="V210" s="22" t="e">
        <f t="shared" ca="1" si="41"/>
        <v>#N/A</v>
      </c>
      <c r="AM210" t="e">
        <f t="shared" si="42"/>
        <v>#N/A</v>
      </c>
      <c r="AN210" t="e">
        <f t="shared" ca="1" si="43"/>
        <v>#N/A</v>
      </c>
    </row>
    <row r="211" spans="1:40" x14ac:dyDescent="0.3">
      <c r="A211" s="87">
        <v>210</v>
      </c>
      <c r="B211" t="str">
        <f>IFERROR(INDEX('Mock Database'!$D$3:$D$152,MATCH($A211,'Mock Database'!$C$3:$C$152,0)),"")</f>
        <v/>
      </c>
      <c r="C211" s="88" t="str">
        <f>IFERROR(INDEX('Mock Database'!$I$3:$I$152,MATCH($A211,'Mock Database'!$C$3:$C$152,0)),"")</f>
        <v/>
      </c>
      <c r="D211" s="89" t="str">
        <f ca="1">IF(ISNA(MATCH($A211,'Mock Database'!$C$3:$C$152,0)),"",IF(ISBLANK(OFFSET('Mock Database'!$M$2,MATCH($A211,'Mock Database'!$C$3:$C$152,0),0)),"",INDEX('Mock Database'!$M$3:$M$152,MATCH($A211,'Mock Database'!$C$3:$C$152,0))))</f>
        <v/>
      </c>
      <c r="E211" s="22" t="str">
        <f ca="1">IF(ISNA(MATCH($A211,'Mock Database'!$C$3:$C$152,0)),"",IF(ISBLANK(OFFSET('Mock Database'!$N$2,MATCH($A211,'Mock Database'!$C$3:$C$152,0),0)),"",INDEX('Mock Database'!$N$3:$N$152,MATCH($A211,'Mock Database'!$C$3:$C$152,0))))</f>
        <v/>
      </c>
      <c r="F211" s="89" t="str">
        <f ca="1">IF(ISNA(MATCH($A211,'Mock Database'!$C$3:$C$152,0)),"",IF(ISBLANK(OFFSET('Mock Database'!$S$2,MATCH($A211,'Mock Database'!$C$3:$C$152,0),0)),"",INDEX('Mock Database'!$S$3:$S$152,MATCH($A211,'Mock Database'!$C$3:$C$152,0))))</f>
        <v/>
      </c>
      <c r="G211" s="22" t="str">
        <f ca="1">IF(ISNA(MATCH($A211,'Mock Database'!$C$3:$C$152,0)),"",IF(ISBLANK(OFFSET('Mock Database'!$T$2,MATCH($A211,'Mock Database'!$C$3:$C$152,0),0)),"",INDEX('Mock Database'!$T$3:$T$152,MATCH($A211,'Mock Database'!$C$3:$C$152,0))))</f>
        <v/>
      </c>
      <c r="H211" s="89" t="str">
        <f ca="1">IF(ISNA(MATCH($A211,'Mock Database'!$C$3:$C$152,0)),"",IF(ISBLANK(OFFSET('Mock Database'!$Y$2,MATCH($A211,'Mock Database'!$C$3:$C$152,0),0)),"",INDEX('Mock Database'!$Y$3:$Y$152,MATCH($A211,'Mock Database'!$C$3:$C$152,0))))</f>
        <v/>
      </c>
      <c r="I211" s="22" t="str">
        <f ca="1">IF(ISNA(MATCH($A211,'Mock Database'!$C$3:$C$152,0)),"",IF(ISBLANK(OFFSET('Mock Database'!$Z$2,MATCH($A211,'Mock Database'!$C$3:$C$152,0),0)),"",INDEX('Mock Database'!$Z$3:$Z$152,MATCH($A211,'Mock Database'!$C$3:$C$152,0))))</f>
        <v/>
      </c>
      <c r="J211" s="89" t="str">
        <f ca="1">IF(ISNA(MATCH($A211,'Mock Database'!$C$3:$C$152,0)),"",IF(ISBLANK(OFFSET('Mock Database'!$AE$2,MATCH($A211,'Mock Database'!$C$3:$C$152,0),0)),"",INDEX('Mock Database'!$AE$3:$AE$152,MATCH($A211,'Mock Database'!$C$3:$C$152,0))))</f>
        <v/>
      </c>
      <c r="K211" s="22" t="str">
        <f ca="1">IF(ISNA(MATCH($A211,'Mock Database'!$C$3:$C$152,0)),"",IF(ISBLANK(OFFSET('Mock Database'!$AF$2,MATCH($A211,'Mock Database'!$C$3:$C$152,0),0)),"",INDEX('Mock Database'!$AF$3:$AF$152,MATCH($A211,'Mock Database'!$C$3:$C$152,0))))</f>
        <v/>
      </c>
      <c r="N211" t="e">
        <f t="shared" si="33"/>
        <v>#N/A</v>
      </c>
      <c r="O211" s="89" t="e">
        <f t="shared" ca="1" si="34"/>
        <v>#N/A</v>
      </c>
      <c r="P211" s="22" t="e">
        <f t="shared" ca="1" si="35"/>
        <v>#N/A</v>
      </c>
      <c r="Q211" s="89" t="e">
        <f t="shared" ca="1" si="36"/>
        <v>#N/A</v>
      </c>
      <c r="R211" s="22" t="e">
        <f t="shared" ca="1" si="37"/>
        <v>#N/A</v>
      </c>
      <c r="S211" s="89" t="e">
        <f t="shared" ca="1" si="38"/>
        <v>#N/A</v>
      </c>
      <c r="T211" s="22" t="e">
        <f t="shared" ca="1" si="39"/>
        <v>#N/A</v>
      </c>
      <c r="U211" s="89" t="e">
        <f t="shared" ca="1" si="40"/>
        <v>#N/A</v>
      </c>
      <c r="V211" s="22" t="e">
        <f t="shared" ca="1" si="41"/>
        <v>#N/A</v>
      </c>
      <c r="AM211" t="e">
        <f t="shared" si="42"/>
        <v>#N/A</v>
      </c>
      <c r="AN211" t="e">
        <f t="shared" ca="1" si="43"/>
        <v>#N/A</v>
      </c>
    </row>
    <row r="212" spans="1:40" x14ac:dyDescent="0.3">
      <c r="A212" s="87">
        <v>211</v>
      </c>
      <c r="B212" t="str">
        <f>IFERROR(INDEX('Mock Database'!$D$3:$D$152,MATCH($A212,'Mock Database'!$C$3:$C$152,0)),"")</f>
        <v/>
      </c>
      <c r="C212" s="88" t="str">
        <f>IFERROR(INDEX('Mock Database'!$I$3:$I$152,MATCH($A212,'Mock Database'!$C$3:$C$152,0)),"")</f>
        <v/>
      </c>
      <c r="D212" s="89" t="str">
        <f ca="1">IF(ISNA(MATCH($A212,'Mock Database'!$C$3:$C$152,0)),"",IF(ISBLANK(OFFSET('Mock Database'!$M$2,MATCH($A212,'Mock Database'!$C$3:$C$152,0),0)),"",INDEX('Mock Database'!$M$3:$M$152,MATCH($A212,'Mock Database'!$C$3:$C$152,0))))</f>
        <v/>
      </c>
      <c r="E212" s="22" t="str">
        <f ca="1">IF(ISNA(MATCH($A212,'Mock Database'!$C$3:$C$152,0)),"",IF(ISBLANK(OFFSET('Mock Database'!$N$2,MATCH($A212,'Mock Database'!$C$3:$C$152,0),0)),"",INDEX('Mock Database'!$N$3:$N$152,MATCH($A212,'Mock Database'!$C$3:$C$152,0))))</f>
        <v/>
      </c>
      <c r="F212" s="89" t="str">
        <f ca="1">IF(ISNA(MATCH($A212,'Mock Database'!$C$3:$C$152,0)),"",IF(ISBLANK(OFFSET('Mock Database'!$S$2,MATCH($A212,'Mock Database'!$C$3:$C$152,0),0)),"",INDEX('Mock Database'!$S$3:$S$152,MATCH($A212,'Mock Database'!$C$3:$C$152,0))))</f>
        <v/>
      </c>
      <c r="G212" s="22" t="str">
        <f ca="1">IF(ISNA(MATCH($A212,'Mock Database'!$C$3:$C$152,0)),"",IF(ISBLANK(OFFSET('Mock Database'!$T$2,MATCH($A212,'Mock Database'!$C$3:$C$152,0),0)),"",INDEX('Mock Database'!$T$3:$T$152,MATCH($A212,'Mock Database'!$C$3:$C$152,0))))</f>
        <v/>
      </c>
      <c r="H212" s="89" t="str">
        <f ca="1">IF(ISNA(MATCH($A212,'Mock Database'!$C$3:$C$152,0)),"",IF(ISBLANK(OFFSET('Mock Database'!$Y$2,MATCH($A212,'Mock Database'!$C$3:$C$152,0),0)),"",INDEX('Mock Database'!$Y$3:$Y$152,MATCH($A212,'Mock Database'!$C$3:$C$152,0))))</f>
        <v/>
      </c>
      <c r="I212" s="22" t="str">
        <f ca="1">IF(ISNA(MATCH($A212,'Mock Database'!$C$3:$C$152,0)),"",IF(ISBLANK(OFFSET('Mock Database'!$Z$2,MATCH($A212,'Mock Database'!$C$3:$C$152,0),0)),"",INDEX('Mock Database'!$Z$3:$Z$152,MATCH($A212,'Mock Database'!$C$3:$C$152,0))))</f>
        <v/>
      </c>
      <c r="J212" s="89" t="str">
        <f ca="1">IF(ISNA(MATCH($A212,'Mock Database'!$C$3:$C$152,0)),"",IF(ISBLANK(OFFSET('Mock Database'!$AE$2,MATCH($A212,'Mock Database'!$C$3:$C$152,0),0)),"",INDEX('Mock Database'!$AE$3:$AE$152,MATCH($A212,'Mock Database'!$C$3:$C$152,0))))</f>
        <v/>
      </c>
      <c r="K212" s="22" t="str">
        <f ca="1">IF(ISNA(MATCH($A212,'Mock Database'!$C$3:$C$152,0)),"",IF(ISBLANK(OFFSET('Mock Database'!$AF$2,MATCH($A212,'Mock Database'!$C$3:$C$152,0),0)),"",INDEX('Mock Database'!$AF$3:$AF$152,MATCH($A212,'Mock Database'!$C$3:$C$152,0))))</f>
        <v/>
      </c>
      <c r="N212" t="e">
        <f t="shared" si="33"/>
        <v>#N/A</v>
      </c>
      <c r="O212" s="89" t="e">
        <f t="shared" ca="1" si="34"/>
        <v>#N/A</v>
      </c>
      <c r="P212" s="22" t="e">
        <f t="shared" ca="1" si="35"/>
        <v>#N/A</v>
      </c>
      <c r="Q212" s="89" t="e">
        <f t="shared" ca="1" si="36"/>
        <v>#N/A</v>
      </c>
      <c r="R212" s="22" t="e">
        <f t="shared" ca="1" si="37"/>
        <v>#N/A</v>
      </c>
      <c r="S212" s="89" t="e">
        <f t="shared" ca="1" si="38"/>
        <v>#N/A</v>
      </c>
      <c r="T212" s="22" t="e">
        <f t="shared" ca="1" si="39"/>
        <v>#N/A</v>
      </c>
      <c r="U212" s="89" t="e">
        <f t="shared" ca="1" si="40"/>
        <v>#N/A</v>
      </c>
      <c r="V212" s="22" t="e">
        <f t="shared" ca="1" si="41"/>
        <v>#N/A</v>
      </c>
      <c r="AM212" t="e">
        <f t="shared" si="42"/>
        <v>#N/A</v>
      </c>
      <c r="AN212" t="e">
        <f t="shared" ca="1" si="43"/>
        <v>#N/A</v>
      </c>
    </row>
    <row r="213" spans="1:40" x14ac:dyDescent="0.3">
      <c r="A213" s="87">
        <v>212</v>
      </c>
      <c r="B213" t="str">
        <f>IFERROR(INDEX('Mock Database'!$D$3:$D$152,MATCH($A213,'Mock Database'!$C$3:$C$152,0)),"")</f>
        <v/>
      </c>
      <c r="C213" s="88" t="str">
        <f>IFERROR(INDEX('Mock Database'!$I$3:$I$152,MATCH($A213,'Mock Database'!$C$3:$C$152,0)),"")</f>
        <v/>
      </c>
      <c r="D213" s="89" t="str">
        <f ca="1">IF(ISNA(MATCH($A213,'Mock Database'!$C$3:$C$152,0)),"",IF(ISBLANK(OFFSET('Mock Database'!$M$2,MATCH($A213,'Mock Database'!$C$3:$C$152,0),0)),"",INDEX('Mock Database'!$M$3:$M$152,MATCH($A213,'Mock Database'!$C$3:$C$152,0))))</f>
        <v/>
      </c>
      <c r="E213" s="22" t="str">
        <f ca="1">IF(ISNA(MATCH($A213,'Mock Database'!$C$3:$C$152,0)),"",IF(ISBLANK(OFFSET('Mock Database'!$N$2,MATCH($A213,'Mock Database'!$C$3:$C$152,0),0)),"",INDEX('Mock Database'!$N$3:$N$152,MATCH($A213,'Mock Database'!$C$3:$C$152,0))))</f>
        <v/>
      </c>
      <c r="F213" s="89" t="str">
        <f ca="1">IF(ISNA(MATCH($A213,'Mock Database'!$C$3:$C$152,0)),"",IF(ISBLANK(OFFSET('Mock Database'!$S$2,MATCH($A213,'Mock Database'!$C$3:$C$152,0),0)),"",INDEX('Mock Database'!$S$3:$S$152,MATCH($A213,'Mock Database'!$C$3:$C$152,0))))</f>
        <v/>
      </c>
      <c r="G213" s="22" t="str">
        <f ca="1">IF(ISNA(MATCH($A213,'Mock Database'!$C$3:$C$152,0)),"",IF(ISBLANK(OFFSET('Mock Database'!$T$2,MATCH($A213,'Mock Database'!$C$3:$C$152,0),0)),"",INDEX('Mock Database'!$T$3:$T$152,MATCH($A213,'Mock Database'!$C$3:$C$152,0))))</f>
        <v/>
      </c>
      <c r="H213" s="89" t="str">
        <f ca="1">IF(ISNA(MATCH($A213,'Mock Database'!$C$3:$C$152,0)),"",IF(ISBLANK(OFFSET('Mock Database'!$Y$2,MATCH($A213,'Mock Database'!$C$3:$C$152,0),0)),"",INDEX('Mock Database'!$Y$3:$Y$152,MATCH($A213,'Mock Database'!$C$3:$C$152,0))))</f>
        <v/>
      </c>
      <c r="I213" s="22" t="str">
        <f ca="1">IF(ISNA(MATCH($A213,'Mock Database'!$C$3:$C$152,0)),"",IF(ISBLANK(OFFSET('Mock Database'!$Z$2,MATCH($A213,'Mock Database'!$C$3:$C$152,0),0)),"",INDEX('Mock Database'!$Z$3:$Z$152,MATCH($A213,'Mock Database'!$C$3:$C$152,0))))</f>
        <v/>
      </c>
      <c r="J213" s="89" t="str">
        <f ca="1">IF(ISNA(MATCH($A213,'Mock Database'!$C$3:$C$152,0)),"",IF(ISBLANK(OFFSET('Mock Database'!$AE$2,MATCH($A213,'Mock Database'!$C$3:$C$152,0),0)),"",INDEX('Mock Database'!$AE$3:$AE$152,MATCH($A213,'Mock Database'!$C$3:$C$152,0))))</f>
        <v/>
      </c>
      <c r="K213" s="22" t="str">
        <f ca="1">IF(ISNA(MATCH($A213,'Mock Database'!$C$3:$C$152,0)),"",IF(ISBLANK(OFFSET('Mock Database'!$AF$2,MATCH($A213,'Mock Database'!$C$3:$C$152,0),0)),"",INDEX('Mock Database'!$AF$3:$AF$152,MATCH($A213,'Mock Database'!$C$3:$C$152,0))))</f>
        <v/>
      </c>
      <c r="N213" t="e">
        <f t="shared" si="33"/>
        <v>#N/A</v>
      </c>
      <c r="O213" s="89" t="e">
        <f t="shared" ca="1" si="34"/>
        <v>#N/A</v>
      </c>
      <c r="P213" s="22" t="e">
        <f t="shared" ca="1" si="35"/>
        <v>#N/A</v>
      </c>
      <c r="Q213" s="89" t="e">
        <f t="shared" ca="1" si="36"/>
        <v>#N/A</v>
      </c>
      <c r="R213" s="22" t="e">
        <f t="shared" ca="1" si="37"/>
        <v>#N/A</v>
      </c>
      <c r="S213" s="89" t="e">
        <f t="shared" ca="1" si="38"/>
        <v>#N/A</v>
      </c>
      <c r="T213" s="22" t="e">
        <f t="shared" ca="1" si="39"/>
        <v>#N/A</v>
      </c>
      <c r="U213" s="89" t="e">
        <f t="shared" ca="1" si="40"/>
        <v>#N/A</v>
      </c>
      <c r="V213" s="22" t="e">
        <f t="shared" ca="1" si="41"/>
        <v>#N/A</v>
      </c>
      <c r="AM213" t="e">
        <f t="shared" si="42"/>
        <v>#N/A</v>
      </c>
      <c r="AN213" t="e">
        <f t="shared" ca="1" si="43"/>
        <v>#N/A</v>
      </c>
    </row>
    <row r="214" spans="1:40" x14ac:dyDescent="0.3">
      <c r="A214" s="87">
        <v>213</v>
      </c>
      <c r="B214" t="str">
        <f>IFERROR(INDEX('Mock Database'!$D$3:$D$152,MATCH($A214,'Mock Database'!$C$3:$C$152,0)),"")</f>
        <v/>
      </c>
      <c r="C214" s="88" t="str">
        <f>IFERROR(INDEX('Mock Database'!$I$3:$I$152,MATCH($A214,'Mock Database'!$C$3:$C$152,0)),"")</f>
        <v/>
      </c>
      <c r="D214" s="89" t="str">
        <f ca="1">IF(ISNA(MATCH($A214,'Mock Database'!$C$3:$C$152,0)),"",IF(ISBLANK(OFFSET('Mock Database'!$M$2,MATCH($A214,'Mock Database'!$C$3:$C$152,0),0)),"",INDEX('Mock Database'!$M$3:$M$152,MATCH($A214,'Mock Database'!$C$3:$C$152,0))))</f>
        <v/>
      </c>
      <c r="E214" s="22" t="str">
        <f ca="1">IF(ISNA(MATCH($A214,'Mock Database'!$C$3:$C$152,0)),"",IF(ISBLANK(OFFSET('Mock Database'!$N$2,MATCH($A214,'Mock Database'!$C$3:$C$152,0),0)),"",INDEX('Mock Database'!$N$3:$N$152,MATCH($A214,'Mock Database'!$C$3:$C$152,0))))</f>
        <v/>
      </c>
      <c r="F214" s="89" t="str">
        <f ca="1">IF(ISNA(MATCH($A214,'Mock Database'!$C$3:$C$152,0)),"",IF(ISBLANK(OFFSET('Mock Database'!$S$2,MATCH($A214,'Mock Database'!$C$3:$C$152,0),0)),"",INDEX('Mock Database'!$S$3:$S$152,MATCH($A214,'Mock Database'!$C$3:$C$152,0))))</f>
        <v/>
      </c>
      <c r="G214" s="22" t="str">
        <f ca="1">IF(ISNA(MATCH($A214,'Mock Database'!$C$3:$C$152,0)),"",IF(ISBLANK(OFFSET('Mock Database'!$T$2,MATCH($A214,'Mock Database'!$C$3:$C$152,0),0)),"",INDEX('Mock Database'!$T$3:$T$152,MATCH($A214,'Mock Database'!$C$3:$C$152,0))))</f>
        <v/>
      </c>
      <c r="H214" s="89" t="str">
        <f ca="1">IF(ISNA(MATCH($A214,'Mock Database'!$C$3:$C$152,0)),"",IF(ISBLANK(OFFSET('Mock Database'!$Y$2,MATCH($A214,'Mock Database'!$C$3:$C$152,0),0)),"",INDEX('Mock Database'!$Y$3:$Y$152,MATCH($A214,'Mock Database'!$C$3:$C$152,0))))</f>
        <v/>
      </c>
      <c r="I214" s="22" t="str">
        <f ca="1">IF(ISNA(MATCH($A214,'Mock Database'!$C$3:$C$152,0)),"",IF(ISBLANK(OFFSET('Mock Database'!$Z$2,MATCH($A214,'Mock Database'!$C$3:$C$152,0),0)),"",INDEX('Mock Database'!$Z$3:$Z$152,MATCH($A214,'Mock Database'!$C$3:$C$152,0))))</f>
        <v/>
      </c>
      <c r="J214" s="89" t="str">
        <f ca="1">IF(ISNA(MATCH($A214,'Mock Database'!$C$3:$C$152,0)),"",IF(ISBLANK(OFFSET('Mock Database'!$AE$2,MATCH($A214,'Mock Database'!$C$3:$C$152,0),0)),"",INDEX('Mock Database'!$AE$3:$AE$152,MATCH($A214,'Mock Database'!$C$3:$C$152,0))))</f>
        <v/>
      </c>
      <c r="K214" s="22" t="str">
        <f ca="1">IF(ISNA(MATCH($A214,'Mock Database'!$C$3:$C$152,0)),"",IF(ISBLANK(OFFSET('Mock Database'!$AF$2,MATCH($A214,'Mock Database'!$C$3:$C$152,0),0)),"",INDEX('Mock Database'!$AF$3:$AF$152,MATCH($A214,'Mock Database'!$C$3:$C$152,0))))</f>
        <v/>
      </c>
      <c r="N214" t="e">
        <f t="shared" si="33"/>
        <v>#N/A</v>
      </c>
      <c r="O214" s="89" t="e">
        <f t="shared" ca="1" si="34"/>
        <v>#N/A</v>
      </c>
      <c r="P214" s="22" t="e">
        <f t="shared" ca="1" si="35"/>
        <v>#N/A</v>
      </c>
      <c r="Q214" s="89" t="e">
        <f t="shared" ca="1" si="36"/>
        <v>#N/A</v>
      </c>
      <c r="R214" s="22" t="e">
        <f t="shared" ca="1" si="37"/>
        <v>#N/A</v>
      </c>
      <c r="S214" s="89" t="e">
        <f t="shared" ca="1" si="38"/>
        <v>#N/A</v>
      </c>
      <c r="T214" s="22" t="e">
        <f t="shared" ca="1" si="39"/>
        <v>#N/A</v>
      </c>
      <c r="U214" s="89" t="e">
        <f t="shared" ca="1" si="40"/>
        <v>#N/A</v>
      </c>
      <c r="V214" s="22" t="e">
        <f t="shared" ca="1" si="41"/>
        <v>#N/A</v>
      </c>
      <c r="AM214" t="e">
        <f t="shared" si="42"/>
        <v>#N/A</v>
      </c>
      <c r="AN214" t="e">
        <f t="shared" ca="1" si="43"/>
        <v>#N/A</v>
      </c>
    </row>
    <row r="215" spans="1:40" x14ac:dyDescent="0.3">
      <c r="A215" s="87">
        <v>214</v>
      </c>
      <c r="B215" t="str">
        <f>IFERROR(INDEX('Mock Database'!$D$3:$D$152,MATCH($A215,'Mock Database'!$C$3:$C$152,0)),"")</f>
        <v/>
      </c>
      <c r="C215" s="88" t="str">
        <f>IFERROR(INDEX('Mock Database'!$I$3:$I$152,MATCH($A215,'Mock Database'!$C$3:$C$152,0)),"")</f>
        <v/>
      </c>
      <c r="D215" s="89" t="str">
        <f ca="1">IF(ISNA(MATCH($A215,'Mock Database'!$C$3:$C$152,0)),"",IF(ISBLANK(OFFSET('Mock Database'!$M$2,MATCH($A215,'Mock Database'!$C$3:$C$152,0),0)),"",INDEX('Mock Database'!$M$3:$M$152,MATCH($A215,'Mock Database'!$C$3:$C$152,0))))</f>
        <v/>
      </c>
      <c r="E215" s="22" t="str">
        <f ca="1">IF(ISNA(MATCH($A215,'Mock Database'!$C$3:$C$152,0)),"",IF(ISBLANK(OFFSET('Mock Database'!$N$2,MATCH($A215,'Mock Database'!$C$3:$C$152,0),0)),"",INDEX('Mock Database'!$N$3:$N$152,MATCH($A215,'Mock Database'!$C$3:$C$152,0))))</f>
        <v/>
      </c>
      <c r="F215" s="89" t="str">
        <f ca="1">IF(ISNA(MATCH($A215,'Mock Database'!$C$3:$C$152,0)),"",IF(ISBLANK(OFFSET('Mock Database'!$S$2,MATCH($A215,'Mock Database'!$C$3:$C$152,0),0)),"",INDEX('Mock Database'!$S$3:$S$152,MATCH($A215,'Mock Database'!$C$3:$C$152,0))))</f>
        <v/>
      </c>
      <c r="G215" s="22" t="str">
        <f ca="1">IF(ISNA(MATCH($A215,'Mock Database'!$C$3:$C$152,0)),"",IF(ISBLANK(OFFSET('Mock Database'!$T$2,MATCH($A215,'Mock Database'!$C$3:$C$152,0),0)),"",INDEX('Mock Database'!$T$3:$T$152,MATCH($A215,'Mock Database'!$C$3:$C$152,0))))</f>
        <v/>
      </c>
      <c r="H215" s="89" t="str">
        <f ca="1">IF(ISNA(MATCH($A215,'Mock Database'!$C$3:$C$152,0)),"",IF(ISBLANK(OFFSET('Mock Database'!$Y$2,MATCH($A215,'Mock Database'!$C$3:$C$152,0),0)),"",INDEX('Mock Database'!$Y$3:$Y$152,MATCH($A215,'Mock Database'!$C$3:$C$152,0))))</f>
        <v/>
      </c>
      <c r="I215" s="22" t="str">
        <f ca="1">IF(ISNA(MATCH($A215,'Mock Database'!$C$3:$C$152,0)),"",IF(ISBLANK(OFFSET('Mock Database'!$Z$2,MATCH($A215,'Mock Database'!$C$3:$C$152,0),0)),"",INDEX('Mock Database'!$Z$3:$Z$152,MATCH($A215,'Mock Database'!$C$3:$C$152,0))))</f>
        <v/>
      </c>
      <c r="J215" s="89" t="str">
        <f ca="1">IF(ISNA(MATCH($A215,'Mock Database'!$C$3:$C$152,0)),"",IF(ISBLANK(OFFSET('Mock Database'!$AE$2,MATCH($A215,'Mock Database'!$C$3:$C$152,0),0)),"",INDEX('Mock Database'!$AE$3:$AE$152,MATCH($A215,'Mock Database'!$C$3:$C$152,0))))</f>
        <v/>
      </c>
      <c r="K215" s="22" t="str">
        <f ca="1">IF(ISNA(MATCH($A215,'Mock Database'!$C$3:$C$152,0)),"",IF(ISBLANK(OFFSET('Mock Database'!$AF$2,MATCH($A215,'Mock Database'!$C$3:$C$152,0),0)),"",INDEX('Mock Database'!$AF$3:$AF$152,MATCH($A215,'Mock Database'!$C$3:$C$152,0))))</f>
        <v/>
      </c>
      <c r="N215" t="e">
        <f t="shared" si="33"/>
        <v>#N/A</v>
      </c>
      <c r="O215" s="89" t="e">
        <f t="shared" ca="1" si="34"/>
        <v>#N/A</v>
      </c>
      <c r="P215" s="22" t="e">
        <f t="shared" ca="1" si="35"/>
        <v>#N/A</v>
      </c>
      <c r="Q215" s="89" t="e">
        <f t="shared" ca="1" si="36"/>
        <v>#N/A</v>
      </c>
      <c r="R215" s="22" t="e">
        <f t="shared" ca="1" si="37"/>
        <v>#N/A</v>
      </c>
      <c r="S215" s="89" t="e">
        <f t="shared" ca="1" si="38"/>
        <v>#N/A</v>
      </c>
      <c r="T215" s="22" t="e">
        <f t="shared" ca="1" si="39"/>
        <v>#N/A</v>
      </c>
      <c r="U215" s="89" t="e">
        <f t="shared" ca="1" si="40"/>
        <v>#N/A</v>
      </c>
      <c r="V215" s="22" t="e">
        <f t="shared" ca="1" si="41"/>
        <v>#N/A</v>
      </c>
      <c r="AM215" t="e">
        <f t="shared" si="42"/>
        <v>#N/A</v>
      </c>
      <c r="AN215" t="e">
        <f t="shared" ca="1" si="43"/>
        <v>#N/A</v>
      </c>
    </row>
    <row r="216" spans="1:40" x14ac:dyDescent="0.3">
      <c r="A216" s="87">
        <v>215</v>
      </c>
      <c r="B216" t="str">
        <f>IFERROR(INDEX('Mock Database'!$D$3:$D$152,MATCH($A216,'Mock Database'!$C$3:$C$152,0)),"")</f>
        <v/>
      </c>
      <c r="C216" s="88" t="str">
        <f>IFERROR(INDEX('Mock Database'!$I$3:$I$152,MATCH($A216,'Mock Database'!$C$3:$C$152,0)),"")</f>
        <v/>
      </c>
      <c r="D216" s="89" t="str">
        <f ca="1">IF(ISNA(MATCH($A216,'Mock Database'!$C$3:$C$152,0)),"",IF(ISBLANK(OFFSET('Mock Database'!$M$2,MATCH($A216,'Mock Database'!$C$3:$C$152,0),0)),"",INDEX('Mock Database'!$M$3:$M$152,MATCH($A216,'Mock Database'!$C$3:$C$152,0))))</f>
        <v/>
      </c>
      <c r="E216" s="22" t="str">
        <f ca="1">IF(ISNA(MATCH($A216,'Mock Database'!$C$3:$C$152,0)),"",IF(ISBLANK(OFFSET('Mock Database'!$N$2,MATCH($A216,'Mock Database'!$C$3:$C$152,0),0)),"",INDEX('Mock Database'!$N$3:$N$152,MATCH($A216,'Mock Database'!$C$3:$C$152,0))))</f>
        <v/>
      </c>
      <c r="F216" s="89" t="str">
        <f ca="1">IF(ISNA(MATCH($A216,'Mock Database'!$C$3:$C$152,0)),"",IF(ISBLANK(OFFSET('Mock Database'!$S$2,MATCH($A216,'Mock Database'!$C$3:$C$152,0),0)),"",INDEX('Mock Database'!$S$3:$S$152,MATCH($A216,'Mock Database'!$C$3:$C$152,0))))</f>
        <v/>
      </c>
      <c r="G216" s="22" t="str">
        <f ca="1">IF(ISNA(MATCH($A216,'Mock Database'!$C$3:$C$152,0)),"",IF(ISBLANK(OFFSET('Mock Database'!$T$2,MATCH($A216,'Mock Database'!$C$3:$C$152,0),0)),"",INDEX('Mock Database'!$T$3:$T$152,MATCH($A216,'Mock Database'!$C$3:$C$152,0))))</f>
        <v/>
      </c>
      <c r="H216" s="89" t="str">
        <f ca="1">IF(ISNA(MATCH($A216,'Mock Database'!$C$3:$C$152,0)),"",IF(ISBLANK(OFFSET('Mock Database'!$Y$2,MATCH($A216,'Mock Database'!$C$3:$C$152,0),0)),"",INDEX('Mock Database'!$Y$3:$Y$152,MATCH($A216,'Mock Database'!$C$3:$C$152,0))))</f>
        <v/>
      </c>
      <c r="I216" s="22" t="str">
        <f ca="1">IF(ISNA(MATCH($A216,'Mock Database'!$C$3:$C$152,0)),"",IF(ISBLANK(OFFSET('Mock Database'!$Z$2,MATCH($A216,'Mock Database'!$C$3:$C$152,0),0)),"",INDEX('Mock Database'!$Z$3:$Z$152,MATCH($A216,'Mock Database'!$C$3:$C$152,0))))</f>
        <v/>
      </c>
      <c r="J216" s="89" t="str">
        <f ca="1">IF(ISNA(MATCH($A216,'Mock Database'!$C$3:$C$152,0)),"",IF(ISBLANK(OFFSET('Mock Database'!$AE$2,MATCH($A216,'Mock Database'!$C$3:$C$152,0),0)),"",INDEX('Mock Database'!$AE$3:$AE$152,MATCH($A216,'Mock Database'!$C$3:$C$152,0))))</f>
        <v/>
      </c>
      <c r="K216" s="22" t="str">
        <f ca="1">IF(ISNA(MATCH($A216,'Mock Database'!$C$3:$C$152,0)),"",IF(ISBLANK(OFFSET('Mock Database'!$AF$2,MATCH($A216,'Mock Database'!$C$3:$C$152,0),0)),"",INDEX('Mock Database'!$AF$3:$AF$152,MATCH($A216,'Mock Database'!$C$3:$C$152,0))))</f>
        <v/>
      </c>
      <c r="N216" t="e">
        <f t="shared" si="33"/>
        <v>#N/A</v>
      </c>
      <c r="O216" s="89" t="e">
        <f t="shared" ca="1" si="34"/>
        <v>#N/A</v>
      </c>
      <c r="P216" s="22" t="e">
        <f t="shared" ca="1" si="35"/>
        <v>#N/A</v>
      </c>
      <c r="Q216" s="89" t="e">
        <f t="shared" ca="1" si="36"/>
        <v>#N/A</v>
      </c>
      <c r="R216" s="22" t="e">
        <f t="shared" ca="1" si="37"/>
        <v>#N/A</v>
      </c>
      <c r="S216" s="89" t="e">
        <f t="shared" ca="1" si="38"/>
        <v>#N/A</v>
      </c>
      <c r="T216" s="22" t="e">
        <f t="shared" ca="1" si="39"/>
        <v>#N/A</v>
      </c>
      <c r="U216" s="89" t="e">
        <f t="shared" ca="1" si="40"/>
        <v>#N/A</v>
      </c>
      <c r="V216" s="22" t="e">
        <f t="shared" ca="1" si="41"/>
        <v>#N/A</v>
      </c>
      <c r="AM216" t="e">
        <f t="shared" si="42"/>
        <v>#N/A</v>
      </c>
      <c r="AN216" t="e">
        <f t="shared" ca="1" si="43"/>
        <v>#N/A</v>
      </c>
    </row>
    <row r="217" spans="1:40" x14ac:dyDescent="0.3">
      <c r="A217" s="87">
        <v>216</v>
      </c>
      <c r="B217" t="str">
        <f>IFERROR(INDEX('Mock Database'!$D$3:$D$152,MATCH($A217,'Mock Database'!$C$3:$C$152,0)),"")</f>
        <v/>
      </c>
      <c r="C217" s="88" t="str">
        <f>IFERROR(INDEX('Mock Database'!$I$3:$I$152,MATCH($A217,'Mock Database'!$C$3:$C$152,0)),"")</f>
        <v/>
      </c>
      <c r="D217" s="89" t="str">
        <f ca="1">IF(ISNA(MATCH($A217,'Mock Database'!$C$3:$C$152,0)),"",IF(ISBLANK(OFFSET('Mock Database'!$M$2,MATCH($A217,'Mock Database'!$C$3:$C$152,0),0)),"",INDEX('Mock Database'!$M$3:$M$152,MATCH($A217,'Mock Database'!$C$3:$C$152,0))))</f>
        <v/>
      </c>
      <c r="E217" s="22" t="str">
        <f ca="1">IF(ISNA(MATCH($A217,'Mock Database'!$C$3:$C$152,0)),"",IF(ISBLANK(OFFSET('Mock Database'!$N$2,MATCH($A217,'Mock Database'!$C$3:$C$152,0),0)),"",INDEX('Mock Database'!$N$3:$N$152,MATCH($A217,'Mock Database'!$C$3:$C$152,0))))</f>
        <v/>
      </c>
      <c r="F217" s="89" t="str">
        <f ca="1">IF(ISNA(MATCH($A217,'Mock Database'!$C$3:$C$152,0)),"",IF(ISBLANK(OFFSET('Mock Database'!$S$2,MATCH($A217,'Mock Database'!$C$3:$C$152,0),0)),"",INDEX('Mock Database'!$S$3:$S$152,MATCH($A217,'Mock Database'!$C$3:$C$152,0))))</f>
        <v/>
      </c>
      <c r="G217" s="22" t="str">
        <f ca="1">IF(ISNA(MATCH($A217,'Mock Database'!$C$3:$C$152,0)),"",IF(ISBLANK(OFFSET('Mock Database'!$T$2,MATCH($A217,'Mock Database'!$C$3:$C$152,0),0)),"",INDEX('Mock Database'!$T$3:$T$152,MATCH($A217,'Mock Database'!$C$3:$C$152,0))))</f>
        <v/>
      </c>
      <c r="H217" s="89" t="str">
        <f ca="1">IF(ISNA(MATCH($A217,'Mock Database'!$C$3:$C$152,0)),"",IF(ISBLANK(OFFSET('Mock Database'!$Y$2,MATCH($A217,'Mock Database'!$C$3:$C$152,0),0)),"",INDEX('Mock Database'!$Y$3:$Y$152,MATCH($A217,'Mock Database'!$C$3:$C$152,0))))</f>
        <v/>
      </c>
      <c r="I217" s="22" t="str">
        <f ca="1">IF(ISNA(MATCH($A217,'Mock Database'!$C$3:$C$152,0)),"",IF(ISBLANK(OFFSET('Mock Database'!$Z$2,MATCH($A217,'Mock Database'!$C$3:$C$152,0),0)),"",INDEX('Mock Database'!$Z$3:$Z$152,MATCH($A217,'Mock Database'!$C$3:$C$152,0))))</f>
        <v/>
      </c>
      <c r="J217" s="89" t="str">
        <f ca="1">IF(ISNA(MATCH($A217,'Mock Database'!$C$3:$C$152,0)),"",IF(ISBLANK(OFFSET('Mock Database'!$AE$2,MATCH($A217,'Mock Database'!$C$3:$C$152,0),0)),"",INDEX('Mock Database'!$AE$3:$AE$152,MATCH($A217,'Mock Database'!$C$3:$C$152,0))))</f>
        <v/>
      </c>
      <c r="K217" s="22" t="str">
        <f ca="1">IF(ISNA(MATCH($A217,'Mock Database'!$C$3:$C$152,0)),"",IF(ISBLANK(OFFSET('Mock Database'!$AF$2,MATCH($A217,'Mock Database'!$C$3:$C$152,0),0)),"",INDEX('Mock Database'!$AF$3:$AF$152,MATCH($A217,'Mock Database'!$C$3:$C$152,0))))</f>
        <v/>
      </c>
      <c r="N217" t="e">
        <f t="shared" si="33"/>
        <v>#N/A</v>
      </c>
      <c r="O217" s="89" t="e">
        <f t="shared" ca="1" si="34"/>
        <v>#N/A</v>
      </c>
      <c r="P217" s="22" t="e">
        <f t="shared" ca="1" si="35"/>
        <v>#N/A</v>
      </c>
      <c r="Q217" s="89" t="e">
        <f t="shared" ca="1" si="36"/>
        <v>#N/A</v>
      </c>
      <c r="R217" s="22" t="e">
        <f t="shared" ca="1" si="37"/>
        <v>#N/A</v>
      </c>
      <c r="S217" s="89" t="e">
        <f t="shared" ca="1" si="38"/>
        <v>#N/A</v>
      </c>
      <c r="T217" s="22" t="e">
        <f t="shared" ca="1" si="39"/>
        <v>#N/A</v>
      </c>
      <c r="U217" s="89" t="e">
        <f t="shared" ca="1" si="40"/>
        <v>#N/A</v>
      </c>
      <c r="V217" s="22" t="e">
        <f t="shared" ca="1" si="41"/>
        <v>#N/A</v>
      </c>
      <c r="AM217" t="e">
        <f t="shared" si="42"/>
        <v>#N/A</v>
      </c>
      <c r="AN217" t="e">
        <f t="shared" ca="1" si="43"/>
        <v>#N/A</v>
      </c>
    </row>
    <row r="218" spans="1:40" x14ac:dyDescent="0.3">
      <c r="A218" s="87">
        <v>217</v>
      </c>
      <c r="B218" t="str">
        <f>IFERROR(INDEX('Mock Database'!$D$3:$D$152,MATCH($A218,'Mock Database'!$C$3:$C$152,0)),"")</f>
        <v/>
      </c>
      <c r="C218" s="88" t="str">
        <f>IFERROR(INDEX('Mock Database'!$I$3:$I$152,MATCH($A218,'Mock Database'!$C$3:$C$152,0)),"")</f>
        <v/>
      </c>
      <c r="D218" s="89" t="str">
        <f ca="1">IF(ISNA(MATCH($A218,'Mock Database'!$C$3:$C$152,0)),"",IF(ISBLANK(OFFSET('Mock Database'!$M$2,MATCH($A218,'Mock Database'!$C$3:$C$152,0),0)),"",INDEX('Mock Database'!$M$3:$M$152,MATCH($A218,'Mock Database'!$C$3:$C$152,0))))</f>
        <v/>
      </c>
      <c r="E218" s="22" t="str">
        <f ca="1">IF(ISNA(MATCH($A218,'Mock Database'!$C$3:$C$152,0)),"",IF(ISBLANK(OFFSET('Mock Database'!$N$2,MATCH($A218,'Mock Database'!$C$3:$C$152,0),0)),"",INDEX('Mock Database'!$N$3:$N$152,MATCH($A218,'Mock Database'!$C$3:$C$152,0))))</f>
        <v/>
      </c>
      <c r="F218" s="89" t="str">
        <f ca="1">IF(ISNA(MATCH($A218,'Mock Database'!$C$3:$C$152,0)),"",IF(ISBLANK(OFFSET('Mock Database'!$S$2,MATCH($A218,'Mock Database'!$C$3:$C$152,0),0)),"",INDEX('Mock Database'!$S$3:$S$152,MATCH($A218,'Mock Database'!$C$3:$C$152,0))))</f>
        <v/>
      </c>
      <c r="G218" s="22" t="str">
        <f ca="1">IF(ISNA(MATCH($A218,'Mock Database'!$C$3:$C$152,0)),"",IF(ISBLANK(OFFSET('Mock Database'!$T$2,MATCH($A218,'Mock Database'!$C$3:$C$152,0),0)),"",INDEX('Mock Database'!$T$3:$T$152,MATCH($A218,'Mock Database'!$C$3:$C$152,0))))</f>
        <v/>
      </c>
      <c r="H218" s="89" t="str">
        <f ca="1">IF(ISNA(MATCH($A218,'Mock Database'!$C$3:$C$152,0)),"",IF(ISBLANK(OFFSET('Mock Database'!$Y$2,MATCH($A218,'Mock Database'!$C$3:$C$152,0),0)),"",INDEX('Mock Database'!$Y$3:$Y$152,MATCH($A218,'Mock Database'!$C$3:$C$152,0))))</f>
        <v/>
      </c>
      <c r="I218" s="22" t="str">
        <f ca="1">IF(ISNA(MATCH($A218,'Mock Database'!$C$3:$C$152,0)),"",IF(ISBLANK(OFFSET('Mock Database'!$Z$2,MATCH($A218,'Mock Database'!$C$3:$C$152,0),0)),"",INDEX('Mock Database'!$Z$3:$Z$152,MATCH($A218,'Mock Database'!$C$3:$C$152,0))))</f>
        <v/>
      </c>
      <c r="J218" s="89" t="str">
        <f ca="1">IF(ISNA(MATCH($A218,'Mock Database'!$C$3:$C$152,0)),"",IF(ISBLANK(OFFSET('Mock Database'!$AE$2,MATCH($A218,'Mock Database'!$C$3:$C$152,0),0)),"",INDEX('Mock Database'!$AE$3:$AE$152,MATCH($A218,'Mock Database'!$C$3:$C$152,0))))</f>
        <v/>
      </c>
      <c r="K218" s="22" t="str">
        <f ca="1">IF(ISNA(MATCH($A218,'Mock Database'!$C$3:$C$152,0)),"",IF(ISBLANK(OFFSET('Mock Database'!$AF$2,MATCH($A218,'Mock Database'!$C$3:$C$152,0),0)),"",INDEX('Mock Database'!$AF$3:$AF$152,MATCH($A218,'Mock Database'!$C$3:$C$152,0))))</f>
        <v/>
      </c>
      <c r="N218" t="e">
        <f t="shared" si="33"/>
        <v>#N/A</v>
      </c>
      <c r="O218" s="89" t="e">
        <f t="shared" ca="1" si="34"/>
        <v>#N/A</v>
      </c>
      <c r="P218" s="22" t="e">
        <f t="shared" ca="1" si="35"/>
        <v>#N/A</v>
      </c>
      <c r="Q218" s="89" t="e">
        <f t="shared" ca="1" si="36"/>
        <v>#N/A</v>
      </c>
      <c r="R218" s="22" t="e">
        <f t="shared" ca="1" si="37"/>
        <v>#N/A</v>
      </c>
      <c r="S218" s="89" t="e">
        <f t="shared" ca="1" si="38"/>
        <v>#N/A</v>
      </c>
      <c r="T218" s="22" t="e">
        <f t="shared" ca="1" si="39"/>
        <v>#N/A</v>
      </c>
      <c r="U218" s="89" t="e">
        <f t="shared" ca="1" si="40"/>
        <v>#N/A</v>
      </c>
      <c r="V218" s="22" t="e">
        <f t="shared" ca="1" si="41"/>
        <v>#N/A</v>
      </c>
      <c r="AM218" t="e">
        <f t="shared" si="42"/>
        <v>#N/A</v>
      </c>
      <c r="AN218" t="e">
        <f t="shared" ca="1" si="43"/>
        <v>#N/A</v>
      </c>
    </row>
    <row r="219" spans="1:40" x14ac:dyDescent="0.3">
      <c r="A219" s="87">
        <v>218</v>
      </c>
      <c r="B219" t="str">
        <f>IFERROR(INDEX('Mock Database'!$D$3:$D$152,MATCH($A219,'Mock Database'!$C$3:$C$152,0)),"")</f>
        <v/>
      </c>
      <c r="C219" s="88" t="str">
        <f>IFERROR(INDEX('Mock Database'!$I$3:$I$152,MATCH($A219,'Mock Database'!$C$3:$C$152,0)),"")</f>
        <v/>
      </c>
      <c r="D219" s="89" t="str">
        <f ca="1">IF(ISNA(MATCH($A219,'Mock Database'!$C$3:$C$152,0)),"",IF(ISBLANK(OFFSET('Mock Database'!$M$2,MATCH($A219,'Mock Database'!$C$3:$C$152,0),0)),"",INDEX('Mock Database'!$M$3:$M$152,MATCH($A219,'Mock Database'!$C$3:$C$152,0))))</f>
        <v/>
      </c>
      <c r="E219" s="22" t="str">
        <f ca="1">IF(ISNA(MATCH($A219,'Mock Database'!$C$3:$C$152,0)),"",IF(ISBLANK(OFFSET('Mock Database'!$N$2,MATCH($A219,'Mock Database'!$C$3:$C$152,0),0)),"",INDEX('Mock Database'!$N$3:$N$152,MATCH($A219,'Mock Database'!$C$3:$C$152,0))))</f>
        <v/>
      </c>
      <c r="F219" s="89" t="str">
        <f ca="1">IF(ISNA(MATCH($A219,'Mock Database'!$C$3:$C$152,0)),"",IF(ISBLANK(OFFSET('Mock Database'!$S$2,MATCH($A219,'Mock Database'!$C$3:$C$152,0),0)),"",INDEX('Mock Database'!$S$3:$S$152,MATCH($A219,'Mock Database'!$C$3:$C$152,0))))</f>
        <v/>
      </c>
      <c r="G219" s="22" t="str">
        <f ca="1">IF(ISNA(MATCH($A219,'Mock Database'!$C$3:$C$152,0)),"",IF(ISBLANK(OFFSET('Mock Database'!$T$2,MATCH($A219,'Mock Database'!$C$3:$C$152,0),0)),"",INDEX('Mock Database'!$T$3:$T$152,MATCH($A219,'Mock Database'!$C$3:$C$152,0))))</f>
        <v/>
      </c>
      <c r="H219" s="89" t="str">
        <f ca="1">IF(ISNA(MATCH($A219,'Mock Database'!$C$3:$C$152,0)),"",IF(ISBLANK(OFFSET('Mock Database'!$Y$2,MATCH($A219,'Mock Database'!$C$3:$C$152,0),0)),"",INDEX('Mock Database'!$Y$3:$Y$152,MATCH($A219,'Mock Database'!$C$3:$C$152,0))))</f>
        <v/>
      </c>
      <c r="I219" s="22" t="str">
        <f ca="1">IF(ISNA(MATCH($A219,'Mock Database'!$C$3:$C$152,0)),"",IF(ISBLANK(OFFSET('Mock Database'!$Z$2,MATCH($A219,'Mock Database'!$C$3:$C$152,0),0)),"",INDEX('Mock Database'!$Z$3:$Z$152,MATCH($A219,'Mock Database'!$C$3:$C$152,0))))</f>
        <v/>
      </c>
      <c r="J219" s="89" t="str">
        <f ca="1">IF(ISNA(MATCH($A219,'Mock Database'!$C$3:$C$152,0)),"",IF(ISBLANK(OFFSET('Mock Database'!$AE$2,MATCH($A219,'Mock Database'!$C$3:$C$152,0),0)),"",INDEX('Mock Database'!$AE$3:$AE$152,MATCH($A219,'Mock Database'!$C$3:$C$152,0))))</f>
        <v/>
      </c>
      <c r="K219" s="22" t="str">
        <f ca="1">IF(ISNA(MATCH($A219,'Mock Database'!$C$3:$C$152,0)),"",IF(ISBLANK(OFFSET('Mock Database'!$AF$2,MATCH($A219,'Mock Database'!$C$3:$C$152,0),0)),"",INDEX('Mock Database'!$AF$3:$AF$152,MATCH($A219,'Mock Database'!$C$3:$C$152,0))))</f>
        <v/>
      </c>
      <c r="N219" t="e">
        <f t="shared" si="33"/>
        <v>#N/A</v>
      </c>
      <c r="O219" s="89" t="e">
        <f t="shared" ca="1" si="34"/>
        <v>#N/A</v>
      </c>
      <c r="P219" s="22" t="e">
        <f t="shared" ca="1" si="35"/>
        <v>#N/A</v>
      </c>
      <c r="Q219" s="89" t="e">
        <f t="shared" ca="1" si="36"/>
        <v>#N/A</v>
      </c>
      <c r="R219" s="22" t="e">
        <f t="shared" ca="1" si="37"/>
        <v>#N/A</v>
      </c>
      <c r="S219" s="89" t="e">
        <f t="shared" ca="1" si="38"/>
        <v>#N/A</v>
      </c>
      <c r="T219" s="22" t="e">
        <f t="shared" ca="1" si="39"/>
        <v>#N/A</v>
      </c>
      <c r="U219" s="89" t="e">
        <f t="shared" ca="1" si="40"/>
        <v>#N/A</v>
      </c>
      <c r="V219" s="22" t="e">
        <f t="shared" ca="1" si="41"/>
        <v>#N/A</v>
      </c>
      <c r="AM219" t="e">
        <f t="shared" si="42"/>
        <v>#N/A</v>
      </c>
      <c r="AN219" t="e">
        <f t="shared" ca="1" si="43"/>
        <v>#N/A</v>
      </c>
    </row>
    <row r="220" spans="1:40" x14ac:dyDescent="0.3">
      <c r="A220" s="87">
        <v>219</v>
      </c>
      <c r="B220" t="str">
        <f>IFERROR(INDEX('Mock Database'!$D$3:$D$152,MATCH($A220,'Mock Database'!$C$3:$C$152,0)),"")</f>
        <v/>
      </c>
      <c r="C220" s="88" t="str">
        <f>IFERROR(INDEX('Mock Database'!$I$3:$I$152,MATCH($A220,'Mock Database'!$C$3:$C$152,0)),"")</f>
        <v/>
      </c>
      <c r="D220" s="89" t="str">
        <f ca="1">IF(ISNA(MATCH($A220,'Mock Database'!$C$3:$C$152,0)),"",IF(ISBLANK(OFFSET('Mock Database'!$M$2,MATCH($A220,'Mock Database'!$C$3:$C$152,0),0)),"",INDEX('Mock Database'!$M$3:$M$152,MATCH($A220,'Mock Database'!$C$3:$C$152,0))))</f>
        <v/>
      </c>
      <c r="E220" s="22" t="str">
        <f ca="1">IF(ISNA(MATCH($A220,'Mock Database'!$C$3:$C$152,0)),"",IF(ISBLANK(OFFSET('Mock Database'!$N$2,MATCH($A220,'Mock Database'!$C$3:$C$152,0),0)),"",INDEX('Mock Database'!$N$3:$N$152,MATCH($A220,'Mock Database'!$C$3:$C$152,0))))</f>
        <v/>
      </c>
      <c r="F220" s="89" t="str">
        <f ca="1">IF(ISNA(MATCH($A220,'Mock Database'!$C$3:$C$152,0)),"",IF(ISBLANK(OFFSET('Mock Database'!$S$2,MATCH($A220,'Mock Database'!$C$3:$C$152,0),0)),"",INDEX('Mock Database'!$S$3:$S$152,MATCH($A220,'Mock Database'!$C$3:$C$152,0))))</f>
        <v/>
      </c>
      <c r="G220" s="22" t="str">
        <f ca="1">IF(ISNA(MATCH($A220,'Mock Database'!$C$3:$C$152,0)),"",IF(ISBLANK(OFFSET('Mock Database'!$T$2,MATCH($A220,'Mock Database'!$C$3:$C$152,0),0)),"",INDEX('Mock Database'!$T$3:$T$152,MATCH($A220,'Mock Database'!$C$3:$C$152,0))))</f>
        <v/>
      </c>
      <c r="H220" s="89" t="str">
        <f ca="1">IF(ISNA(MATCH($A220,'Mock Database'!$C$3:$C$152,0)),"",IF(ISBLANK(OFFSET('Mock Database'!$Y$2,MATCH($A220,'Mock Database'!$C$3:$C$152,0),0)),"",INDEX('Mock Database'!$Y$3:$Y$152,MATCH($A220,'Mock Database'!$C$3:$C$152,0))))</f>
        <v/>
      </c>
      <c r="I220" s="22" t="str">
        <f ca="1">IF(ISNA(MATCH($A220,'Mock Database'!$C$3:$C$152,0)),"",IF(ISBLANK(OFFSET('Mock Database'!$Z$2,MATCH($A220,'Mock Database'!$C$3:$C$152,0),0)),"",INDEX('Mock Database'!$Z$3:$Z$152,MATCH($A220,'Mock Database'!$C$3:$C$152,0))))</f>
        <v/>
      </c>
      <c r="J220" s="89" t="str">
        <f ca="1">IF(ISNA(MATCH($A220,'Mock Database'!$C$3:$C$152,0)),"",IF(ISBLANK(OFFSET('Mock Database'!$AE$2,MATCH($A220,'Mock Database'!$C$3:$C$152,0),0)),"",INDEX('Mock Database'!$AE$3:$AE$152,MATCH($A220,'Mock Database'!$C$3:$C$152,0))))</f>
        <v/>
      </c>
      <c r="K220" s="22" t="str">
        <f ca="1">IF(ISNA(MATCH($A220,'Mock Database'!$C$3:$C$152,0)),"",IF(ISBLANK(OFFSET('Mock Database'!$AF$2,MATCH($A220,'Mock Database'!$C$3:$C$152,0),0)),"",INDEX('Mock Database'!$AF$3:$AF$152,MATCH($A220,'Mock Database'!$C$3:$C$152,0))))</f>
        <v/>
      </c>
      <c r="N220" t="e">
        <f t="shared" si="33"/>
        <v>#N/A</v>
      </c>
      <c r="O220" s="89" t="e">
        <f t="shared" ca="1" si="34"/>
        <v>#N/A</v>
      </c>
      <c r="P220" s="22" t="e">
        <f t="shared" ca="1" si="35"/>
        <v>#N/A</v>
      </c>
      <c r="Q220" s="89" t="e">
        <f t="shared" ca="1" si="36"/>
        <v>#N/A</v>
      </c>
      <c r="R220" s="22" t="e">
        <f t="shared" ca="1" si="37"/>
        <v>#N/A</v>
      </c>
      <c r="S220" s="89" t="e">
        <f t="shared" ca="1" si="38"/>
        <v>#N/A</v>
      </c>
      <c r="T220" s="22" t="e">
        <f t="shared" ca="1" si="39"/>
        <v>#N/A</v>
      </c>
      <c r="U220" s="89" t="e">
        <f t="shared" ca="1" si="40"/>
        <v>#N/A</v>
      </c>
      <c r="V220" s="22" t="e">
        <f t="shared" ca="1" si="41"/>
        <v>#N/A</v>
      </c>
      <c r="AM220" t="e">
        <f t="shared" si="42"/>
        <v>#N/A</v>
      </c>
      <c r="AN220" t="e">
        <f t="shared" ca="1" si="43"/>
        <v>#N/A</v>
      </c>
    </row>
    <row r="221" spans="1:40" x14ac:dyDescent="0.3">
      <c r="A221" s="87">
        <v>220</v>
      </c>
      <c r="B221" t="str">
        <f>IFERROR(INDEX('Mock Database'!$D$3:$D$152,MATCH($A221,'Mock Database'!$C$3:$C$152,0)),"")</f>
        <v/>
      </c>
      <c r="C221" s="88" t="str">
        <f>IFERROR(INDEX('Mock Database'!$I$3:$I$152,MATCH($A221,'Mock Database'!$C$3:$C$152,0)),"")</f>
        <v/>
      </c>
      <c r="D221" s="89" t="str">
        <f ca="1">IF(ISNA(MATCH($A221,'Mock Database'!$C$3:$C$152,0)),"",IF(ISBLANK(OFFSET('Mock Database'!$M$2,MATCH($A221,'Mock Database'!$C$3:$C$152,0),0)),"",INDEX('Mock Database'!$M$3:$M$152,MATCH($A221,'Mock Database'!$C$3:$C$152,0))))</f>
        <v/>
      </c>
      <c r="E221" s="22" t="str">
        <f ca="1">IF(ISNA(MATCH($A221,'Mock Database'!$C$3:$C$152,0)),"",IF(ISBLANK(OFFSET('Mock Database'!$N$2,MATCH($A221,'Mock Database'!$C$3:$C$152,0),0)),"",INDEX('Mock Database'!$N$3:$N$152,MATCH($A221,'Mock Database'!$C$3:$C$152,0))))</f>
        <v/>
      </c>
      <c r="F221" s="89" t="str">
        <f ca="1">IF(ISNA(MATCH($A221,'Mock Database'!$C$3:$C$152,0)),"",IF(ISBLANK(OFFSET('Mock Database'!$S$2,MATCH($A221,'Mock Database'!$C$3:$C$152,0),0)),"",INDEX('Mock Database'!$S$3:$S$152,MATCH($A221,'Mock Database'!$C$3:$C$152,0))))</f>
        <v/>
      </c>
      <c r="G221" s="22" t="str">
        <f ca="1">IF(ISNA(MATCH($A221,'Mock Database'!$C$3:$C$152,0)),"",IF(ISBLANK(OFFSET('Mock Database'!$T$2,MATCH($A221,'Mock Database'!$C$3:$C$152,0),0)),"",INDEX('Mock Database'!$T$3:$T$152,MATCH($A221,'Mock Database'!$C$3:$C$152,0))))</f>
        <v/>
      </c>
      <c r="H221" s="89" t="str">
        <f ca="1">IF(ISNA(MATCH($A221,'Mock Database'!$C$3:$C$152,0)),"",IF(ISBLANK(OFFSET('Mock Database'!$Y$2,MATCH($A221,'Mock Database'!$C$3:$C$152,0),0)),"",INDEX('Mock Database'!$Y$3:$Y$152,MATCH($A221,'Mock Database'!$C$3:$C$152,0))))</f>
        <v/>
      </c>
      <c r="I221" s="22" t="str">
        <f ca="1">IF(ISNA(MATCH($A221,'Mock Database'!$C$3:$C$152,0)),"",IF(ISBLANK(OFFSET('Mock Database'!$Z$2,MATCH($A221,'Mock Database'!$C$3:$C$152,0),0)),"",INDEX('Mock Database'!$Z$3:$Z$152,MATCH($A221,'Mock Database'!$C$3:$C$152,0))))</f>
        <v/>
      </c>
      <c r="J221" s="89" t="str">
        <f ca="1">IF(ISNA(MATCH($A221,'Mock Database'!$C$3:$C$152,0)),"",IF(ISBLANK(OFFSET('Mock Database'!$AE$2,MATCH($A221,'Mock Database'!$C$3:$C$152,0),0)),"",INDEX('Mock Database'!$AE$3:$AE$152,MATCH($A221,'Mock Database'!$C$3:$C$152,0))))</f>
        <v/>
      </c>
      <c r="K221" s="22" t="str">
        <f ca="1">IF(ISNA(MATCH($A221,'Mock Database'!$C$3:$C$152,0)),"",IF(ISBLANK(OFFSET('Mock Database'!$AF$2,MATCH($A221,'Mock Database'!$C$3:$C$152,0),0)),"",INDEX('Mock Database'!$AF$3:$AF$152,MATCH($A221,'Mock Database'!$C$3:$C$152,0))))</f>
        <v/>
      </c>
      <c r="N221" t="e">
        <f t="shared" si="33"/>
        <v>#N/A</v>
      </c>
      <c r="O221" s="89" t="e">
        <f t="shared" ca="1" si="34"/>
        <v>#N/A</v>
      </c>
      <c r="P221" s="22" t="e">
        <f t="shared" ca="1" si="35"/>
        <v>#N/A</v>
      </c>
      <c r="Q221" s="89" t="e">
        <f t="shared" ca="1" si="36"/>
        <v>#N/A</v>
      </c>
      <c r="R221" s="22" t="e">
        <f t="shared" ca="1" si="37"/>
        <v>#N/A</v>
      </c>
      <c r="S221" s="89" t="e">
        <f t="shared" ca="1" si="38"/>
        <v>#N/A</v>
      </c>
      <c r="T221" s="22" t="e">
        <f t="shared" ca="1" si="39"/>
        <v>#N/A</v>
      </c>
      <c r="U221" s="89" t="e">
        <f t="shared" ca="1" si="40"/>
        <v>#N/A</v>
      </c>
      <c r="V221" s="22" t="e">
        <f t="shared" ca="1" si="41"/>
        <v>#N/A</v>
      </c>
      <c r="AM221" t="e">
        <f t="shared" si="42"/>
        <v>#N/A</v>
      </c>
      <c r="AN221" t="e">
        <f t="shared" ca="1" si="43"/>
        <v>#N/A</v>
      </c>
    </row>
    <row r="222" spans="1:40" x14ac:dyDescent="0.3">
      <c r="A222" s="87">
        <v>221</v>
      </c>
      <c r="B222" t="str">
        <f>IFERROR(INDEX('Mock Database'!$D$3:$D$152,MATCH($A222,'Mock Database'!$C$3:$C$152,0)),"")</f>
        <v/>
      </c>
      <c r="C222" s="88" t="str">
        <f>IFERROR(INDEX('Mock Database'!$I$3:$I$152,MATCH($A222,'Mock Database'!$C$3:$C$152,0)),"")</f>
        <v/>
      </c>
      <c r="D222" s="89" t="str">
        <f ca="1">IF(ISNA(MATCH($A222,'Mock Database'!$C$3:$C$152,0)),"",IF(ISBLANK(OFFSET('Mock Database'!$M$2,MATCH($A222,'Mock Database'!$C$3:$C$152,0),0)),"",INDEX('Mock Database'!$M$3:$M$152,MATCH($A222,'Mock Database'!$C$3:$C$152,0))))</f>
        <v/>
      </c>
      <c r="E222" s="22" t="str">
        <f ca="1">IF(ISNA(MATCH($A222,'Mock Database'!$C$3:$C$152,0)),"",IF(ISBLANK(OFFSET('Mock Database'!$N$2,MATCH($A222,'Mock Database'!$C$3:$C$152,0),0)),"",INDEX('Mock Database'!$N$3:$N$152,MATCH($A222,'Mock Database'!$C$3:$C$152,0))))</f>
        <v/>
      </c>
      <c r="F222" s="89" t="str">
        <f ca="1">IF(ISNA(MATCH($A222,'Mock Database'!$C$3:$C$152,0)),"",IF(ISBLANK(OFFSET('Mock Database'!$S$2,MATCH($A222,'Mock Database'!$C$3:$C$152,0),0)),"",INDEX('Mock Database'!$S$3:$S$152,MATCH($A222,'Mock Database'!$C$3:$C$152,0))))</f>
        <v/>
      </c>
      <c r="G222" s="22" t="str">
        <f ca="1">IF(ISNA(MATCH($A222,'Mock Database'!$C$3:$C$152,0)),"",IF(ISBLANK(OFFSET('Mock Database'!$T$2,MATCH($A222,'Mock Database'!$C$3:$C$152,0),0)),"",INDEX('Mock Database'!$T$3:$T$152,MATCH($A222,'Mock Database'!$C$3:$C$152,0))))</f>
        <v/>
      </c>
      <c r="H222" s="89" t="str">
        <f ca="1">IF(ISNA(MATCH($A222,'Mock Database'!$C$3:$C$152,0)),"",IF(ISBLANK(OFFSET('Mock Database'!$Y$2,MATCH($A222,'Mock Database'!$C$3:$C$152,0),0)),"",INDEX('Mock Database'!$Y$3:$Y$152,MATCH($A222,'Mock Database'!$C$3:$C$152,0))))</f>
        <v/>
      </c>
      <c r="I222" s="22" t="str">
        <f ca="1">IF(ISNA(MATCH($A222,'Mock Database'!$C$3:$C$152,0)),"",IF(ISBLANK(OFFSET('Mock Database'!$Z$2,MATCH($A222,'Mock Database'!$C$3:$C$152,0),0)),"",INDEX('Mock Database'!$Z$3:$Z$152,MATCH($A222,'Mock Database'!$C$3:$C$152,0))))</f>
        <v/>
      </c>
      <c r="J222" s="89" t="str">
        <f ca="1">IF(ISNA(MATCH($A222,'Mock Database'!$C$3:$C$152,0)),"",IF(ISBLANK(OFFSET('Mock Database'!$AE$2,MATCH($A222,'Mock Database'!$C$3:$C$152,0),0)),"",INDEX('Mock Database'!$AE$3:$AE$152,MATCH($A222,'Mock Database'!$C$3:$C$152,0))))</f>
        <v/>
      </c>
      <c r="K222" s="22" t="str">
        <f ca="1">IF(ISNA(MATCH($A222,'Mock Database'!$C$3:$C$152,0)),"",IF(ISBLANK(OFFSET('Mock Database'!$AF$2,MATCH($A222,'Mock Database'!$C$3:$C$152,0),0)),"",INDEX('Mock Database'!$AF$3:$AF$152,MATCH($A222,'Mock Database'!$C$3:$C$152,0))))</f>
        <v/>
      </c>
      <c r="N222" t="e">
        <f t="shared" si="33"/>
        <v>#N/A</v>
      </c>
      <c r="O222" s="89" t="e">
        <f t="shared" ca="1" si="34"/>
        <v>#N/A</v>
      </c>
      <c r="P222" s="22" t="e">
        <f t="shared" ca="1" si="35"/>
        <v>#N/A</v>
      </c>
      <c r="Q222" s="89" t="e">
        <f t="shared" ca="1" si="36"/>
        <v>#N/A</v>
      </c>
      <c r="R222" s="22" t="e">
        <f t="shared" ca="1" si="37"/>
        <v>#N/A</v>
      </c>
      <c r="S222" s="89" t="e">
        <f t="shared" ca="1" si="38"/>
        <v>#N/A</v>
      </c>
      <c r="T222" s="22" t="e">
        <f t="shared" ca="1" si="39"/>
        <v>#N/A</v>
      </c>
      <c r="U222" s="89" t="e">
        <f t="shared" ca="1" si="40"/>
        <v>#N/A</v>
      </c>
      <c r="V222" s="22" t="e">
        <f t="shared" ca="1" si="41"/>
        <v>#N/A</v>
      </c>
      <c r="AM222" t="e">
        <f t="shared" si="42"/>
        <v>#N/A</v>
      </c>
      <c r="AN222" t="e">
        <f t="shared" ca="1" si="43"/>
        <v>#N/A</v>
      </c>
    </row>
    <row r="223" spans="1:40" x14ac:dyDescent="0.3">
      <c r="A223" s="87">
        <v>222</v>
      </c>
      <c r="B223" t="str">
        <f>IFERROR(INDEX('Mock Database'!$D$3:$D$152,MATCH($A223,'Mock Database'!$C$3:$C$152,0)),"")</f>
        <v/>
      </c>
      <c r="C223" s="88" t="str">
        <f>IFERROR(INDEX('Mock Database'!$I$3:$I$152,MATCH($A223,'Mock Database'!$C$3:$C$152,0)),"")</f>
        <v/>
      </c>
      <c r="D223" s="89" t="str">
        <f ca="1">IF(ISNA(MATCH($A223,'Mock Database'!$C$3:$C$152,0)),"",IF(ISBLANK(OFFSET('Mock Database'!$M$2,MATCH($A223,'Mock Database'!$C$3:$C$152,0),0)),"",INDEX('Mock Database'!$M$3:$M$152,MATCH($A223,'Mock Database'!$C$3:$C$152,0))))</f>
        <v/>
      </c>
      <c r="E223" s="22" t="str">
        <f ca="1">IF(ISNA(MATCH($A223,'Mock Database'!$C$3:$C$152,0)),"",IF(ISBLANK(OFFSET('Mock Database'!$N$2,MATCH($A223,'Mock Database'!$C$3:$C$152,0),0)),"",INDEX('Mock Database'!$N$3:$N$152,MATCH($A223,'Mock Database'!$C$3:$C$152,0))))</f>
        <v/>
      </c>
      <c r="F223" s="89" t="str">
        <f ca="1">IF(ISNA(MATCH($A223,'Mock Database'!$C$3:$C$152,0)),"",IF(ISBLANK(OFFSET('Mock Database'!$S$2,MATCH($A223,'Mock Database'!$C$3:$C$152,0),0)),"",INDEX('Mock Database'!$S$3:$S$152,MATCH($A223,'Mock Database'!$C$3:$C$152,0))))</f>
        <v/>
      </c>
      <c r="G223" s="22" t="str">
        <f ca="1">IF(ISNA(MATCH($A223,'Mock Database'!$C$3:$C$152,0)),"",IF(ISBLANK(OFFSET('Mock Database'!$T$2,MATCH($A223,'Mock Database'!$C$3:$C$152,0),0)),"",INDEX('Mock Database'!$T$3:$T$152,MATCH($A223,'Mock Database'!$C$3:$C$152,0))))</f>
        <v/>
      </c>
      <c r="H223" s="89" t="str">
        <f ca="1">IF(ISNA(MATCH($A223,'Mock Database'!$C$3:$C$152,0)),"",IF(ISBLANK(OFFSET('Mock Database'!$Y$2,MATCH($A223,'Mock Database'!$C$3:$C$152,0),0)),"",INDEX('Mock Database'!$Y$3:$Y$152,MATCH($A223,'Mock Database'!$C$3:$C$152,0))))</f>
        <v/>
      </c>
      <c r="I223" s="22" t="str">
        <f ca="1">IF(ISNA(MATCH($A223,'Mock Database'!$C$3:$C$152,0)),"",IF(ISBLANK(OFFSET('Mock Database'!$Z$2,MATCH($A223,'Mock Database'!$C$3:$C$152,0),0)),"",INDEX('Mock Database'!$Z$3:$Z$152,MATCH($A223,'Mock Database'!$C$3:$C$152,0))))</f>
        <v/>
      </c>
      <c r="J223" s="89" t="str">
        <f ca="1">IF(ISNA(MATCH($A223,'Mock Database'!$C$3:$C$152,0)),"",IF(ISBLANK(OFFSET('Mock Database'!$AE$2,MATCH($A223,'Mock Database'!$C$3:$C$152,0),0)),"",INDEX('Mock Database'!$AE$3:$AE$152,MATCH($A223,'Mock Database'!$C$3:$C$152,0))))</f>
        <v/>
      </c>
      <c r="K223" s="22" t="str">
        <f ca="1">IF(ISNA(MATCH($A223,'Mock Database'!$C$3:$C$152,0)),"",IF(ISBLANK(OFFSET('Mock Database'!$AF$2,MATCH($A223,'Mock Database'!$C$3:$C$152,0),0)),"",INDEX('Mock Database'!$AF$3:$AF$152,MATCH($A223,'Mock Database'!$C$3:$C$152,0))))</f>
        <v/>
      </c>
      <c r="N223" t="e">
        <f t="shared" si="33"/>
        <v>#N/A</v>
      </c>
      <c r="O223" s="89" t="e">
        <f t="shared" ca="1" si="34"/>
        <v>#N/A</v>
      </c>
      <c r="P223" s="22" t="e">
        <f t="shared" ca="1" si="35"/>
        <v>#N/A</v>
      </c>
      <c r="Q223" s="89" t="e">
        <f t="shared" ca="1" si="36"/>
        <v>#N/A</v>
      </c>
      <c r="R223" s="22" t="e">
        <f t="shared" ca="1" si="37"/>
        <v>#N/A</v>
      </c>
      <c r="S223" s="89" t="e">
        <f t="shared" ca="1" si="38"/>
        <v>#N/A</v>
      </c>
      <c r="T223" s="22" t="e">
        <f t="shared" ca="1" si="39"/>
        <v>#N/A</v>
      </c>
      <c r="U223" s="89" t="e">
        <f t="shared" ca="1" si="40"/>
        <v>#N/A</v>
      </c>
      <c r="V223" s="22" t="e">
        <f t="shared" ca="1" si="41"/>
        <v>#N/A</v>
      </c>
      <c r="AM223" t="e">
        <f t="shared" si="42"/>
        <v>#N/A</v>
      </c>
      <c r="AN223" t="e">
        <f t="shared" ca="1" si="43"/>
        <v>#N/A</v>
      </c>
    </row>
    <row r="224" spans="1:40" x14ac:dyDescent="0.3">
      <c r="A224" s="87">
        <v>223</v>
      </c>
      <c r="B224" t="str">
        <f>IFERROR(INDEX('Mock Database'!$D$3:$D$152,MATCH($A224,'Mock Database'!$C$3:$C$152,0)),"")</f>
        <v/>
      </c>
      <c r="C224" s="88" t="str">
        <f>IFERROR(INDEX('Mock Database'!$I$3:$I$152,MATCH($A224,'Mock Database'!$C$3:$C$152,0)),"")</f>
        <v/>
      </c>
      <c r="D224" s="89" t="str">
        <f ca="1">IF(ISNA(MATCH($A224,'Mock Database'!$C$3:$C$152,0)),"",IF(ISBLANK(OFFSET('Mock Database'!$M$2,MATCH($A224,'Mock Database'!$C$3:$C$152,0),0)),"",INDEX('Mock Database'!$M$3:$M$152,MATCH($A224,'Mock Database'!$C$3:$C$152,0))))</f>
        <v/>
      </c>
      <c r="E224" s="22" t="str">
        <f ca="1">IF(ISNA(MATCH($A224,'Mock Database'!$C$3:$C$152,0)),"",IF(ISBLANK(OFFSET('Mock Database'!$N$2,MATCH($A224,'Mock Database'!$C$3:$C$152,0),0)),"",INDEX('Mock Database'!$N$3:$N$152,MATCH($A224,'Mock Database'!$C$3:$C$152,0))))</f>
        <v/>
      </c>
      <c r="F224" s="89" t="str">
        <f ca="1">IF(ISNA(MATCH($A224,'Mock Database'!$C$3:$C$152,0)),"",IF(ISBLANK(OFFSET('Mock Database'!$S$2,MATCH($A224,'Mock Database'!$C$3:$C$152,0),0)),"",INDEX('Mock Database'!$S$3:$S$152,MATCH($A224,'Mock Database'!$C$3:$C$152,0))))</f>
        <v/>
      </c>
      <c r="G224" s="22" t="str">
        <f ca="1">IF(ISNA(MATCH($A224,'Mock Database'!$C$3:$C$152,0)),"",IF(ISBLANK(OFFSET('Mock Database'!$T$2,MATCH($A224,'Mock Database'!$C$3:$C$152,0),0)),"",INDEX('Mock Database'!$T$3:$T$152,MATCH($A224,'Mock Database'!$C$3:$C$152,0))))</f>
        <v/>
      </c>
      <c r="H224" s="89" t="str">
        <f ca="1">IF(ISNA(MATCH($A224,'Mock Database'!$C$3:$C$152,0)),"",IF(ISBLANK(OFFSET('Mock Database'!$Y$2,MATCH($A224,'Mock Database'!$C$3:$C$152,0),0)),"",INDEX('Mock Database'!$Y$3:$Y$152,MATCH($A224,'Mock Database'!$C$3:$C$152,0))))</f>
        <v/>
      </c>
      <c r="I224" s="22" t="str">
        <f ca="1">IF(ISNA(MATCH($A224,'Mock Database'!$C$3:$C$152,0)),"",IF(ISBLANK(OFFSET('Mock Database'!$Z$2,MATCH($A224,'Mock Database'!$C$3:$C$152,0),0)),"",INDEX('Mock Database'!$Z$3:$Z$152,MATCH($A224,'Mock Database'!$C$3:$C$152,0))))</f>
        <v/>
      </c>
      <c r="J224" s="89" t="str">
        <f ca="1">IF(ISNA(MATCH($A224,'Mock Database'!$C$3:$C$152,0)),"",IF(ISBLANK(OFFSET('Mock Database'!$AE$2,MATCH($A224,'Mock Database'!$C$3:$C$152,0),0)),"",INDEX('Mock Database'!$AE$3:$AE$152,MATCH($A224,'Mock Database'!$C$3:$C$152,0))))</f>
        <v/>
      </c>
      <c r="K224" s="22" t="str">
        <f ca="1">IF(ISNA(MATCH($A224,'Mock Database'!$C$3:$C$152,0)),"",IF(ISBLANK(OFFSET('Mock Database'!$AF$2,MATCH($A224,'Mock Database'!$C$3:$C$152,0),0)),"",INDEX('Mock Database'!$AF$3:$AF$152,MATCH($A224,'Mock Database'!$C$3:$C$152,0))))</f>
        <v/>
      </c>
      <c r="N224" t="e">
        <f t="shared" si="33"/>
        <v>#N/A</v>
      </c>
      <c r="O224" s="89" t="e">
        <f t="shared" ca="1" si="34"/>
        <v>#N/A</v>
      </c>
      <c r="P224" s="22" t="e">
        <f t="shared" ca="1" si="35"/>
        <v>#N/A</v>
      </c>
      <c r="Q224" s="89" t="e">
        <f t="shared" ca="1" si="36"/>
        <v>#N/A</v>
      </c>
      <c r="R224" s="22" t="e">
        <f t="shared" ca="1" si="37"/>
        <v>#N/A</v>
      </c>
      <c r="S224" s="89" t="e">
        <f t="shared" ca="1" si="38"/>
        <v>#N/A</v>
      </c>
      <c r="T224" s="22" t="e">
        <f t="shared" ca="1" si="39"/>
        <v>#N/A</v>
      </c>
      <c r="U224" s="89" t="e">
        <f t="shared" ca="1" si="40"/>
        <v>#N/A</v>
      </c>
      <c r="V224" s="22" t="e">
        <f t="shared" ca="1" si="41"/>
        <v>#N/A</v>
      </c>
      <c r="AM224" t="e">
        <f t="shared" si="42"/>
        <v>#N/A</v>
      </c>
      <c r="AN224" t="e">
        <f t="shared" ca="1" si="43"/>
        <v>#N/A</v>
      </c>
    </row>
    <row r="225" spans="1:40" x14ac:dyDescent="0.3">
      <c r="A225" s="87">
        <v>224</v>
      </c>
      <c r="B225" t="str">
        <f>IFERROR(INDEX('Mock Database'!$D$3:$D$152,MATCH($A225,'Mock Database'!$C$3:$C$152,0)),"")</f>
        <v/>
      </c>
      <c r="C225" s="88" t="str">
        <f>IFERROR(INDEX('Mock Database'!$I$3:$I$152,MATCH($A225,'Mock Database'!$C$3:$C$152,0)),"")</f>
        <v/>
      </c>
      <c r="D225" s="89" t="str">
        <f ca="1">IF(ISNA(MATCH($A225,'Mock Database'!$C$3:$C$152,0)),"",IF(ISBLANK(OFFSET('Mock Database'!$M$2,MATCH($A225,'Mock Database'!$C$3:$C$152,0),0)),"",INDEX('Mock Database'!$M$3:$M$152,MATCH($A225,'Mock Database'!$C$3:$C$152,0))))</f>
        <v/>
      </c>
      <c r="E225" s="22" t="str">
        <f ca="1">IF(ISNA(MATCH($A225,'Mock Database'!$C$3:$C$152,0)),"",IF(ISBLANK(OFFSET('Mock Database'!$N$2,MATCH($A225,'Mock Database'!$C$3:$C$152,0),0)),"",INDEX('Mock Database'!$N$3:$N$152,MATCH($A225,'Mock Database'!$C$3:$C$152,0))))</f>
        <v/>
      </c>
      <c r="F225" s="89" t="str">
        <f ca="1">IF(ISNA(MATCH($A225,'Mock Database'!$C$3:$C$152,0)),"",IF(ISBLANK(OFFSET('Mock Database'!$S$2,MATCH($A225,'Mock Database'!$C$3:$C$152,0),0)),"",INDEX('Mock Database'!$S$3:$S$152,MATCH($A225,'Mock Database'!$C$3:$C$152,0))))</f>
        <v/>
      </c>
      <c r="G225" s="22" t="str">
        <f ca="1">IF(ISNA(MATCH($A225,'Mock Database'!$C$3:$C$152,0)),"",IF(ISBLANK(OFFSET('Mock Database'!$T$2,MATCH($A225,'Mock Database'!$C$3:$C$152,0),0)),"",INDEX('Mock Database'!$T$3:$T$152,MATCH($A225,'Mock Database'!$C$3:$C$152,0))))</f>
        <v/>
      </c>
      <c r="H225" s="89" t="str">
        <f ca="1">IF(ISNA(MATCH($A225,'Mock Database'!$C$3:$C$152,0)),"",IF(ISBLANK(OFFSET('Mock Database'!$Y$2,MATCH($A225,'Mock Database'!$C$3:$C$152,0),0)),"",INDEX('Mock Database'!$Y$3:$Y$152,MATCH($A225,'Mock Database'!$C$3:$C$152,0))))</f>
        <v/>
      </c>
      <c r="I225" s="22" t="str">
        <f ca="1">IF(ISNA(MATCH($A225,'Mock Database'!$C$3:$C$152,0)),"",IF(ISBLANK(OFFSET('Mock Database'!$Z$2,MATCH($A225,'Mock Database'!$C$3:$C$152,0),0)),"",INDEX('Mock Database'!$Z$3:$Z$152,MATCH($A225,'Mock Database'!$C$3:$C$152,0))))</f>
        <v/>
      </c>
      <c r="J225" s="89" t="str">
        <f ca="1">IF(ISNA(MATCH($A225,'Mock Database'!$C$3:$C$152,0)),"",IF(ISBLANK(OFFSET('Mock Database'!$AE$2,MATCH($A225,'Mock Database'!$C$3:$C$152,0),0)),"",INDEX('Mock Database'!$AE$3:$AE$152,MATCH($A225,'Mock Database'!$C$3:$C$152,0))))</f>
        <v/>
      </c>
      <c r="K225" s="22" t="str">
        <f ca="1">IF(ISNA(MATCH($A225,'Mock Database'!$C$3:$C$152,0)),"",IF(ISBLANK(OFFSET('Mock Database'!$AF$2,MATCH($A225,'Mock Database'!$C$3:$C$152,0),0)),"",INDEX('Mock Database'!$AF$3:$AF$152,MATCH($A225,'Mock Database'!$C$3:$C$152,0))))</f>
        <v/>
      </c>
      <c r="N225" t="e">
        <f t="shared" si="33"/>
        <v>#N/A</v>
      </c>
      <c r="O225" s="89" t="e">
        <f t="shared" ca="1" si="34"/>
        <v>#N/A</v>
      </c>
      <c r="P225" s="22" t="e">
        <f t="shared" ca="1" si="35"/>
        <v>#N/A</v>
      </c>
      <c r="Q225" s="89" t="e">
        <f t="shared" ca="1" si="36"/>
        <v>#N/A</v>
      </c>
      <c r="R225" s="22" t="e">
        <f t="shared" ca="1" si="37"/>
        <v>#N/A</v>
      </c>
      <c r="S225" s="89" t="e">
        <f t="shared" ca="1" si="38"/>
        <v>#N/A</v>
      </c>
      <c r="T225" s="22" t="e">
        <f t="shared" ca="1" si="39"/>
        <v>#N/A</v>
      </c>
      <c r="U225" s="89" t="e">
        <f t="shared" ca="1" si="40"/>
        <v>#N/A</v>
      </c>
      <c r="V225" s="22" t="e">
        <f t="shared" ca="1" si="41"/>
        <v>#N/A</v>
      </c>
      <c r="AM225" t="e">
        <f t="shared" si="42"/>
        <v>#N/A</v>
      </c>
      <c r="AN225" t="e">
        <f t="shared" ca="1" si="43"/>
        <v>#N/A</v>
      </c>
    </row>
    <row r="226" spans="1:40" x14ac:dyDescent="0.3">
      <c r="A226" s="87">
        <v>225</v>
      </c>
      <c r="B226" t="str">
        <f>IFERROR(INDEX('Mock Database'!$D$3:$D$152,MATCH($A226,'Mock Database'!$C$3:$C$152,0)),"")</f>
        <v/>
      </c>
      <c r="C226" s="88" t="str">
        <f>IFERROR(INDEX('Mock Database'!$I$3:$I$152,MATCH($A226,'Mock Database'!$C$3:$C$152,0)),"")</f>
        <v/>
      </c>
      <c r="D226" s="89" t="str">
        <f ca="1">IF(ISNA(MATCH($A226,'Mock Database'!$C$3:$C$152,0)),"",IF(ISBLANK(OFFSET('Mock Database'!$M$2,MATCH($A226,'Mock Database'!$C$3:$C$152,0),0)),"",INDEX('Mock Database'!$M$3:$M$152,MATCH($A226,'Mock Database'!$C$3:$C$152,0))))</f>
        <v/>
      </c>
      <c r="E226" s="22" t="str">
        <f ca="1">IF(ISNA(MATCH($A226,'Mock Database'!$C$3:$C$152,0)),"",IF(ISBLANK(OFFSET('Mock Database'!$N$2,MATCH($A226,'Mock Database'!$C$3:$C$152,0),0)),"",INDEX('Mock Database'!$N$3:$N$152,MATCH($A226,'Mock Database'!$C$3:$C$152,0))))</f>
        <v/>
      </c>
      <c r="F226" s="89" t="str">
        <f ca="1">IF(ISNA(MATCH($A226,'Mock Database'!$C$3:$C$152,0)),"",IF(ISBLANK(OFFSET('Mock Database'!$S$2,MATCH($A226,'Mock Database'!$C$3:$C$152,0),0)),"",INDEX('Mock Database'!$S$3:$S$152,MATCH($A226,'Mock Database'!$C$3:$C$152,0))))</f>
        <v/>
      </c>
      <c r="G226" s="22" t="str">
        <f ca="1">IF(ISNA(MATCH($A226,'Mock Database'!$C$3:$C$152,0)),"",IF(ISBLANK(OFFSET('Mock Database'!$T$2,MATCH($A226,'Mock Database'!$C$3:$C$152,0),0)),"",INDEX('Mock Database'!$T$3:$T$152,MATCH($A226,'Mock Database'!$C$3:$C$152,0))))</f>
        <v/>
      </c>
      <c r="H226" s="89" t="str">
        <f ca="1">IF(ISNA(MATCH($A226,'Mock Database'!$C$3:$C$152,0)),"",IF(ISBLANK(OFFSET('Mock Database'!$Y$2,MATCH($A226,'Mock Database'!$C$3:$C$152,0),0)),"",INDEX('Mock Database'!$Y$3:$Y$152,MATCH($A226,'Mock Database'!$C$3:$C$152,0))))</f>
        <v/>
      </c>
      <c r="I226" s="22" t="str">
        <f ca="1">IF(ISNA(MATCH($A226,'Mock Database'!$C$3:$C$152,0)),"",IF(ISBLANK(OFFSET('Mock Database'!$Z$2,MATCH($A226,'Mock Database'!$C$3:$C$152,0),0)),"",INDEX('Mock Database'!$Z$3:$Z$152,MATCH($A226,'Mock Database'!$C$3:$C$152,0))))</f>
        <v/>
      </c>
      <c r="J226" s="89" t="str">
        <f ca="1">IF(ISNA(MATCH($A226,'Mock Database'!$C$3:$C$152,0)),"",IF(ISBLANK(OFFSET('Mock Database'!$AE$2,MATCH($A226,'Mock Database'!$C$3:$C$152,0),0)),"",INDEX('Mock Database'!$AE$3:$AE$152,MATCH($A226,'Mock Database'!$C$3:$C$152,0))))</f>
        <v/>
      </c>
      <c r="K226" s="22" t="str">
        <f ca="1">IF(ISNA(MATCH($A226,'Mock Database'!$C$3:$C$152,0)),"",IF(ISBLANK(OFFSET('Mock Database'!$AF$2,MATCH($A226,'Mock Database'!$C$3:$C$152,0),0)),"",INDEX('Mock Database'!$AF$3:$AF$152,MATCH($A226,'Mock Database'!$C$3:$C$152,0))))</f>
        <v/>
      </c>
      <c r="N226" t="e">
        <f t="shared" si="33"/>
        <v>#N/A</v>
      </c>
      <c r="O226" s="89" t="e">
        <f t="shared" ca="1" si="34"/>
        <v>#N/A</v>
      </c>
      <c r="P226" s="22" t="e">
        <f t="shared" ca="1" si="35"/>
        <v>#N/A</v>
      </c>
      <c r="Q226" s="89" t="e">
        <f t="shared" ca="1" si="36"/>
        <v>#N/A</v>
      </c>
      <c r="R226" s="22" t="e">
        <f t="shared" ca="1" si="37"/>
        <v>#N/A</v>
      </c>
      <c r="S226" s="89" t="e">
        <f t="shared" ca="1" si="38"/>
        <v>#N/A</v>
      </c>
      <c r="T226" s="22" t="e">
        <f t="shared" ca="1" si="39"/>
        <v>#N/A</v>
      </c>
      <c r="U226" s="89" t="e">
        <f t="shared" ca="1" si="40"/>
        <v>#N/A</v>
      </c>
      <c r="V226" s="22" t="e">
        <f t="shared" ca="1" si="41"/>
        <v>#N/A</v>
      </c>
      <c r="AM226" t="e">
        <f t="shared" si="42"/>
        <v>#N/A</v>
      </c>
      <c r="AN226" t="e">
        <f t="shared" ca="1" si="43"/>
        <v>#N/A</v>
      </c>
    </row>
    <row r="227" spans="1:40" x14ac:dyDescent="0.3">
      <c r="A227" s="87">
        <v>226</v>
      </c>
      <c r="B227" t="str">
        <f>IFERROR(INDEX('Mock Database'!$D$3:$D$152,MATCH($A227,'Mock Database'!$C$3:$C$152,0)),"")</f>
        <v/>
      </c>
      <c r="C227" s="88" t="str">
        <f>IFERROR(INDEX('Mock Database'!$I$3:$I$152,MATCH($A227,'Mock Database'!$C$3:$C$152,0)),"")</f>
        <v/>
      </c>
      <c r="D227" s="89" t="str">
        <f ca="1">IF(ISNA(MATCH($A227,'Mock Database'!$C$3:$C$152,0)),"",IF(ISBLANK(OFFSET('Mock Database'!$M$2,MATCH($A227,'Mock Database'!$C$3:$C$152,0),0)),"",INDEX('Mock Database'!$M$3:$M$152,MATCH($A227,'Mock Database'!$C$3:$C$152,0))))</f>
        <v/>
      </c>
      <c r="E227" s="22" t="str">
        <f ca="1">IF(ISNA(MATCH($A227,'Mock Database'!$C$3:$C$152,0)),"",IF(ISBLANK(OFFSET('Mock Database'!$N$2,MATCH($A227,'Mock Database'!$C$3:$C$152,0),0)),"",INDEX('Mock Database'!$N$3:$N$152,MATCH($A227,'Mock Database'!$C$3:$C$152,0))))</f>
        <v/>
      </c>
      <c r="F227" s="89" t="str">
        <f ca="1">IF(ISNA(MATCH($A227,'Mock Database'!$C$3:$C$152,0)),"",IF(ISBLANK(OFFSET('Mock Database'!$S$2,MATCH($A227,'Mock Database'!$C$3:$C$152,0),0)),"",INDEX('Mock Database'!$S$3:$S$152,MATCH($A227,'Mock Database'!$C$3:$C$152,0))))</f>
        <v/>
      </c>
      <c r="G227" s="22" t="str">
        <f ca="1">IF(ISNA(MATCH($A227,'Mock Database'!$C$3:$C$152,0)),"",IF(ISBLANK(OFFSET('Mock Database'!$T$2,MATCH($A227,'Mock Database'!$C$3:$C$152,0),0)),"",INDEX('Mock Database'!$T$3:$T$152,MATCH($A227,'Mock Database'!$C$3:$C$152,0))))</f>
        <v/>
      </c>
      <c r="H227" s="89" t="str">
        <f ca="1">IF(ISNA(MATCH($A227,'Mock Database'!$C$3:$C$152,0)),"",IF(ISBLANK(OFFSET('Mock Database'!$Y$2,MATCH($A227,'Mock Database'!$C$3:$C$152,0),0)),"",INDEX('Mock Database'!$Y$3:$Y$152,MATCH($A227,'Mock Database'!$C$3:$C$152,0))))</f>
        <v/>
      </c>
      <c r="I227" s="22" t="str">
        <f ca="1">IF(ISNA(MATCH($A227,'Mock Database'!$C$3:$C$152,0)),"",IF(ISBLANK(OFFSET('Mock Database'!$Z$2,MATCH($A227,'Mock Database'!$C$3:$C$152,0),0)),"",INDEX('Mock Database'!$Z$3:$Z$152,MATCH($A227,'Mock Database'!$C$3:$C$152,0))))</f>
        <v/>
      </c>
      <c r="J227" s="89" t="str">
        <f ca="1">IF(ISNA(MATCH($A227,'Mock Database'!$C$3:$C$152,0)),"",IF(ISBLANK(OFFSET('Mock Database'!$AE$2,MATCH($A227,'Mock Database'!$C$3:$C$152,0),0)),"",INDEX('Mock Database'!$AE$3:$AE$152,MATCH($A227,'Mock Database'!$C$3:$C$152,0))))</f>
        <v/>
      </c>
      <c r="K227" s="22" t="str">
        <f ca="1">IF(ISNA(MATCH($A227,'Mock Database'!$C$3:$C$152,0)),"",IF(ISBLANK(OFFSET('Mock Database'!$AF$2,MATCH($A227,'Mock Database'!$C$3:$C$152,0),0)),"",INDEX('Mock Database'!$AF$3:$AF$152,MATCH($A227,'Mock Database'!$C$3:$C$152,0))))</f>
        <v/>
      </c>
      <c r="N227" t="e">
        <f t="shared" si="33"/>
        <v>#N/A</v>
      </c>
      <c r="O227" s="89" t="e">
        <f t="shared" ca="1" si="34"/>
        <v>#N/A</v>
      </c>
      <c r="P227" s="22" t="e">
        <f t="shared" ca="1" si="35"/>
        <v>#N/A</v>
      </c>
      <c r="Q227" s="89" t="e">
        <f t="shared" ca="1" si="36"/>
        <v>#N/A</v>
      </c>
      <c r="R227" s="22" t="e">
        <f t="shared" ca="1" si="37"/>
        <v>#N/A</v>
      </c>
      <c r="S227" s="89" t="e">
        <f t="shared" ca="1" si="38"/>
        <v>#N/A</v>
      </c>
      <c r="T227" s="22" t="e">
        <f t="shared" ca="1" si="39"/>
        <v>#N/A</v>
      </c>
      <c r="U227" s="89" t="e">
        <f t="shared" ca="1" si="40"/>
        <v>#N/A</v>
      </c>
      <c r="V227" s="22" t="e">
        <f t="shared" ca="1" si="41"/>
        <v>#N/A</v>
      </c>
      <c r="AM227" t="e">
        <f t="shared" si="42"/>
        <v>#N/A</v>
      </c>
      <c r="AN227" t="e">
        <f t="shared" ca="1" si="43"/>
        <v>#N/A</v>
      </c>
    </row>
    <row r="228" spans="1:40" x14ac:dyDescent="0.3">
      <c r="A228" s="87">
        <v>227</v>
      </c>
      <c r="B228" t="str">
        <f>IFERROR(INDEX('Mock Database'!$D$3:$D$152,MATCH($A228,'Mock Database'!$C$3:$C$152,0)),"")</f>
        <v/>
      </c>
      <c r="C228" s="88" t="str">
        <f>IFERROR(INDEX('Mock Database'!$I$3:$I$152,MATCH($A228,'Mock Database'!$C$3:$C$152,0)),"")</f>
        <v/>
      </c>
      <c r="D228" s="89" t="str">
        <f ca="1">IF(ISNA(MATCH($A228,'Mock Database'!$C$3:$C$152,0)),"",IF(ISBLANK(OFFSET('Mock Database'!$M$2,MATCH($A228,'Mock Database'!$C$3:$C$152,0),0)),"",INDEX('Mock Database'!$M$3:$M$152,MATCH($A228,'Mock Database'!$C$3:$C$152,0))))</f>
        <v/>
      </c>
      <c r="E228" s="22" t="str">
        <f ca="1">IF(ISNA(MATCH($A228,'Mock Database'!$C$3:$C$152,0)),"",IF(ISBLANK(OFFSET('Mock Database'!$N$2,MATCH($A228,'Mock Database'!$C$3:$C$152,0),0)),"",INDEX('Mock Database'!$N$3:$N$152,MATCH($A228,'Mock Database'!$C$3:$C$152,0))))</f>
        <v/>
      </c>
      <c r="F228" s="89" t="str">
        <f ca="1">IF(ISNA(MATCH($A228,'Mock Database'!$C$3:$C$152,0)),"",IF(ISBLANK(OFFSET('Mock Database'!$S$2,MATCH($A228,'Mock Database'!$C$3:$C$152,0),0)),"",INDEX('Mock Database'!$S$3:$S$152,MATCH($A228,'Mock Database'!$C$3:$C$152,0))))</f>
        <v/>
      </c>
      <c r="G228" s="22" t="str">
        <f ca="1">IF(ISNA(MATCH($A228,'Mock Database'!$C$3:$C$152,0)),"",IF(ISBLANK(OFFSET('Mock Database'!$T$2,MATCH($A228,'Mock Database'!$C$3:$C$152,0),0)),"",INDEX('Mock Database'!$T$3:$T$152,MATCH($A228,'Mock Database'!$C$3:$C$152,0))))</f>
        <v/>
      </c>
      <c r="H228" s="89" t="str">
        <f ca="1">IF(ISNA(MATCH($A228,'Mock Database'!$C$3:$C$152,0)),"",IF(ISBLANK(OFFSET('Mock Database'!$Y$2,MATCH($A228,'Mock Database'!$C$3:$C$152,0),0)),"",INDEX('Mock Database'!$Y$3:$Y$152,MATCH($A228,'Mock Database'!$C$3:$C$152,0))))</f>
        <v/>
      </c>
      <c r="I228" s="22" t="str">
        <f ca="1">IF(ISNA(MATCH($A228,'Mock Database'!$C$3:$C$152,0)),"",IF(ISBLANK(OFFSET('Mock Database'!$Z$2,MATCH($A228,'Mock Database'!$C$3:$C$152,0),0)),"",INDEX('Mock Database'!$Z$3:$Z$152,MATCH($A228,'Mock Database'!$C$3:$C$152,0))))</f>
        <v/>
      </c>
      <c r="J228" s="89" t="str">
        <f ca="1">IF(ISNA(MATCH($A228,'Mock Database'!$C$3:$C$152,0)),"",IF(ISBLANK(OFFSET('Mock Database'!$AE$2,MATCH($A228,'Mock Database'!$C$3:$C$152,0),0)),"",INDEX('Mock Database'!$AE$3:$AE$152,MATCH($A228,'Mock Database'!$C$3:$C$152,0))))</f>
        <v/>
      </c>
      <c r="K228" s="22" t="str">
        <f ca="1">IF(ISNA(MATCH($A228,'Mock Database'!$C$3:$C$152,0)),"",IF(ISBLANK(OFFSET('Mock Database'!$AF$2,MATCH($A228,'Mock Database'!$C$3:$C$152,0),0)),"",INDEX('Mock Database'!$AF$3:$AF$152,MATCH($A228,'Mock Database'!$C$3:$C$152,0))))</f>
        <v/>
      </c>
      <c r="N228" t="e">
        <f t="shared" si="33"/>
        <v>#N/A</v>
      </c>
      <c r="O228" s="89" t="e">
        <f t="shared" ca="1" si="34"/>
        <v>#N/A</v>
      </c>
      <c r="P228" s="22" t="e">
        <f t="shared" ca="1" si="35"/>
        <v>#N/A</v>
      </c>
      <c r="Q228" s="89" t="e">
        <f t="shared" ca="1" si="36"/>
        <v>#N/A</v>
      </c>
      <c r="R228" s="22" t="e">
        <f t="shared" ca="1" si="37"/>
        <v>#N/A</v>
      </c>
      <c r="S228" s="89" t="e">
        <f t="shared" ca="1" si="38"/>
        <v>#N/A</v>
      </c>
      <c r="T228" s="22" t="e">
        <f t="shared" ca="1" si="39"/>
        <v>#N/A</v>
      </c>
      <c r="U228" s="89" t="e">
        <f t="shared" ca="1" si="40"/>
        <v>#N/A</v>
      </c>
      <c r="V228" s="22" t="e">
        <f t="shared" ca="1" si="41"/>
        <v>#N/A</v>
      </c>
      <c r="AM228" t="e">
        <f t="shared" si="42"/>
        <v>#N/A</v>
      </c>
      <c r="AN228" t="e">
        <f t="shared" ca="1" si="43"/>
        <v>#N/A</v>
      </c>
    </row>
    <row r="229" spans="1:40" x14ac:dyDescent="0.3">
      <c r="A229" s="87">
        <v>228</v>
      </c>
      <c r="B229" t="str">
        <f>IFERROR(INDEX('Mock Database'!$D$3:$D$152,MATCH($A229,'Mock Database'!$C$3:$C$152,0)),"")</f>
        <v/>
      </c>
      <c r="C229" s="88" t="str">
        <f>IFERROR(INDEX('Mock Database'!$I$3:$I$152,MATCH($A229,'Mock Database'!$C$3:$C$152,0)),"")</f>
        <v/>
      </c>
      <c r="D229" s="89" t="str">
        <f ca="1">IF(ISNA(MATCH($A229,'Mock Database'!$C$3:$C$152,0)),"",IF(ISBLANK(OFFSET('Mock Database'!$M$2,MATCH($A229,'Mock Database'!$C$3:$C$152,0),0)),"",INDEX('Mock Database'!$M$3:$M$152,MATCH($A229,'Mock Database'!$C$3:$C$152,0))))</f>
        <v/>
      </c>
      <c r="E229" s="22" t="str">
        <f ca="1">IF(ISNA(MATCH($A229,'Mock Database'!$C$3:$C$152,0)),"",IF(ISBLANK(OFFSET('Mock Database'!$N$2,MATCH($A229,'Mock Database'!$C$3:$C$152,0),0)),"",INDEX('Mock Database'!$N$3:$N$152,MATCH($A229,'Mock Database'!$C$3:$C$152,0))))</f>
        <v/>
      </c>
      <c r="F229" s="89" t="str">
        <f ca="1">IF(ISNA(MATCH($A229,'Mock Database'!$C$3:$C$152,0)),"",IF(ISBLANK(OFFSET('Mock Database'!$S$2,MATCH($A229,'Mock Database'!$C$3:$C$152,0),0)),"",INDEX('Mock Database'!$S$3:$S$152,MATCH($A229,'Mock Database'!$C$3:$C$152,0))))</f>
        <v/>
      </c>
      <c r="G229" s="22" t="str">
        <f ca="1">IF(ISNA(MATCH($A229,'Mock Database'!$C$3:$C$152,0)),"",IF(ISBLANK(OFFSET('Mock Database'!$T$2,MATCH($A229,'Mock Database'!$C$3:$C$152,0),0)),"",INDEX('Mock Database'!$T$3:$T$152,MATCH($A229,'Mock Database'!$C$3:$C$152,0))))</f>
        <v/>
      </c>
      <c r="H229" s="89" t="str">
        <f ca="1">IF(ISNA(MATCH($A229,'Mock Database'!$C$3:$C$152,0)),"",IF(ISBLANK(OFFSET('Mock Database'!$Y$2,MATCH($A229,'Mock Database'!$C$3:$C$152,0),0)),"",INDEX('Mock Database'!$Y$3:$Y$152,MATCH($A229,'Mock Database'!$C$3:$C$152,0))))</f>
        <v/>
      </c>
      <c r="I229" s="22" t="str">
        <f ca="1">IF(ISNA(MATCH($A229,'Mock Database'!$C$3:$C$152,0)),"",IF(ISBLANK(OFFSET('Mock Database'!$Z$2,MATCH($A229,'Mock Database'!$C$3:$C$152,0),0)),"",INDEX('Mock Database'!$Z$3:$Z$152,MATCH($A229,'Mock Database'!$C$3:$C$152,0))))</f>
        <v/>
      </c>
      <c r="J229" s="89" t="str">
        <f ca="1">IF(ISNA(MATCH($A229,'Mock Database'!$C$3:$C$152,0)),"",IF(ISBLANK(OFFSET('Mock Database'!$AE$2,MATCH($A229,'Mock Database'!$C$3:$C$152,0),0)),"",INDEX('Mock Database'!$AE$3:$AE$152,MATCH($A229,'Mock Database'!$C$3:$C$152,0))))</f>
        <v/>
      </c>
      <c r="K229" s="22" t="str">
        <f ca="1">IF(ISNA(MATCH($A229,'Mock Database'!$C$3:$C$152,0)),"",IF(ISBLANK(OFFSET('Mock Database'!$AF$2,MATCH($A229,'Mock Database'!$C$3:$C$152,0),0)),"",INDEX('Mock Database'!$AF$3:$AF$152,MATCH($A229,'Mock Database'!$C$3:$C$152,0))))</f>
        <v/>
      </c>
      <c r="N229" t="e">
        <f t="shared" si="33"/>
        <v>#N/A</v>
      </c>
      <c r="O229" s="89" t="e">
        <f t="shared" ca="1" si="34"/>
        <v>#N/A</v>
      </c>
      <c r="P229" s="22" t="e">
        <f t="shared" ca="1" si="35"/>
        <v>#N/A</v>
      </c>
      <c r="Q229" s="89" t="e">
        <f t="shared" ca="1" si="36"/>
        <v>#N/A</v>
      </c>
      <c r="R229" s="22" t="e">
        <f t="shared" ca="1" si="37"/>
        <v>#N/A</v>
      </c>
      <c r="S229" s="89" t="e">
        <f t="shared" ca="1" si="38"/>
        <v>#N/A</v>
      </c>
      <c r="T229" s="22" t="e">
        <f t="shared" ca="1" si="39"/>
        <v>#N/A</v>
      </c>
      <c r="U229" s="89" t="e">
        <f t="shared" ca="1" si="40"/>
        <v>#N/A</v>
      </c>
      <c r="V229" s="22" t="e">
        <f t="shared" ca="1" si="41"/>
        <v>#N/A</v>
      </c>
      <c r="AM229" t="e">
        <f t="shared" si="42"/>
        <v>#N/A</v>
      </c>
      <c r="AN229" t="e">
        <f t="shared" ca="1" si="43"/>
        <v>#N/A</v>
      </c>
    </row>
    <row r="230" spans="1:40" x14ac:dyDescent="0.3">
      <c r="A230" s="87">
        <v>229</v>
      </c>
      <c r="B230" t="str">
        <f>IFERROR(INDEX('Mock Database'!$D$3:$D$152,MATCH($A230,'Mock Database'!$C$3:$C$152,0)),"")</f>
        <v/>
      </c>
      <c r="C230" s="88" t="str">
        <f>IFERROR(INDEX('Mock Database'!$I$3:$I$152,MATCH($A230,'Mock Database'!$C$3:$C$152,0)),"")</f>
        <v/>
      </c>
      <c r="D230" s="89" t="str">
        <f ca="1">IF(ISNA(MATCH($A230,'Mock Database'!$C$3:$C$152,0)),"",IF(ISBLANK(OFFSET('Mock Database'!$M$2,MATCH($A230,'Mock Database'!$C$3:$C$152,0),0)),"",INDEX('Mock Database'!$M$3:$M$152,MATCH($A230,'Mock Database'!$C$3:$C$152,0))))</f>
        <v/>
      </c>
      <c r="E230" s="22" t="str">
        <f ca="1">IF(ISNA(MATCH($A230,'Mock Database'!$C$3:$C$152,0)),"",IF(ISBLANK(OFFSET('Mock Database'!$N$2,MATCH($A230,'Mock Database'!$C$3:$C$152,0),0)),"",INDEX('Mock Database'!$N$3:$N$152,MATCH($A230,'Mock Database'!$C$3:$C$152,0))))</f>
        <v/>
      </c>
      <c r="F230" s="89" t="str">
        <f ca="1">IF(ISNA(MATCH($A230,'Mock Database'!$C$3:$C$152,0)),"",IF(ISBLANK(OFFSET('Mock Database'!$S$2,MATCH($A230,'Mock Database'!$C$3:$C$152,0),0)),"",INDEX('Mock Database'!$S$3:$S$152,MATCH($A230,'Mock Database'!$C$3:$C$152,0))))</f>
        <v/>
      </c>
      <c r="G230" s="22" t="str">
        <f ca="1">IF(ISNA(MATCH($A230,'Mock Database'!$C$3:$C$152,0)),"",IF(ISBLANK(OFFSET('Mock Database'!$T$2,MATCH($A230,'Mock Database'!$C$3:$C$152,0),0)),"",INDEX('Mock Database'!$T$3:$T$152,MATCH($A230,'Mock Database'!$C$3:$C$152,0))))</f>
        <v/>
      </c>
      <c r="H230" s="89" t="str">
        <f ca="1">IF(ISNA(MATCH($A230,'Mock Database'!$C$3:$C$152,0)),"",IF(ISBLANK(OFFSET('Mock Database'!$Y$2,MATCH($A230,'Mock Database'!$C$3:$C$152,0),0)),"",INDEX('Mock Database'!$Y$3:$Y$152,MATCH($A230,'Mock Database'!$C$3:$C$152,0))))</f>
        <v/>
      </c>
      <c r="I230" s="22" t="str">
        <f ca="1">IF(ISNA(MATCH($A230,'Mock Database'!$C$3:$C$152,0)),"",IF(ISBLANK(OFFSET('Mock Database'!$Z$2,MATCH($A230,'Mock Database'!$C$3:$C$152,0),0)),"",INDEX('Mock Database'!$Z$3:$Z$152,MATCH($A230,'Mock Database'!$C$3:$C$152,0))))</f>
        <v/>
      </c>
      <c r="J230" s="89" t="str">
        <f ca="1">IF(ISNA(MATCH($A230,'Mock Database'!$C$3:$C$152,0)),"",IF(ISBLANK(OFFSET('Mock Database'!$AE$2,MATCH($A230,'Mock Database'!$C$3:$C$152,0),0)),"",INDEX('Mock Database'!$AE$3:$AE$152,MATCH($A230,'Mock Database'!$C$3:$C$152,0))))</f>
        <v/>
      </c>
      <c r="K230" s="22" t="str">
        <f ca="1">IF(ISNA(MATCH($A230,'Mock Database'!$C$3:$C$152,0)),"",IF(ISBLANK(OFFSET('Mock Database'!$AF$2,MATCH($A230,'Mock Database'!$C$3:$C$152,0),0)),"",INDEX('Mock Database'!$AF$3:$AF$152,MATCH($A230,'Mock Database'!$C$3:$C$152,0))))</f>
        <v/>
      </c>
      <c r="N230" t="e">
        <f t="shared" si="33"/>
        <v>#N/A</v>
      </c>
      <c r="O230" s="89" t="e">
        <f t="shared" ca="1" si="34"/>
        <v>#N/A</v>
      </c>
      <c r="P230" s="22" t="e">
        <f t="shared" ca="1" si="35"/>
        <v>#N/A</v>
      </c>
      <c r="Q230" s="89" t="e">
        <f t="shared" ca="1" si="36"/>
        <v>#N/A</v>
      </c>
      <c r="R230" s="22" t="e">
        <f t="shared" ca="1" si="37"/>
        <v>#N/A</v>
      </c>
      <c r="S230" s="89" t="e">
        <f t="shared" ca="1" si="38"/>
        <v>#N/A</v>
      </c>
      <c r="T230" s="22" t="e">
        <f t="shared" ca="1" si="39"/>
        <v>#N/A</v>
      </c>
      <c r="U230" s="89" t="e">
        <f t="shared" ca="1" si="40"/>
        <v>#N/A</v>
      </c>
      <c r="V230" s="22" t="e">
        <f t="shared" ca="1" si="41"/>
        <v>#N/A</v>
      </c>
      <c r="AM230" t="e">
        <f t="shared" si="42"/>
        <v>#N/A</v>
      </c>
      <c r="AN230" t="e">
        <f t="shared" ca="1" si="43"/>
        <v>#N/A</v>
      </c>
    </row>
    <row r="231" spans="1:40" x14ac:dyDescent="0.3">
      <c r="A231" s="87">
        <v>230</v>
      </c>
      <c r="B231" t="str">
        <f>IFERROR(INDEX('Mock Database'!$D$3:$D$152,MATCH($A231,'Mock Database'!$C$3:$C$152,0)),"")</f>
        <v/>
      </c>
      <c r="C231" s="88" t="str">
        <f>IFERROR(INDEX('Mock Database'!$I$3:$I$152,MATCH($A231,'Mock Database'!$C$3:$C$152,0)),"")</f>
        <v/>
      </c>
      <c r="D231" s="89" t="str">
        <f ca="1">IF(ISNA(MATCH($A231,'Mock Database'!$C$3:$C$152,0)),"",IF(ISBLANK(OFFSET('Mock Database'!$M$2,MATCH($A231,'Mock Database'!$C$3:$C$152,0),0)),"",INDEX('Mock Database'!$M$3:$M$152,MATCH($A231,'Mock Database'!$C$3:$C$152,0))))</f>
        <v/>
      </c>
      <c r="E231" s="22" t="str">
        <f ca="1">IF(ISNA(MATCH($A231,'Mock Database'!$C$3:$C$152,0)),"",IF(ISBLANK(OFFSET('Mock Database'!$N$2,MATCH($A231,'Mock Database'!$C$3:$C$152,0),0)),"",INDEX('Mock Database'!$N$3:$N$152,MATCH($A231,'Mock Database'!$C$3:$C$152,0))))</f>
        <v/>
      </c>
      <c r="F231" s="89" t="str">
        <f ca="1">IF(ISNA(MATCH($A231,'Mock Database'!$C$3:$C$152,0)),"",IF(ISBLANK(OFFSET('Mock Database'!$S$2,MATCH($A231,'Mock Database'!$C$3:$C$152,0),0)),"",INDEX('Mock Database'!$S$3:$S$152,MATCH($A231,'Mock Database'!$C$3:$C$152,0))))</f>
        <v/>
      </c>
      <c r="G231" s="22" t="str">
        <f ca="1">IF(ISNA(MATCH($A231,'Mock Database'!$C$3:$C$152,0)),"",IF(ISBLANK(OFFSET('Mock Database'!$T$2,MATCH($A231,'Mock Database'!$C$3:$C$152,0),0)),"",INDEX('Mock Database'!$T$3:$T$152,MATCH($A231,'Mock Database'!$C$3:$C$152,0))))</f>
        <v/>
      </c>
      <c r="H231" s="89" t="str">
        <f ca="1">IF(ISNA(MATCH($A231,'Mock Database'!$C$3:$C$152,0)),"",IF(ISBLANK(OFFSET('Mock Database'!$Y$2,MATCH($A231,'Mock Database'!$C$3:$C$152,0),0)),"",INDEX('Mock Database'!$Y$3:$Y$152,MATCH($A231,'Mock Database'!$C$3:$C$152,0))))</f>
        <v/>
      </c>
      <c r="I231" s="22" t="str">
        <f ca="1">IF(ISNA(MATCH($A231,'Mock Database'!$C$3:$C$152,0)),"",IF(ISBLANK(OFFSET('Mock Database'!$Z$2,MATCH($A231,'Mock Database'!$C$3:$C$152,0),0)),"",INDEX('Mock Database'!$Z$3:$Z$152,MATCH($A231,'Mock Database'!$C$3:$C$152,0))))</f>
        <v/>
      </c>
      <c r="J231" s="89" t="str">
        <f ca="1">IF(ISNA(MATCH($A231,'Mock Database'!$C$3:$C$152,0)),"",IF(ISBLANK(OFFSET('Mock Database'!$AE$2,MATCH($A231,'Mock Database'!$C$3:$C$152,0),0)),"",INDEX('Mock Database'!$AE$3:$AE$152,MATCH($A231,'Mock Database'!$C$3:$C$152,0))))</f>
        <v/>
      </c>
      <c r="K231" s="22" t="str">
        <f ca="1">IF(ISNA(MATCH($A231,'Mock Database'!$C$3:$C$152,0)),"",IF(ISBLANK(OFFSET('Mock Database'!$AF$2,MATCH($A231,'Mock Database'!$C$3:$C$152,0),0)),"",INDEX('Mock Database'!$AF$3:$AF$152,MATCH($A231,'Mock Database'!$C$3:$C$152,0))))</f>
        <v/>
      </c>
      <c r="N231" t="e">
        <f t="shared" si="33"/>
        <v>#N/A</v>
      </c>
      <c r="O231" s="89" t="e">
        <f t="shared" ca="1" si="34"/>
        <v>#N/A</v>
      </c>
      <c r="P231" s="22" t="e">
        <f t="shared" ca="1" si="35"/>
        <v>#N/A</v>
      </c>
      <c r="Q231" s="89" t="e">
        <f t="shared" ca="1" si="36"/>
        <v>#N/A</v>
      </c>
      <c r="R231" s="22" t="e">
        <f t="shared" ca="1" si="37"/>
        <v>#N/A</v>
      </c>
      <c r="S231" s="89" t="e">
        <f t="shared" ca="1" si="38"/>
        <v>#N/A</v>
      </c>
      <c r="T231" s="22" t="e">
        <f t="shared" ca="1" si="39"/>
        <v>#N/A</v>
      </c>
      <c r="U231" s="89" t="e">
        <f t="shared" ca="1" si="40"/>
        <v>#N/A</v>
      </c>
      <c r="V231" s="22" t="e">
        <f t="shared" ca="1" si="41"/>
        <v>#N/A</v>
      </c>
      <c r="AM231" t="e">
        <f t="shared" si="42"/>
        <v>#N/A</v>
      </c>
      <c r="AN231" t="e">
        <f t="shared" ca="1" si="43"/>
        <v>#N/A</v>
      </c>
    </row>
    <row r="232" spans="1:40" x14ac:dyDescent="0.3">
      <c r="A232" s="87">
        <v>231</v>
      </c>
      <c r="B232" t="str">
        <f>IFERROR(INDEX('Mock Database'!$D$3:$D$152,MATCH($A232,'Mock Database'!$C$3:$C$152,0)),"")</f>
        <v/>
      </c>
      <c r="C232" s="88" t="str">
        <f>IFERROR(INDEX('Mock Database'!$I$3:$I$152,MATCH($A232,'Mock Database'!$C$3:$C$152,0)),"")</f>
        <v/>
      </c>
      <c r="D232" s="89" t="str">
        <f ca="1">IF(ISNA(MATCH($A232,'Mock Database'!$C$3:$C$152,0)),"",IF(ISBLANK(OFFSET('Mock Database'!$M$2,MATCH($A232,'Mock Database'!$C$3:$C$152,0),0)),"",INDEX('Mock Database'!$M$3:$M$152,MATCH($A232,'Mock Database'!$C$3:$C$152,0))))</f>
        <v/>
      </c>
      <c r="E232" s="22" t="str">
        <f ca="1">IF(ISNA(MATCH($A232,'Mock Database'!$C$3:$C$152,0)),"",IF(ISBLANK(OFFSET('Mock Database'!$N$2,MATCH($A232,'Mock Database'!$C$3:$C$152,0),0)),"",INDEX('Mock Database'!$N$3:$N$152,MATCH($A232,'Mock Database'!$C$3:$C$152,0))))</f>
        <v/>
      </c>
      <c r="F232" s="89" t="str">
        <f ca="1">IF(ISNA(MATCH($A232,'Mock Database'!$C$3:$C$152,0)),"",IF(ISBLANK(OFFSET('Mock Database'!$S$2,MATCH($A232,'Mock Database'!$C$3:$C$152,0),0)),"",INDEX('Mock Database'!$S$3:$S$152,MATCH($A232,'Mock Database'!$C$3:$C$152,0))))</f>
        <v/>
      </c>
      <c r="G232" s="22" t="str">
        <f ca="1">IF(ISNA(MATCH($A232,'Mock Database'!$C$3:$C$152,0)),"",IF(ISBLANK(OFFSET('Mock Database'!$T$2,MATCH($A232,'Mock Database'!$C$3:$C$152,0),0)),"",INDEX('Mock Database'!$T$3:$T$152,MATCH($A232,'Mock Database'!$C$3:$C$152,0))))</f>
        <v/>
      </c>
      <c r="H232" s="89" t="str">
        <f ca="1">IF(ISNA(MATCH($A232,'Mock Database'!$C$3:$C$152,0)),"",IF(ISBLANK(OFFSET('Mock Database'!$Y$2,MATCH($A232,'Mock Database'!$C$3:$C$152,0),0)),"",INDEX('Mock Database'!$Y$3:$Y$152,MATCH($A232,'Mock Database'!$C$3:$C$152,0))))</f>
        <v/>
      </c>
      <c r="I232" s="22" t="str">
        <f ca="1">IF(ISNA(MATCH($A232,'Mock Database'!$C$3:$C$152,0)),"",IF(ISBLANK(OFFSET('Mock Database'!$Z$2,MATCH($A232,'Mock Database'!$C$3:$C$152,0),0)),"",INDEX('Mock Database'!$Z$3:$Z$152,MATCH($A232,'Mock Database'!$C$3:$C$152,0))))</f>
        <v/>
      </c>
      <c r="J232" s="89" t="str">
        <f ca="1">IF(ISNA(MATCH($A232,'Mock Database'!$C$3:$C$152,0)),"",IF(ISBLANK(OFFSET('Mock Database'!$AE$2,MATCH($A232,'Mock Database'!$C$3:$C$152,0),0)),"",INDEX('Mock Database'!$AE$3:$AE$152,MATCH($A232,'Mock Database'!$C$3:$C$152,0))))</f>
        <v/>
      </c>
      <c r="K232" s="22" t="str">
        <f ca="1">IF(ISNA(MATCH($A232,'Mock Database'!$C$3:$C$152,0)),"",IF(ISBLANK(OFFSET('Mock Database'!$AF$2,MATCH($A232,'Mock Database'!$C$3:$C$152,0),0)),"",INDEX('Mock Database'!$AF$3:$AF$152,MATCH($A232,'Mock Database'!$C$3:$C$152,0))))</f>
        <v/>
      </c>
      <c r="N232" t="e">
        <f t="shared" si="33"/>
        <v>#N/A</v>
      </c>
      <c r="O232" s="89" t="e">
        <f t="shared" ca="1" si="34"/>
        <v>#N/A</v>
      </c>
      <c r="P232" s="22" t="e">
        <f t="shared" ca="1" si="35"/>
        <v>#N/A</v>
      </c>
      <c r="Q232" s="89" t="e">
        <f t="shared" ca="1" si="36"/>
        <v>#N/A</v>
      </c>
      <c r="R232" s="22" t="e">
        <f t="shared" ca="1" si="37"/>
        <v>#N/A</v>
      </c>
      <c r="S232" s="89" t="e">
        <f t="shared" ca="1" si="38"/>
        <v>#N/A</v>
      </c>
      <c r="T232" s="22" t="e">
        <f t="shared" ca="1" si="39"/>
        <v>#N/A</v>
      </c>
      <c r="U232" s="89" t="e">
        <f t="shared" ca="1" si="40"/>
        <v>#N/A</v>
      </c>
      <c r="V232" s="22" t="e">
        <f t="shared" ca="1" si="41"/>
        <v>#N/A</v>
      </c>
      <c r="AM232" t="e">
        <f t="shared" si="42"/>
        <v>#N/A</v>
      </c>
      <c r="AN232" t="e">
        <f t="shared" ca="1" si="43"/>
        <v>#N/A</v>
      </c>
    </row>
    <row r="233" spans="1:40" x14ac:dyDescent="0.3">
      <c r="A233" s="87">
        <v>232</v>
      </c>
      <c r="B233" t="str">
        <f>IFERROR(INDEX('Mock Database'!$D$3:$D$152,MATCH($A233,'Mock Database'!$C$3:$C$152,0)),"")</f>
        <v/>
      </c>
      <c r="C233" s="88" t="str">
        <f>IFERROR(INDEX('Mock Database'!$I$3:$I$152,MATCH($A233,'Mock Database'!$C$3:$C$152,0)),"")</f>
        <v/>
      </c>
      <c r="D233" s="89" t="str">
        <f ca="1">IF(ISNA(MATCH($A233,'Mock Database'!$C$3:$C$152,0)),"",IF(ISBLANK(OFFSET('Mock Database'!$M$2,MATCH($A233,'Mock Database'!$C$3:$C$152,0),0)),"",INDEX('Mock Database'!$M$3:$M$152,MATCH($A233,'Mock Database'!$C$3:$C$152,0))))</f>
        <v/>
      </c>
      <c r="E233" s="22" t="str">
        <f ca="1">IF(ISNA(MATCH($A233,'Mock Database'!$C$3:$C$152,0)),"",IF(ISBLANK(OFFSET('Mock Database'!$N$2,MATCH($A233,'Mock Database'!$C$3:$C$152,0),0)),"",INDEX('Mock Database'!$N$3:$N$152,MATCH($A233,'Mock Database'!$C$3:$C$152,0))))</f>
        <v/>
      </c>
      <c r="F233" s="89" t="str">
        <f ca="1">IF(ISNA(MATCH($A233,'Mock Database'!$C$3:$C$152,0)),"",IF(ISBLANK(OFFSET('Mock Database'!$S$2,MATCH($A233,'Mock Database'!$C$3:$C$152,0),0)),"",INDEX('Mock Database'!$S$3:$S$152,MATCH($A233,'Mock Database'!$C$3:$C$152,0))))</f>
        <v/>
      </c>
      <c r="G233" s="22" t="str">
        <f ca="1">IF(ISNA(MATCH($A233,'Mock Database'!$C$3:$C$152,0)),"",IF(ISBLANK(OFFSET('Mock Database'!$T$2,MATCH($A233,'Mock Database'!$C$3:$C$152,0),0)),"",INDEX('Mock Database'!$T$3:$T$152,MATCH($A233,'Mock Database'!$C$3:$C$152,0))))</f>
        <v/>
      </c>
      <c r="H233" s="89" t="str">
        <f ca="1">IF(ISNA(MATCH($A233,'Mock Database'!$C$3:$C$152,0)),"",IF(ISBLANK(OFFSET('Mock Database'!$Y$2,MATCH($A233,'Mock Database'!$C$3:$C$152,0),0)),"",INDEX('Mock Database'!$Y$3:$Y$152,MATCH($A233,'Mock Database'!$C$3:$C$152,0))))</f>
        <v/>
      </c>
      <c r="I233" s="22" t="str">
        <f ca="1">IF(ISNA(MATCH($A233,'Mock Database'!$C$3:$C$152,0)),"",IF(ISBLANK(OFFSET('Mock Database'!$Z$2,MATCH($A233,'Mock Database'!$C$3:$C$152,0),0)),"",INDEX('Mock Database'!$Z$3:$Z$152,MATCH($A233,'Mock Database'!$C$3:$C$152,0))))</f>
        <v/>
      </c>
      <c r="J233" s="89" t="str">
        <f ca="1">IF(ISNA(MATCH($A233,'Mock Database'!$C$3:$C$152,0)),"",IF(ISBLANK(OFFSET('Mock Database'!$AE$2,MATCH($A233,'Mock Database'!$C$3:$C$152,0),0)),"",INDEX('Mock Database'!$AE$3:$AE$152,MATCH($A233,'Mock Database'!$C$3:$C$152,0))))</f>
        <v/>
      </c>
      <c r="K233" s="22" t="str">
        <f ca="1">IF(ISNA(MATCH($A233,'Mock Database'!$C$3:$C$152,0)),"",IF(ISBLANK(OFFSET('Mock Database'!$AF$2,MATCH($A233,'Mock Database'!$C$3:$C$152,0),0)),"",INDEX('Mock Database'!$AF$3:$AF$152,MATCH($A233,'Mock Database'!$C$3:$C$152,0))))</f>
        <v/>
      </c>
      <c r="N233" t="e">
        <f t="shared" si="33"/>
        <v>#N/A</v>
      </c>
      <c r="O233" s="89" t="e">
        <f t="shared" ca="1" si="34"/>
        <v>#N/A</v>
      </c>
      <c r="P233" s="22" t="e">
        <f t="shared" ca="1" si="35"/>
        <v>#N/A</v>
      </c>
      <c r="Q233" s="89" t="e">
        <f t="shared" ca="1" si="36"/>
        <v>#N/A</v>
      </c>
      <c r="R233" s="22" t="e">
        <f t="shared" ca="1" si="37"/>
        <v>#N/A</v>
      </c>
      <c r="S233" s="89" t="e">
        <f t="shared" ca="1" si="38"/>
        <v>#N/A</v>
      </c>
      <c r="T233" s="22" t="e">
        <f t="shared" ca="1" si="39"/>
        <v>#N/A</v>
      </c>
      <c r="U233" s="89" t="e">
        <f t="shared" ca="1" si="40"/>
        <v>#N/A</v>
      </c>
      <c r="V233" s="22" t="e">
        <f t="shared" ca="1" si="41"/>
        <v>#N/A</v>
      </c>
      <c r="AM233" t="e">
        <f t="shared" si="42"/>
        <v>#N/A</v>
      </c>
      <c r="AN233" t="e">
        <f t="shared" ca="1" si="43"/>
        <v>#N/A</v>
      </c>
    </row>
    <row r="234" spans="1:40" x14ac:dyDescent="0.3">
      <c r="A234" s="87">
        <v>233</v>
      </c>
      <c r="B234" t="str">
        <f>IFERROR(INDEX('Mock Database'!$D$3:$D$152,MATCH($A234,'Mock Database'!$C$3:$C$152,0)),"")</f>
        <v/>
      </c>
      <c r="C234" s="88" t="str">
        <f>IFERROR(INDEX('Mock Database'!$I$3:$I$152,MATCH($A234,'Mock Database'!$C$3:$C$152,0)),"")</f>
        <v/>
      </c>
      <c r="D234" s="89" t="str">
        <f ca="1">IF(ISNA(MATCH($A234,'Mock Database'!$C$3:$C$152,0)),"",IF(ISBLANK(OFFSET('Mock Database'!$M$2,MATCH($A234,'Mock Database'!$C$3:$C$152,0),0)),"",INDEX('Mock Database'!$M$3:$M$152,MATCH($A234,'Mock Database'!$C$3:$C$152,0))))</f>
        <v/>
      </c>
      <c r="E234" s="22" t="str">
        <f ca="1">IF(ISNA(MATCH($A234,'Mock Database'!$C$3:$C$152,0)),"",IF(ISBLANK(OFFSET('Mock Database'!$N$2,MATCH($A234,'Mock Database'!$C$3:$C$152,0),0)),"",INDEX('Mock Database'!$N$3:$N$152,MATCH($A234,'Mock Database'!$C$3:$C$152,0))))</f>
        <v/>
      </c>
      <c r="F234" s="89" t="str">
        <f ca="1">IF(ISNA(MATCH($A234,'Mock Database'!$C$3:$C$152,0)),"",IF(ISBLANK(OFFSET('Mock Database'!$S$2,MATCH($A234,'Mock Database'!$C$3:$C$152,0),0)),"",INDEX('Mock Database'!$S$3:$S$152,MATCH($A234,'Mock Database'!$C$3:$C$152,0))))</f>
        <v/>
      </c>
      <c r="G234" s="22" t="str">
        <f ca="1">IF(ISNA(MATCH($A234,'Mock Database'!$C$3:$C$152,0)),"",IF(ISBLANK(OFFSET('Mock Database'!$T$2,MATCH($A234,'Mock Database'!$C$3:$C$152,0),0)),"",INDEX('Mock Database'!$T$3:$T$152,MATCH($A234,'Mock Database'!$C$3:$C$152,0))))</f>
        <v/>
      </c>
      <c r="H234" s="89" t="str">
        <f ca="1">IF(ISNA(MATCH($A234,'Mock Database'!$C$3:$C$152,0)),"",IF(ISBLANK(OFFSET('Mock Database'!$Y$2,MATCH($A234,'Mock Database'!$C$3:$C$152,0),0)),"",INDEX('Mock Database'!$Y$3:$Y$152,MATCH($A234,'Mock Database'!$C$3:$C$152,0))))</f>
        <v/>
      </c>
      <c r="I234" s="22" t="str">
        <f ca="1">IF(ISNA(MATCH($A234,'Mock Database'!$C$3:$C$152,0)),"",IF(ISBLANK(OFFSET('Mock Database'!$Z$2,MATCH($A234,'Mock Database'!$C$3:$C$152,0),0)),"",INDEX('Mock Database'!$Z$3:$Z$152,MATCH($A234,'Mock Database'!$C$3:$C$152,0))))</f>
        <v/>
      </c>
      <c r="J234" s="89" t="str">
        <f ca="1">IF(ISNA(MATCH($A234,'Mock Database'!$C$3:$C$152,0)),"",IF(ISBLANK(OFFSET('Mock Database'!$AE$2,MATCH($A234,'Mock Database'!$C$3:$C$152,0),0)),"",INDEX('Mock Database'!$AE$3:$AE$152,MATCH($A234,'Mock Database'!$C$3:$C$152,0))))</f>
        <v/>
      </c>
      <c r="K234" s="22" t="str">
        <f ca="1">IF(ISNA(MATCH($A234,'Mock Database'!$C$3:$C$152,0)),"",IF(ISBLANK(OFFSET('Mock Database'!$AF$2,MATCH($A234,'Mock Database'!$C$3:$C$152,0),0)),"",INDEX('Mock Database'!$AF$3:$AF$152,MATCH($A234,'Mock Database'!$C$3:$C$152,0))))</f>
        <v/>
      </c>
      <c r="N234" t="e">
        <f t="shared" si="33"/>
        <v>#N/A</v>
      </c>
      <c r="O234" s="89" t="e">
        <f t="shared" ca="1" si="34"/>
        <v>#N/A</v>
      </c>
      <c r="P234" s="22" t="e">
        <f t="shared" ca="1" si="35"/>
        <v>#N/A</v>
      </c>
      <c r="Q234" s="89" t="e">
        <f t="shared" ca="1" si="36"/>
        <v>#N/A</v>
      </c>
      <c r="R234" s="22" t="e">
        <f t="shared" ca="1" si="37"/>
        <v>#N/A</v>
      </c>
      <c r="S234" s="89" t="e">
        <f t="shared" ca="1" si="38"/>
        <v>#N/A</v>
      </c>
      <c r="T234" s="22" t="e">
        <f t="shared" ca="1" si="39"/>
        <v>#N/A</v>
      </c>
      <c r="U234" s="89" t="e">
        <f t="shared" ca="1" si="40"/>
        <v>#N/A</v>
      </c>
      <c r="V234" s="22" t="e">
        <f t="shared" ca="1" si="41"/>
        <v>#N/A</v>
      </c>
      <c r="AM234" t="e">
        <f t="shared" si="42"/>
        <v>#N/A</v>
      </c>
      <c r="AN234" t="e">
        <f t="shared" ca="1" si="43"/>
        <v>#N/A</v>
      </c>
    </row>
    <row r="235" spans="1:40" x14ac:dyDescent="0.3">
      <c r="A235" s="87">
        <v>234</v>
      </c>
      <c r="B235" t="str">
        <f>IFERROR(INDEX('Mock Database'!$D$3:$D$152,MATCH($A235,'Mock Database'!$C$3:$C$152,0)),"")</f>
        <v/>
      </c>
      <c r="C235" s="88" t="str">
        <f>IFERROR(INDEX('Mock Database'!$I$3:$I$152,MATCH($A235,'Mock Database'!$C$3:$C$152,0)),"")</f>
        <v/>
      </c>
      <c r="D235" s="89" t="str">
        <f ca="1">IF(ISNA(MATCH($A235,'Mock Database'!$C$3:$C$152,0)),"",IF(ISBLANK(OFFSET('Mock Database'!$M$2,MATCH($A235,'Mock Database'!$C$3:$C$152,0),0)),"",INDEX('Mock Database'!$M$3:$M$152,MATCH($A235,'Mock Database'!$C$3:$C$152,0))))</f>
        <v/>
      </c>
      <c r="E235" s="22" t="str">
        <f ca="1">IF(ISNA(MATCH($A235,'Mock Database'!$C$3:$C$152,0)),"",IF(ISBLANK(OFFSET('Mock Database'!$N$2,MATCH($A235,'Mock Database'!$C$3:$C$152,0),0)),"",INDEX('Mock Database'!$N$3:$N$152,MATCH($A235,'Mock Database'!$C$3:$C$152,0))))</f>
        <v/>
      </c>
      <c r="F235" s="89" t="str">
        <f ca="1">IF(ISNA(MATCH($A235,'Mock Database'!$C$3:$C$152,0)),"",IF(ISBLANK(OFFSET('Mock Database'!$S$2,MATCH($A235,'Mock Database'!$C$3:$C$152,0),0)),"",INDEX('Mock Database'!$S$3:$S$152,MATCH($A235,'Mock Database'!$C$3:$C$152,0))))</f>
        <v/>
      </c>
      <c r="G235" s="22" t="str">
        <f ca="1">IF(ISNA(MATCH($A235,'Mock Database'!$C$3:$C$152,0)),"",IF(ISBLANK(OFFSET('Mock Database'!$T$2,MATCH($A235,'Mock Database'!$C$3:$C$152,0),0)),"",INDEX('Mock Database'!$T$3:$T$152,MATCH($A235,'Mock Database'!$C$3:$C$152,0))))</f>
        <v/>
      </c>
      <c r="H235" s="89" t="str">
        <f ca="1">IF(ISNA(MATCH($A235,'Mock Database'!$C$3:$C$152,0)),"",IF(ISBLANK(OFFSET('Mock Database'!$Y$2,MATCH($A235,'Mock Database'!$C$3:$C$152,0),0)),"",INDEX('Mock Database'!$Y$3:$Y$152,MATCH($A235,'Mock Database'!$C$3:$C$152,0))))</f>
        <v/>
      </c>
      <c r="I235" s="22" t="str">
        <f ca="1">IF(ISNA(MATCH($A235,'Mock Database'!$C$3:$C$152,0)),"",IF(ISBLANK(OFFSET('Mock Database'!$Z$2,MATCH($A235,'Mock Database'!$C$3:$C$152,0),0)),"",INDEX('Mock Database'!$Z$3:$Z$152,MATCH($A235,'Mock Database'!$C$3:$C$152,0))))</f>
        <v/>
      </c>
      <c r="J235" s="89" t="str">
        <f ca="1">IF(ISNA(MATCH($A235,'Mock Database'!$C$3:$C$152,0)),"",IF(ISBLANK(OFFSET('Mock Database'!$AE$2,MATCH($A235,'Mock Database'!$C$3:$C$152,0),0)),"",INDEX('Mock Database'!$AE$3:$AE$152,MATCH($A235,'Mock Database'!$C$3:$C$152,0))))</f>
        <v/>
      </c>
      <c r="K235" s="22" t="str">
        <f ca="1">IF(ISNA(MATCH($A235,'Mock Database'!$C$3:$C$152,0)),"",IF(ISBLANK(OFFSET('Mock Database'!$AF$2,MATCH($A235,'Mock Database'!$C$3:$C$152,0),0)),"",INDEX('Mock Database'!$AF$3:$AF$152,MATCH($A235,'Mock Database'!$C$3:$C$152,0))))</f>
        <v/>
      </c>
      <c r="N235" t="e">
        <f t="shared" si="33"/>
        <v>#N/A</v>
      </c>
      <c r="O235" s="89" t="e">
        <f t="shared" ca="1" si="34"/>
        <v>#N/A</v>
      </c>
      <c r="P235" s="22" t="e">
        <f t="shared" ca="1" si="35"/>
        <v>#N/A</v>
      </c>
      <c r="Q235" s="89" t="e">
        <f t="shared" ca="1" si="36"/>
        <v>#N/A</v>
      </c>
      <c r="R235" s="22" t="e">
        <f t="shared" ca="1" si="37"/>
        <v>#N/A</v>
      </c>
      <c r="S235" s="89" t="e">
        <f t="shared" ca="1" si="38"/>
        <v>#N/A</v>
      </c>
      <c r="T235" s="22" t="e">
        <f t="shared" ca="1" si="39"/>
        <v>#N/A</v>
      </c>
      <c r="U235" s="89" t="e">
        <f t="shared" ca="1" si="40"/>
        <v>#N/A</v>
      </c>
      <c r="V235" s="22" t="e">
        <f t="shared" ca="1" si="41"/>
        <v>#N/A</v>
      </c>
      <c r="AM235" t="e">
        <f t="shared" si="42"/>
        <v>#N/A</v>
      </c>
      <c r="AN235" t="e">
        <f t="shared" ca="1" si="43"/>
        <v>#N/A</v>
      </c>
    </row>
    <row r="236" spans="1:40" x14ac:dyDescent="0.3">
      <c r="A236" s="87">
        <v>235</v>
      </c>
      <c r="B236" t="str">
        <f>IFERROR(INDEX('Mock Database'!$D$3:$D$152,MATCH($A236,'Mock Database'!$C$3:$C$152,0)),"")</f>
        <v/>
      </c>
      <c r="C236" s="88" t="str">
        <f>IFERROR(INDEX('Mock Database'!$I$3:$I$152,MATCH($A236,'Mock Database'!$C$3:$C$152,0)),"")</f>
        <v/>
      </c>
      <c r="D236" s="89" t="str">
        <f ca="1">IF(ISNA(MATCH($A236,'Mock Database'!$C$3:$C$152,0)),"",IF(ISBLANK(OFFSET('Mock Database'!$M$2,MATCH($A236,'Mock Database'!$C$3:$C$152,0),0)),"",INDEX('Mock Database'!$M$3:$M$152,MATCH($A236,'Mock Database'!$C$3:$C$152,0))))</f>
        <v/>
      </c>
      <c r="E236" s="22" t="str">
        <f ca="1">IF(ISNA(MATCH($A236,'Mock Database'!$C$3:$C$152,0)),"",IF(ISBLANK(OFFSET('Mock Database'!$N$2,MATCH($A236,'Mock Database'!$C$3:$C$152,0),0)),"",INDEX('Mock Database'!$N$3:$N$152,MATCH($A236,'Mock Database'!$C$3:$C$152,0))))</f>
        <v/>
      </c>
      <c r="F236" s="89" t="str">
        <f ca="1">IF(ISNA(MATCH($A236,'Mock Database'!$C$3:$C$152,0)),"",IF(ISBLANK(OFFSET('Mock Database'!$S$2,MATCH($A236,'Mock Database'!$C$3:$C$152,0),0)),"",INDEX('Mock Database'!$S$3:$S$152,MATCH($A236,'Mock Database'!$C$3:$C$152,0))))</f>
        <v/>
      </c>
      <c r="G236" s="22" t="str">
        <f ca="1">IF(ISNA(MATCH($A236,'Mock Database'!$C$3:$C$152,0)),"",IF(ISBLANK(OFFSET('Mock Database'!$T$2,MATCH($A236,'Mock Database'!$C$3:$C$152,0),0)),"",INDEX('Mock Database'!$T$3:$T$152,MATCH($A236,'Mock Database'!$C$3:$C$152,0))))</f>
        <v/>
      </c>
      <c r="H236" s="89" t="str">
        <f ca="1">IF(ISNA(MATCH($A236,'Mock Database'!$C$3:$C$152,0)),"",IF(ISBLANK(OFFSET('Mock Database'!$Y$2,MATCH($A236,'Mock Database'!$C$3:$C$152,0),0)),"",INDEX('Mock Database'!$Y$3:$Y$152,MATCH($A236,'Mock Database'!$C$3:$C$152,0))))</f>
        <v/>
      </c>
      <c r="I236" s="22" t="str">
        <f ca="1">IF(ISNA(MATCH($A236,'Mock Database'!$C$3:$C$152,0)),"",IF(ISBLANK(OFFSET('Mock Database'!$Z$2,MATCH($A236,'Mock Database'!$C$3:$C$152,0),0)),"",INDEX('Mock Database'!$Z$3:$Z$152,MATCH($A236,'Mock Database'!$C$3:$C$152,0))))</f>
        <v/>
      </c>
      <c r="J236" s="89" t="str">
        <f ca="1">IF(ISNA(MATCH($A236,'Mock Database'!$C$3:$C$152,0)),"",IF(ISBLANK(OFFSET('Mock Database'!$AE$2,MATCH($A236,'Mock Database'!$C$3:$C$152,0),0)),"",INDEX('Mock Database'!$AE$3:$AE$152,MATCH($A236,'Mock Database'!$C$3:$C$152,0))))</f>
        <v/>
      </c>
      <c r="K236" s="22" t="str">
        <f ca="1">IF(ISNA(MATCH($A236,'Mock Database'!$C$3:$C$152,0)),"",IF(ISBLANK(OFFSET('Mock Database'!$AF$2,MATCH($A236,'Mock Database'!$C$3:$C$152,0),0)),"",INDEX('Mock Database'!$AF$3:$AF$152,MATCH($A236,'Mock Database'!$C$3:$C$152,0))))</f>
        <v/>
      </c>
      <c r="N236" t="e">
        <f t="shared" si="33"/>
        <v>#N/A</v>
      </c>
      <c r="O236" s="89" t="e">
        <f t="shared" ca="1" si="34"/>
        <v>#N/A</v>
      </c>
      <c r="P236" s="22" t="e">
        <f t="shared" ca="1" si="35"/>
        <v>#N/A</v>
      </c>
      <c r="Q236" s="89" t="e">
        <f t="shared" ca="1" si="36"/>
        <v>#N/A</v>
      </c>
      <c r="R236" s="22" t="e">
        <f t="shared" ca="1" si="37"/>
        <v>#N/A</v>
      </c>
      <c r="S236" s="89" t="e">
        <f t="shared" ca="1" si="38"/>
        <v>#N/A</v>
      </c>
      <c r="T236" s="22" t="e">
        <f t="shared" ca="1" si="39"/>
        <v>#N/A</v>
      </c>
      <c r="U236" s="89" t="e">
        <f t="shared" ca="1" si="40"/>
        <v>#N/A</v>
      </c>
      <c r="V236" s="22" t="e">
        <f t="shared" ca="1" si="41"/>
        <v>#N/A</v>
      </c>
      <c r="AM236" t="e">
        <f t="shared" si="42"/>
        <v>#N/A</v>
      </c>
      <c r="AN236" t="e">
        <f t="shared" ca="1" si="43"/>
        <v>#N/A</v>
      </c>
    </row>
    <row r="237" spans="1:40" x14ac:dyDescent="0.3">
      <c r="A237" s="87">
        <v>236</v>
      </c>
      <c r="B237" t="str">
        <f>IFERROR(INDEX('Mock Database'!$D$3:$D$152,MATCH($A237,'Mock Database'!$C$3:$C$152,0)),"")</f>
        <v/>
      </c>
      <c r="C237" s="88" t="str">
        <f>IFERROR(INDEX('Mock Database'!$I$3:$I$152,MATCH($A237,'Mock Database'!$C$3:$C$152,0)),"")</f>
        <v/>
      </c>
      <c r="D237" s="89" t="str">
        <f ca="1">IF(ISNA(MATCH($A237,'Mock Database'!$C$3:$C$152,0)),"",IF(ISBLANK(OFFSET('Mock Database'!$M$2,MATCH($A237,'Mock Database'!$C$3:$C$152,0),0)),"",INDEX('Mock Database'!$M$3:$M$152,MATCH($A237,'Mock Database'!$C$3:$C$152,0))))</f>
        <v/>
      </c>
      <c r="E237" s="22" t="str">
        <f ca="1">IF(ISNA(MATCH($A237,'Mock Database'!$C$3:$C$152,0)),"",IF(ISBLANK(OFFSET('Mock Database'!$N$2,MATCH($A237,'Mock Database'!$C$3:$C$152,0),0)),"",INDEX('Mock Database'!$N$3:$N$152,MATCH($A237,'Mock Database'!$C$3:$C$152,0))))</f>
        <v/>
      </c>
      <c r="F237" s="89" t="str">
        <f ca="1">IF(ISNA(MATCH($A237,'Mock Database'!$C$3:$C$152,0)),"",IF(ISBLANK(OFFSET('Mock Database'!$S$2,MATCH($A237,'Mock Database'!$C$3:$C$152,0),0)),"",INDEX('Mock Database'!$S$3:$S$152,MATCH($A237,'Mock Database'!$C$3:$C$152,0))))</f>
        <v/>
      </c>
      <c r="G237" s="22" t="str">
        <f ca="1">IF(ISNA(MATCH($A237,'Mock Database'!$C$3:$C$152,0)),"",IF(ISBLANK(OFFSET('Mock Database'!$T$2,MATCH($A237,'Mock Database'!$C$3:$C$152,0),0)),"",INDEX('Mock Database'!$T$3:$T$152,MATCH($A237,'Mock Database'!$C$3:$C$152,0))))</f>
        <v/>
      </c>
      <c r="H237" s="89" t="str">
        <f ca="1">IF(ISNA(MATCH($A237,'Mock Database'!$C$3:$C$152,0)),"",IF(ISBLANK(OFFSET('Mock Database'!$Y$2,MATCH($A237,'Mock Database'!$C$3:$C$152,0),0)),"",INDEX('Mock Database'!$Y$3:$Y$152,MATCH($A237,'Mock Database'!$C$3:$C$152,0))))</f>
        <v/>
      </c>
      <c r="I237" s="22" t="str">
        <f ca="1">IF(ISNA(MATCH($A237,'Mock Database'!$C$3:$C$152,0)),"",IF(ISBLANK(OFFSET('Mock Database'!$Z$2,MATCH($A237,'Mock Database'!$C$3:$C$152,0),0)),"",INDEX('Mock Database'!$Z$3:$Z$152,MATCH($A237,'Mock Database'!$C$3:$C$152,0))))</f>
        <v/>
      </c>
      <c r="J237" s="89" t="str">
        <f ca="1">IF(ISNA(MATCH($A237,'Mock Database'!$C$3:$C$152,0)),"",IF(ISBLANK(OFFSET('Mock Database'!$AE$2,MATCH($A237,'Mock Database'!$C$3:$C$152,0),0)),"",INDEX('Mock Database'!$AE$3:$AE$152,MATCH($A237,'Mock Database'!$C$3:$C$152,0))))</f>
        <v/>
      </c>
      <c r="K237" s="22" t="str">
        <f ca="1">IF(ISNA(MATCH($A237,'Mock Database'!$C$3:$C$152,0)),"",IF(ISBLANK(OFFSET('Mock Database'!$AF$2,MATCH($A237,'Mock Database'!$C$3:$C$152,0),0)),"",INDEX('Mock Database'!$AF$3:$AF$152,MATCH($A237,'Mock Database'!$C$3:$C$152,0))))</f>
        <v/>
      </c>
      <c r="N237" t="e">
        <f t="shared" si="33"/>
        <v>#N/A</v>
      </c>
      <c r="O237" s="89" t="e">
        <f t="shared" ca="1" si="34"/>
        <v>#N/A</v>
      </c>
      <c r="P237" s="22" t="e">
        <f t="shared" ca="1" si="35"/>
        <v>#N/A</v>
      </c>
      <c r="Q237" s="89" t="e">
        <f t="shared" ca="1" si="36"/>
        <v>#N/A</v>
      </c>
      <c r="R237" s="22" t="e">
        <f t="shared" ca="1" si="37"/>
        <v>#N/A</v>
      </c>
      <c r="S237" s="89" t="e">
        <f t="shared" ca="1" si="38"/>
        <v>#N/A</v>
      </c>
      <c r="T237" s="22" t="e">
        <f t="shared" ca="1" si="39"/>
        <v>#N/A</v>
      </c>
      <c r="U237" s="89" t="e">
        <f t="shared" ca="1" si="40"/>
        <v>#N/A</v>
      </c>
      <c r="V237" s="22" t="e">
        <f t="shared" ca="1" si="41"/>
        <v>#N/A</v>
      </c>
      <c r="AM237" t="e">
        <f t="shared" si="42"/>
        <v>#N/A</v>
      </c>
      <c r="AN237" t="e">
        <f t="shared" ca="1" si="43"/>
        <v>#N/A</v>
      </c>
    </row>
    <row r="238" spans="1:40" x14ac:dyDescent="0.3">
      <c r="A238" s="87">
        <v>237</v>
      </c>
      <c r="B238" t="str">
        <f>IFERROR(INDEX('Mock Database'!$D$3:$D$152,MATCH($A238,'Mock Database'!$C$3:$C$152,0)),"")</f>
        <v/>
      </c>
      <c r="C238" s="88" t="str">
        <f>IFERROR(INDEX('Mock Database'!$I$3:$I$152,MATCH($A238,'Mock Database'!$C$3:$C$152,0)),"")</f>
        <v/>
      </c>
      <c r="D238" s="89" t="str">
        <f ca="1">IF(ISNA(MATCH($A238,'Mock Database'!$C$3:$C$152,0)),"",IF(ISBLANK(OFFSET('Mock Database'!$M$2,MATCH($A238,'Mock Database'!$C$3:$C$152,0),0)),"",INDEX('Mock Database'!$M$3:$M$152,MATCH($A238,'Mock Database'!$C$3:$C$152,0))))</f>
        <v/>
      </c>
      <c r="E238" s="22" t="str">
        <f ca="1">IF(ISNA(MATCH($A238,'Mock Database'!$C$3:$C$152,0)),"",IF(ISBLANK(OFFSET('Mock Database'!$N$2,MATCH($A238,'Mock Database'!$C$3:$C$152,0),0)),"",INDEX('Mock Database'!$N$3:$N$152,MATCH($A238,'Mock Database'!$C$3:$C$152,0))))</f>
        <v/>
      </c>
      <c r="F238" s="89" t="str">
        <f ca="1">IF(ISNA(MATCH($A238,'Mock Database'!$C$3:$C$152,0)),"",IF(ISBLANK(OFFSET('Mock Database'!$S$2,MATCH($A238,'Mock Database'!$C$3:$C$152,0),0)),"",INDEX('Mock Database'!$S$3:$S$152,MATCH($A238,'Mock Database'!$C$3:$C$152,0))))</f>
        <v/>
      </c>
      <c r="G238" s="22" t="str">
        <f ca="1">IF(ISNA(MATCH($A238,'Mock Database'!$C$3:$C$152,0)),"",IF(ISBLANK(OFFSET('Mock Database'!$T$2,MATCH($A238,'Mock Database'!$C$3:$C$152,0),0)),"",INDEX('Mock Database'!$T$3:$T$152,MATCH($A238,'Mock Database'!$C$3:$C$152,0))))</f>
        <v/>
      </c>
      <c r="H238" s="89" t="str">
        <f ca="1">IF(ISNA(MATCH($A238,'Mock Database'!$C$3:$C$152,0)),"",IF(ISBLANK(OFFSET('Mock Database'!$Y$2,MATCH($A238,'Mock Database'!$C$3:$C$152,0),0)),"",INDEX('Mock Database'!$Y$3:$Y$152,MATCH($A238,'Mock Database'!$C$3:$C$152,0))))</f>
        <v/>
      </c>
      <c r="I238" s="22" t="str">
        <f ca="1">IF(ISNA(MATCH($A238,'Mock Database'!$C$3:$C$152,0)),"",IF(ISBLANK(OFFSET('Mock Database'!$Z$2,MATCH($A238,'Mock Database'!$C$3:$C$152,0),0)),"",INDEX('Mock Database'!$Z$3:$Z$152,MATCH($A238,'Mock Database'!$C$3:$C$152,0))))</f>
        <v/>
      </c>
      <c r="J238" s="89" t="str">
        <f ca="1">IF(ISNA(MATCH($A238,'Mock Database'!$C$3:$C$152,0)),"",IF(ISBLANK(OFFSET('Mock Database'!$AE$2,MATCH($A238,'Mock Database'!$C$3:$C$152,0),0)),"",INDEX('Mock Database'!$AE$3:$AE$152,MATCH($A238,'Mock Database'!$C$3:$C$152,0))))</f>
        <v/>
      </c>
      <c r="K238" s="22" t="str">
        <f ca="1">IF(ISNA(MATCH($A238,'Mock Database'!$C$3:$C$152,0)),"",IF(ISBLANK(OFFSET('Mock Database'!$AF$2,MATCH($A238,'Mock Database'!$C$3:$C$152,0),0)),"",INDEX('Mock Database'!$AF$3:$AF$152,MATCH($A238,'Mock Database'!$C$3:$C$152,0))))</f>
        <v/>
      </c>
      <c r="N238" t="e">
        <f t="shared" si="33"/>
        <v>#N/A</v>
      </c>
      <c r="O238" s="89" t="e">
        <f t="shared" ca="1" si="34"/>
        <v>#N/A</v>
      </c>
      <c r="P238" s="22" t="e">
        <f t="shared" ca="1" si="35"/>
        <v>#N/A</v>
      </c>
      <c r="Q238" s="89" t="e">
        <f t="shared" ca="1" si="36"/>
        <v>#N/A</v>
      </c>
      <c r="R238" s="22" t="e">
        <f t="shared" ca="1" si="37"/>
        <v>#N/A</v>
      </c>
      <c r="S238" s="89" t="e">
        <f t="shared" ca="1" si="38"/>
        <v>#N/A</v>
      </c>
      <c r="T238" s="22" t="e">
        <f t="shared" ca="1" si="39"/>
        <v>#N/A</v>
      </c>
      <c r="U238" s="89" t="e">
        <f t="shared" ca="1" si="40"/>
        <v>#N/A</v>
      </c>
      <c r="V238" s="22" t="e">
        <f t="shared" ca="1" si="41"/>
        <v>#N/A</v>
      </c>
      <c r="AM238" t="e">
        <f t="shared" si="42"/>
        <v>#N/A</v>
      </c>
      <c r="AN238" t="e">
        <f t="shared" ca="1" si="43"/>
        <v>#N/A</v>
      </c>
    </row>
    <row r="239" spans="1:40" x14ac:dyDescent="0.3">
      <c r="A239" s="87">
        <v>238</v>
      </c>
      <c r="B239" t="str">
        <f>IFERROR(INDEX('Mock Database'!$D$3:$D$152,MATCH($A239,'Mock Database'!$C$3:$C$152,0)),"")</f>
        <v/>
      </c>
      <c r="C239" s="88" t="str">
        <f>IFERROR(INDEX('Mock Database'!$I$3:$I$152,MATCH($A239,'Mock Database'!$C$3:$C$152,0)),"")</f>
        <v/>
      </c>
      <c r="D239" s="89" t="str">
        <f ca="1">IF(ISNA(MATCH($A239,'Mock Database'!$C$3:$C$152,0)),"",IF(ISBLANK(OFFSET('Mock Database'!$M$2,MATCH($A239,'Mock Database'!$C$3:$C$152,0),0)),"",INDEX('Mock Database'!$M$3:$M$152,MATCH($A239,'Mock Database'!$C$3:$C$152,0))))</f>
        <v/>
      </c>
      <c r="E239" s="22" t="str">
        <f ca="1">IF(ISNA(MATCH($A239,'Mock Database'!$C$3:$C$152,0)),"",IF(ISBLANK(OFFSET('Mock Database'!$N$2,MATCH($A239,'Mock Database'!$C$3:$C$152,0),0)),"",INDEX('Mock Database'!$N$3:$N$152,MATCH($A239,'Mock Database'!$C$3:$C$152,0))))</f>
        <v/>
      </c>
      <c r="F239" s="89" t="str">
        <f ca="1">IF(ISNA(MATCH($A239,'Mock Database'!$C$3:$C$152,0)),"",IF(ISBLANK(OFFSET('Mock Database'!$S$2,MATCH($A239,'Mock Database'!$C$3:$C$152,0),0)),"",INDEX('Mock Database'!$S$3:$S$152,MATCH($A239,'Mock Database'!$C$3:$C$152,0))))</f>
        <v/>
      </c>
      <c r="G239" s="22" t="str">
        <f ca="1">IF(ISNA(MATCH($A239,'Mock Database'!$C$3:$C$152,0)),"",IF(ISBLANK(OFFSET('Mock Database'!$T$2,MATCH($A239,'Mock Database'!$C$3:$C$152,0),0)),"",INDEX('Mock Database'!$T$3:$T$152,MATCH($A239,'Mock Database'!$C$3:$C$152,0))))</f>
        <v/>
      </c>
      <c r="H239" s="89" t="str">
        <f ca="1">IF(ISNA(MATCH($A239,'Mock Database'!$C$3:$C$152,0)),"",IF(ISBLANK(OFFSET('Mock Database'!$Y$2,MATCH($A239,'Mock Database'!$C$3:$C$152,0),0)),"",INDEX('Mock Database'!$Y$3:$Y$152,MATCH($A239,'Mock Database'!$C$3:$C$152,0))))</f>
        <v/>
      </c>
      <c r="I239" s="22" t="str">
        <f ca="1">IF(ISNA(MATCH($A239,'Mock Database'!$C$3:$C$152,0)),"",IF(ISBLANK(OFFSET('Mock Database'!$Z$2,MATCH($A239,'Mock Database'!$C$3:$C$152,0),0)),"",INDEX('Mock Database'!$Z$3:$Z$152,MATCH($A239,'Mock Database'!$C$3:$C$152,0))))</f>
        <v/>
      </c>
      <c r="J239" s="89" t="str">
        <f ca="1">IF(ISNA(MATCH($A239,'Mock Database'!$C$3:$C$152,0)),"",IF(ISBLANK(OFFSET('Mock Database'!$AE$2,MATCH($A239,'Mock Database'!$C$3:$C$152,0),0)),"",INDEX('Mock Database'!$AE$3:$AE$152,MATCH($A239,'Mock Database'!$C$3:$C$152,0))))</f>
        <v/>
      </c>
      <c r="K239" s="22" t="str">
        <f ca="1">IF(ISNA(MATCH($A239,'Mock Database'!$C$3:$C$152,0)),"",IF(ISBLANK(OFFSET('Mock Database'!$AF$2,MATCH($A239,'Mock Database'!$C$3:$C$152,0),0)),"",INDEX('Mock Database'!$AF$3:$AF$152,MATCH($A239,'Mock Database'!$C$3:$C$152,0))))</f>
        <v/>
      </c>
      <c r="N239" t="e">
        <f t="shared" si="33"/>
        <v>#N/A</v>
      </c>
      <c r="O239" s="89" t="e">
        <f t="shared" ca="1" si="34"/>
        <v>#N/A</v>
      </c>
      <c r="P239" s="22" t="e">
        <f t="shared" ca="1" si="35"/>
        <v>#N/A</v>
      </c>
      <c r="Q239" s="89" t="e">
        <f t="shared" ca="1" si="36"/>
        <v>#N/A</v>
      </c>
      <c r="R239" s="22" t="e">
        <f t="shared" ca="1" si="37"/>
        <v>#N/A</v>
      </c>
      <c r="S239" s="89" t="e">
        <f t="shared" ca="1" si="38"/>
        <v>#N/A</v>
      </c>
      <c r="T239" s="22" t="e">
        <f t="shared" ca="1" si="39"/>
        <v>#N/A</v>
      </c>
      <c r="U239" s="89" t="e">
        <f t="shared" ca="1" si="40"/>
        <v>#N/A</v>
      </c>
      <c r="V239" s="22" t="e">
        <f t="shared" ca="1" si="41"/>
        <v>#N/A</v>
      </c>
      <c r="AM239" t="e">
        <f t="shared" si="42"/>
        <v>#N/A</v>
      </c>
      <c r="AN239" t="e">
        <f t="shared" ca="1" si="43"/>
        <v>#N/A</v>
      </c>
    </row>
    <row r="240" spans="1:40" x14ac:dyDescent="0.3">
      <c r="A240" s="87">
        <v>239</v>
      </c>
      <c r="B240" t="str">
        <f>IFERROR(INDEX('Mock Database'!$D$3:$D$152,MATCH($A240,'Mock Database'!$C$3:$C$152,0)),"")</f>
        <v/>
      </c>
      <c r="C240" s="88" t="str">
        <f>IFERROR(INDEX('Mock Database'!$I$3:$I$152,MATCH($A240,'Mock Database'!$C$3:$C$152,0)),"")</f>
        <v/>
      </c>
      <c r="D240" s="89" t="str">
        <f ca="1">IF(ISNA(MATCH($A240,'Mock Database'!$C$3:$C$152,0)),"",IF(ISBLANK(OFFSET('Mock Database'!$M$2,MATCH($A240,'Mock Database'!$C$3:$C$152,0),0)),"",INDEX('Mock Database'!$M$3:$M$152,MATCH($A240,'Mock Database'!$C$3:$C$152,0))))</f>
        <v/>
      </c>
      <c r="E240" s="22" t="str">
        <f ca="1">IF(ISNA(MATCH($A240,'Mock Database'!$C$3:$C$152,0)),"",IF(ISBLANK(OFFSET('Mock Database'!$N$2,MATCH($A240,'Mock Database'!$C$3:$C$152,0),0)),"",INDEX('Mock Database'!$N$3:$N$152,MATCH($A240,'Mock Database'!$C$3:$C$152,0))))</f>
        <v/>
      </c>
      <c r="F240" s="89" t="str">
        <f ca="1">IF(ISNA(MATCH($A240,'Mock Database'!$C$3:$C$152,0)),"",IF(ISBLANK(OFFSET('Mock Database'!$S$2,MATCH($A240,'Mock Database'!$C$3:$C$152,0),0)),"",INDEX('Mock Database'!$S$3:$S$152,MATCH($A240,'Mock Database'!$C$3:$C$152,0))))</f>
        <v/>
      </c>
      <c r="G240" s="22" t="str">
        <f ca="1">IF(ISNA(MATCH($A240,'Mock Database'!$C$3:$C$152,0)),"",IF(ISBLANK(OFFSET('Mock Database'!$T$2,MATCH($A240,'Mock Database'!$C$3:$C$152,0),0)),"",INDEX('Mock Database'!$T$3:$T$152,MATCH($A240,'Mock Database'!$C$3:$C$152,0))))</f>
        <v/>
      </c>
      <c r="H240" s="89" t="str">
        <f ca="1">IF(ISNA(MATCH($A240,'Mock Database'!$C$3:$C$152,0)),"",IF(ISBLANK(OFFSET('Mock Database'!$Y$2,MATCH($A240,'Mock Database'!$C$3:$C$152,0),0)),"",INDEX('Mock Database'!$Y$3:$Y$152,MATCH($A240,'Mock Database'!$C$3:$C$152,0))))</f>
        <v/>
      </c>
      <c r="I240" s="22" t="str">
        <f ca="1">IF(ISNA(MATCH($A240,'Mock Database'!$C$3:$C$152,0)),"",IF(ISBLANK(OFFSET('Mock Database'!$Z$2,MATCH($A240,'Mock Database'!$C$3:$C$152,0),0)),"",INDEX('Mock Database'!$Z$3:$Z$152,MATCH($A240,'Mock Database'!$C$3:$C$152,0))))</f>
        <v/>
      </c>
      <c r="J240" s="89" t="str">
        <f ca="1">IF(ISNA(MATCH($A240,'Mock Database'!$C$3:$C$152,0)),"",IF(ISBLANK(OFFSET('Mock Database'!$AE$2,MATCH($A240,'Mock Database'!$C$3:$C$152,0),0)),"",INDEX('Mock Database'!$AE$3:$AE$152,MATCH($A240,'Mock Database'!$C$3:$C$152,0))))</f>
        <v/>
      </c>
      <c r="K240" s="22" t="str">
        <f ca="1">IF(ISNA(MATCH($A240,'Mock Database'!$C$3:$C$152,0)),"",IF(ISBLANK(OFFSET('Mock Database'!$AF$2,MATCH($A240,'Mock Database'!$C$3:$C$152,0),0)),"",INDEX('Mock Database'!$AF$3:$AF$152,MATCH($A240,'Mock Database'!$C$3:$C$152,0))))</f>
        <v/>
      </c>
      <c r="N240" t="e">
        <f t="shared" si="33"/>
        <v>#N/A</v>
      </c>
      <c r="O240" s="89" t="e">
        <f t="shared" ca="1" si="34"/>
        <v>#N/A</v>
      </c>
      <c r="P240" s="22" t="e">
        <f t="shared" ca="1" si="35"/>
        <v>#N/A</v>
      </c>
      <c r="Q240" s="89" t="e">
        <f t="shared" ca="1" si="36"/>
        <v>#N/A</v>
      </c>
      <c r="R240" s="22" t="e">
        <f t="shared" ca="1" si="37"/>
        <v>#N/A</v>
      </c>
      <c r="S240" s="89" t="e">
        <f t="shared" ca="1" si="38"/>
        <v>#N/A</v>
      </c>
      <c r="T240" s="22" t="e">
        <f t="shared" ca="1" si="39"/>
        <v>#N/A</v>
      </c>
      <c r="U240" s="89" t="e">
        <f t="shared" ca="1" si="40"/>
        <v>#N/A</v>
      </c>
      <c r="V240" s="22" t="e">
        <f t="shared" ca="1" si="41"/>
        <v>#N/A</v>
      </c>
      <c r="AM240" t="e">
        <f t="shared" si="42"/>
        <v>#N/A</v>
      </c>
      <c r="AN240" t="e">
        <f t="shared" ca="1" si="43"/>
        <v>#N/A</v>
      </c>
    </row>
    <row r="241" spans="1:40" x14ac:dyDescent="0.3">
      <c r="A241" s="87">
        <v>240</v>
      </c>
      <c r="B241" t="str">
        <f>IFERROR(INDEX('Mock Database'!$D$3:$D$152,MATCH($A241,'Mock Database'!$C$3:$C$152,0)),"")</f>
        <v/>
      </c>
      <c r="C241" s="88" t="str">
        <f>IFERROR(INDEX('Mock Database'!$I$3:$I$152,MATCH($A241,'Mock Database'!$C$3:$C$152,0)),"")</f>
        <v/>
      </c>
      <c r="D241" s="89" t="str">
        <f ca="1">IF(ISNA(MATCH($A241,'Mock Database'!$C$3:$C$152,0)),"",IF(ISBLANK(OFFSET('Mock Database'!$M$2,MATCH($A241,'Mock Database'!$C$3:$C$152,0),0)),"",INDEX('Mock Database'!$M$3:$M$152,MATCH($A241,'Mock Database'!$C$3:$C$152,0))))</f>
        <v/>
      </c>
      <c r="E241" s="22" t="str">
        <f ca="1">IF(ISNA(MATCH($A241,'Mock Database'!$C$3:$C$152,0)),"",IF(ISBLANK(OFFSET('Mock Database'!$N$2,MATCH($A241,'Mock Database'!$C$3:$C$152,0),0)),"",INDEX('Mock Database'!$N$3:$N$152,MATCH($A241,'Mock Database'!$C$3:$C$152,0))))</f>
        <v/>
      </c>
      <c r="F241" s="89" t="str">
        <f ca="1">IF(ISNA(MATCH($A241,'Mock Database'!$C$3:$C$152,0)),"",IF(ISBLANK(OFFSET('Mock Database'!$S$2,MATCH($A241,'Mock Database'!$C$3:$C$152,0),0)),"",INDEX('Mock Database'!$S$3:$S$152,MATCH($A241,'Mock Database'!$C$3:$C$152,0))))</f>
        <v/>
      </c>
      <c r="G241" s="22" t="str">
        <f ca="1">IF(ISNA(MATCH($A241,'Mock Database'!$C$3:$C$152,0)),"",IF(ISBLANK(OFFSET('Mock Database'!$T$2,MATCH($A241,'Mock Database'!$C$3:$C$152,0),0)),"",INDEX('Mock Database'!$T$3:$T$152,MATCH($A241,'Mock Database'!$C$3:$C$152,0))))</f>
        <v/>
      </c>
      <c r="H241" s="89" t="str">
        <f ca="1">IF(ISNA(MATCH($A241,'Mock Database'!$C$3:$C$152,0)),"",IF(ISBLANK(OFFSET('Mock Database'!$Y$2,MATCH($A241,'Mock Database'!$C$3:$C$152,0),0)),"",INDEX('Mock Database'!$Y$3:$Y$152,MATCH($A241,'Mock Database'!$C$3:$C$152,0))))</f>
        <v/>
      </c>
      <c r="I241" s="22" t="str">
        <f ca="1">IF(ISNA(MATCH($A241,'Mock Database'!$C$3:$C$152,0)),"",IF(ISBLANK(OFFSET('Mock Database'!$Z$2,MATCH($A241,'Mock Database'!$C$3:$C$152,0),0)),"",INDEX('Mock Database'!$Z$3:$Z$152,MATCH($A241,'Mock Database'!$C$3:$C$152,0))))</f>
        <v/>
      </c>
      <c r="J241" s="89" t="str">
        <f ca="1">IF(ISNA(MATCH($A241,'Mock Database'!$C$3:$C$152,0)),"",IF(ISBLANK(OFFSET('Mock Database'!$AE$2,MATCH($A241,'Mock Database'!$C$3:$C$152,0),0)),"",INDEX('Mock Database'!$AE$3:$AE$152,MATCH($A241,'Mock Database'!$C$3:$C$152,0))))</f>
        <v/>
      </c>
      <c r="K241" s="22" t="str">
        <f ca="1">IF(ISNA(MATCH($A241,'Mock Database'!$C$3:$C$152,0)),"",IF(ISBLANK(OFFSET('Mock Database'!$AF$2,MATCH($A241,'Mock Database'!$C$3:$C$152,0),0)),"",INDEX('Mock Database'!$AF$3:$AF$152,MATCH($A241,'Mock Database'!$C$3:$C$152,0))))</f>
        <v/>
      </c>
      <c r="N241" t="e">
        <f t="shared" si="33"/>
        <v>#N/A</v>
      </c>
      <c r="O241" s="89" t="e">
        <f t="shared" ca="1" si="34"/>
        <v>#N/A</v>
      </c>
      <c r="P241" s="22" t="e">
        <f t="shared" ca="1" si="35"/>
        <v>#N/A</v>
      </c>
      <c r="Q241" s="89" t="e">
        <f t="shared" ca="1" si="36"/>
        <v>#N/A</v>
      </c>
      <c r="R241" s="22" t="e">
        <f t="shared" ca="1" si="37"/>
        <v>#N/A</v>
      </c>
      <c r="S241" s="89" t="e">
        <f t="shared" ca="1" si="38"/>
        <v>#N/A</v>
      </c>
      <c r="T241" s="22" t="e">
        <f t="shared" ca="1" si="39"/>
        <v>#N/A</v>
      </c>
      <c r="U241" s="89" t="e">
        <f t="shared" ca="1" si="40"/>
        <v>#N/A</v>
      </c>
      <c r="V241" s="22" t="e">
        <f t="shared" ca="1" si="41"/>
        <v>#N/A</v>
      </c>
      <c r="AM241" t="e">
        <f t="shared" si="42"/>
        <v>#N/A</v>
      </c>
      <c r="AN241" t="e">
        <f t="shared" ca="1" si="43"/>
        <v>#N/A</v>
      </c>
    </row>
    <row r="242" spans="1:40" x14ac:dyDescent="0.3">
      <c r="A242" s="87">
        <v>241</v>
      </c>
      <c r="B242" t="str">
        <f>IFERROR(INDEX('Mock Database'!$D$3:$D$152,MATCH($A242,'Mock Database'!$C$3:$C$152,0)),"")</f>
        <v/>
      </c>
      <c r="C242" s="88" t="str">
        <f>IFERROR(INDEX('Mock Database'!$I$3:$I$152,MATCH($A242,'Mock Database'!$C$3:$C$152,0)),"")</f>
        <v/>
      </c>
      <c r="D242" s="89" t="str">
        <f ca="1">IF(ISNA(MATCH($A242,'Mock Database'!$C$3:$C$152,0)),"",IF(ISBLANK(OFFSET('Mock Database'!$M$2,MATCH($A242,'Mock Database'!$C$3:$C$152,0),0)),"",INDEX('Mock Database'!$M$3:$M$152,MATCH($A242,'Mock Database'!$C$3:$C$152,0))))</f>
        <v/>
      </c>
      <c r="E242" s="22" t="str">
        <f ca="1">IF(ISNA(MATCH($A242,'Mock Database'!$C$3:$C$152,0)),"",IF(ISBLANK(OFFSET('Mock Database'!$N$2,MATCH($A242,'Mock Database'!$C$3:$C$152,0),0)),"",INDEX('Mock Database'!$N$3:$N$152,MATCH($A242,'Mock Database'!$C$3:$C$152,0))))</f>
        <v/>
      </c>
      <c r="F242" s="89" t="str">
        <f ca="1">IF(ISNA(MATCH($A242,'Mock Database'!$C$3:$C$152,0)),"",IF(ISBLANK(OFFSET('Mock Database'!$S$2,MATCH($A242,'Mock Database'!$C$3:$C$152,0),0)),"",INDEX('Mock Database'!$S$3:$S$152,MATCH($A242,'Mock Database'!$C$3:$C$152,0))))</f>
        <v/>
      </c>
      <c r="G242" s="22" t="str">
        <f ca="1">IF(ISNA(MATCH($A242,'Mock Database'!$C$3:$C$152,0)),"",IF(ISBLANK(OFFSET('Mock Database'!$T$2,MATCH($A242,'Mock Database'!$C$3:$C$152,0),0)),"",INDEX('Mock Database'!$T$3:$T$152,MATCH($A242,'Mock Database'!$C$3:$C$152,0))))</f>
        <v/>
      </c>
      <c r="H242" s="89" t="str">
        <f ca="1">IF(ISNA(MATCH($A242,'Mock Database'!$C$3:$C$152,0)),"",IF(ISBLANK(OFFSET('Mock Database'!$Y$2,MATCH($A242,'Mock Database'!$C$3:$C$152,0),0)),"",INDEX('Mock Database'!$Y$3:$Y$152,MATCH($A242,'Mock Database'!$C$3:$C$152,0))))</f>
        <v/>
      </c>
      <c r="I242" s="22" t="str">
        <f ca="1">IF(ISNA(MATCH($A242,'Mock Database'!$C$3:$C$152,0)),"",IF(ISBLANK(OFFSET('Mock Database'!$Z$2,MATCH($A242,'Mock Database'!$C$3:$C$152,0),0)),"",INDEX('Mock Database'!$Z$3:$Z$152,MATCH($A242,'Mock Database'!$C$3:$C$152,0))))</f>
        <v/>
      </c>
      <c r="J242" s="89" t="str">
        <f ca="1">IF(ISNA(MATCH($A242,'Mock Database'!$C$3:$C$152,0)),"",IF(ISBLANK(OFFSET('Mock Database'!$AE$2,MATCH($A242,'Mock Database'!$C$3:$C$152,0),0)),"",INDEX('Mock Database'!$AE$3:$AE$152,MATCH($A242,'Mock Database'!$C$3:$C$152,0))))</f>
        <v/>
      </c>
      <c r="K242" s="22" t="str">
        <f ca="1">IF(ISNA(MATCH($A242,'Mock Database'!$C$3:$C$152,0)),"",IF(ISBLANK(OFFSET('Mock Database'!$AF$2,MATCH($A242,'Mock Database'!$C$3:$C$152,0),0)),"",INDEX('Mock Database'!$AF$3:$AF$152,MATCH($A242,'Mock Database'!$C$3:$C$152,0))))</f>
        <v/>
      </c>
      <c r="N242" t="e">
        <f t="shared" si="33"/>
        <v>#N/A</v>
      </c>
      <c r="O242" s="89" t="e">
        <f t="shared" ca="1" si="34"/>
        <v>#N/A</v>
      </c>
      <c r="P242" s="22" t="e">
        <f t="shared" ca="1" si="35"/>
        <v>#N/A</v>
      </c>
      <c r="Q242" s="89" t="e">
        <f t="shared" ca="1" si="36"/>
        <v>#N/A</v>
      </c>
      <c r="R242" s="22" t="e">
        <f t="shared" ca="1" si="37"/>
        <v>#N/A</v>
      </c>
      <c r="S242" s="89" t="e">
        <f t="shared" ca="1" si="38"/>
        <v>#N/A</v>
      </c>
      <c r="T242" s="22" t="e">
        <f t="shared" ca="1" si="39"/>
        <v>#N/A</v>
      </c>
      <c r="U242" s="89" t="e">
        <f t="shared" ca="1" si="40"/>
        <v>#N/A</v>
      </c>
      <c r="V242" s="22" t="e">
        <f t="shared" ca="1" si="41"/>
        <v>#N/A</v>
      </c>
      <c r="AM242" t="e">
        <f t="shared" si="42"/>
        <v>#N/A</v>
      </c>
      <c r="AN242" t="e">
        <f t="shared" ca="1" si="43"/>
        <v>#N/A</v>
      </c>
    </row>
    <row r="243" spans="1:40" x14ac:dyDescent="0.3">
      <c r="A243" s="87">
        <v>242</v>
      </c>
      <c r="B243" t="str">
        <f>IFERROR(INDEX('Mock Database'!$D$3:$D$152,MATCH($A243,'Mock Database'!$C$3:$C$152,0)),"")</f>
        <v/>
      </c>
      <c r="C243" s="88" t="str">
        <f>IFERROR(INDEX('Mock Database'!$I$3:$I$152,MATCH($A243,'Mock Database'!$C$3:$C$152,0)),"")</f>
        <v/>
      </c>
      <c r="D243" s="89" t="str">
        <f ca="1">IF(ISNA(MATCH($A243,'Mock Database'!$C$3:$C$152,0)),"",IF(ISBLANK(OFFSET('Mock Database'!$M$2,MATCH($A243,'Mock Database'!$C$3:$C$152,0),0)),"",INDEX('Mock Database'!$M$3:$M$152,MATCH($A243,'Mock Database'!$C$3:$C$152,0))))</f>
        <v/>
      </c>
      <c r="E243" s="22" t="str">
        <f ca="1">IF(ISNA(MATCH($A243,'Mock Database'!$C$3:$C$152,0)),"",IF(ISBLANK(OFFSET('Mock Database'!$N$2,MATCH($A243,'Mock Database'!$C$3:$C$152,0),0)),"",INDEX('Mock Database'!$N$3:$N$152,MATCH($A243,'Mock Database'!$C$3:$C$152,0))))</f>
        <v/>
      </c>
      <c r="F243" s="89" t="str">
        <f ca="1">IF(ISNA(MATCH($A243,'Mock Database'!$C$3:$C$152,0)),"",IF(ISBLANK(OFFSET('Mock Database'!$S$2,MATCH($A243,'Mock Database'!$C$3:$C$152,0),0)),"",INDEX('Mock Database'!$S$3:$S$152,MATCH($A243,'Mock Database'!$C$3:$C$152,0))))</f>
        <v/>
      </c>
      <c r="G243" s="22" t="str">
        <f ca="1">IF(ISNA(MATCH($A243,'Mock Database'!$C$3:$C$152,0)),"",IF(ISBLANK(OFFSET('Mock Database'!$T$2,MATCH($A243,'Mock Database'!$C$3:$C$152,0),0)),"",INDEX('Mock Database'!$T$3:$T$152,MATCH($A243,'Mock Database'!$C$3:$C$152,0))))</f>
        <v/>
      </c>
      <c r="H243" s="89" t="str">
        <f ca="1">IF(ISNA(MATCH($A243,'Mock Database'!$C$3:$C$152,0)),"",IF(ISBLANK(OFFSET('Mock Database'!$Y$2,MATCH($A243,'Mock Database'!$C$3:$C$152,0),0)),"",INDEX('Mock Database'!$Y$3:$Y$152,MATCH($A243,'Mock Database'!$C$3:$C$152,0))))</f>
        <v/>
      </c>
      <c r="I243" s="22" t="str">
        <f ca="1">IF(ISNA(MATCH($A243,'Mock Database'!$C$3:$C$152,0)),"",IF(ISBLANK(OFFSET('Mock Database'!$Z$2,MATCH($A243,'Mock Database'!$C$3:$C$152,0),0)),"",INDEX('Mock Database'!$Z$3:$Z$152,MATCH($A243,'Mock Database'!$C$3:$C$152,0))))</f>
        <v/>
      </c>
      <c r="J243" s="89" t="str">
        <f ca="1">IF(ISNA(MATCH($A243,'Mock Database'!$C$3:$C$152,0)),"",IF(ISBLANK(OFFSET('Mock Database'!$AE$2,MATCH($A243,'Mock Database'!$C$3:$C$152,0),0)),"",INDEX('Mock Database'!$AE$3:$AE$152,MATCH($A243,'Mock Database'!$C$3:$C$152,0))))</f>
        <v/>
      </c>
      <c r="K243" s="22" t="str">
        <f ca="1">IF(ISNA(MATCH($A243,'Mock Database'!$C$3:$C$152,0)),"",IF(ISBLANK(OFFSET('Mock Database'!$AF$2,MATCH($A243,'Mock Database'!$C$3:$C$152,0),0)),"",INDEX('Mock Database'!$AF$3:$AF$152,MATCH($A243,'Mock Database'!$C$3:$C$152,0))))</f>
        <v/>
      </c>
      <c r="N243" t="e">
        <f t="shared" si="33"/>
        <v>#N/A</v>
      </c>
      <c r="O243" s="89" t="e">
        <f t="shared" ca="1" si="34"/>
        <v>#N/A</v>
      </c>
      <c r="P243" s="22" t="e">
        <f t="shared" ca="1" si="35"/>
        <v>#N/A</v>
      </c>
      <c r="Q243" s="89" t="e">
        <f t="shared" ca="1" si="36"/>
        <v>#N/A</v>
      </c>
      <c r="R243" s="22" t="e">
        <f t="shared" ca="1" si="37"/>
        <v>#N/A</v>
      </c>
      <c r="S243" s="89" t="e">
        <f t="shared" ca="1" si="38"/>
        <v>#N/A</v>
      </c>
      <c r="T243" s="22" t="e">
        <f t="shared" ca="1" si="39"/>
        <v>#N/A</v>
      </c>
      <c r="U243" s="89" t="e">
        <f t="shared" ca="1" si="40"/>
        <v>#N/A</v>
      </c>
      <c r="V243" s="22" t="e">
        <f t="shared" ca="1" si="41"/>
        <v>#N/A</v>
      </c>
      <c r="AM243" t="e">
        <f t="shared" si="42"/>
        <v>#N/A</v>
      </c>
      <c r="AN243" t="e">
        <f t="shared" ca="1" si="43"/>
        <v>#N/A</v>
      </c>
    </row>
    <row r="244" spans="1:40" x14ac:dyDescent="0.3">
      <c r="A244" s="87">
        <v>243</v>
      </c>
      <c r="B244" t="str">
        <f>IFERROR(INDEX('Mock Database'!$D$3:$D$152,MATCH($A244,'Mock Database'!$C$3:$C$152,0)),"")</f>
        <v/>
      </c>
      <c r="C244" s="88" t="str">
        <f>IFERROR(INDEX('Mock Database'!$I$3:$I$152,MATCH($A244,'Mock Database'!$C$3:$C$152,0)),"")</f>
        <v/>
      </c>
      <c r="D244" s="89" t="str">
        <f ca="1">IF(ISNA(MATCH($A244,'Mock Database'!$C$3:$C$152,0)),"",IF(ISBLANK(OFFSET('Mock Database'!$M$2,MATCH($A244,'Mock Database'!$C$3:$C$152,0),0)),"",INDEX('Mock Database'!$M$3:$M$152,MATCH($A244,'Mock Database'!$C$3:$C$152,0))))</f>
        <v/>
      </c>
      <c r="E244" s="22" t="str">
        <f ca="1">IF(ISNA(MATCH($A244,'Mock Database'!$C$3:$C$152,0)),"",IF(ISBLANK(OFFSET('Mock Database'!$N$2,MATCH($A244,'Mock Database'!$C$3:$C$152,0),0)),"",INDEX('Mock Database'!$N$3:$N$152,MATCH($A244,'Mock Database'!$C$3:$C$152,0))))</f>
        <v/>
      </c>
      <c r="F244" s="89" t="str">
        <f ca="1">IF(ISNA(MATCH($A244,'Mock Database'!$C$3:$C$152,0)),"",IF(ISBLANK(OFFSET('Mock Database'!$S$2,MATCH($A244,'Mock Database'!$C$3:$C$152,0),0)),"",INDEX('Mock Database'!$S$3:$S$152,MATCH($A244,'Mock Database'!$C$3:$C$152,0))))</f>
        <v/>
      </c>
      <c r="G244" s="22" t="str">
        <f ca="1">IF(ISNA(MATCH($A244,'Mock Database'!$C$3:$C$152,0)),"",IF(ISBLANK(OFFSET('Mock Database'!$T$2,MATCH($A244,'Mock Database'!$C$3:$C$152,0),0)),"",INDEX('Mock Database'!$T$3:$T$152,MATCH($A244,'Mock Database'!$C$3:$C$152,0))))</f>
        <v/>
      </c>
      <c r="H244" s="89" t="str">
        <f ca="1">IF(ISNA(MATCH($A244,'Mock Database'!$C$3:$C$152,0)),"",IF(ISBLANK(OFFSET('Mock Database'!$Y$2,MATCH($A244,'Mock Database'!$C$3:$C$152,0),0)),"",INDEX('Mock Database'!$Y$3:$Y$152,MATCH($A244,'Mock Database'!$C$3:$C$152,0))))</f>
        <v/>
      </c>
      <c r="I244" s="22" t="str">
        <f ca="1">IF(ISNA(MATCH($A244,'Mock Database'!$C$3:$C$152,0)),"",IF(ISBLANK(OFFSET('Mock Database'!$Z$2,MATCH($A244,'Mock Database'!$C$3:$C$152,0),0)),"",INDEX('Mock Database'!$Z$3:$Z$152,MATCH($A244,'Mock Database'!$C$3:$C$152,0))))</f>
        <v/>
      </c>
      <c r="J244" s="89" t="str">
        <f ca="1">IF(ISNA(MATCH($A244,'Mock Database'!$C$3:$C$152,0)),"",IF(ISBLANK(OFFSET('Mock Database'!$AE$2,MATCH($A244,'Mock Database'!$C$3:$C$152,0),0)),"",INDEX('Mock Database'!$AE$3:$AE$152,MATCH($A244,'Mock Database'!$C$3:$C$152,0))))</f>
        <v/>
      </c>
      <c r="K244" s="22" t="str">
        <f ca="1">IF(ISNA(MATCH($A244,'Mock Database'!$C$3:$C$152,0)),"",IF(ISBLANK(OFFSET('Mock Database'!$AF$2,MATCH($A244,'Mock Database'!$C$3:$C$152,0),0)),"",INDEX('Mock Database'!$AF$3:$AF$152,MATCH($A244,'Mock Database'!$C$3:$C$152,0))))</f>
        <v/>
      </c>
      <c r="N244" t="e">
        <f t="shared" si="33"/>
        <v>#N/A</v>
      </c>
      <c r="O244" s="89" t="e">
        <f t="shared" ca="1" si="34"/>
        <v>#N/A</v>
      </c>
      <c r="P244" s="22" t="e">
        <f t="shared" ca="1" si="35"/>
        <v>#N/A</v>
      </c>
      <c r="Q244" s="89" t="e">
        <f t="shared" ca="1" si="36"/>
        <v>#N/A</v>
      </c>
      <c r="R244" s="22" t="e">
        <f t="shared" ca="1" si="37"/>
        <v>#N/A</v>
      </c>
      <c r="S244" s="89" t="e">
        <f t="shared" ca="1" si="38"/>
        <v>#N/A</v>
      </c>
      <c r="T244" s="22" t="e">
        <f t="shared" ca="1" si="39"/>
        <v>#N/A</v>
      </c>
      <c r="U244" s="89" t="e">
        <f t="shared" ca="1" si="40"/>
        <v>#N/A</v>
      </c>
      <c r="V244" s="22" t="e">
        <f t="shared" ca="1" si="41"/>
        <v>#N/A</v>
      </c>
      <c r="AM244" t="e">
        <f t="shared" si="42"/>
        <v>#N/A</v>
      </c>
      <c r="AN244" t="e">
        <f t="shared" ca="1" si="43"/>
        <v>#N/A</v>
      </c>
    </row>
    <row r="245" spans="1:40" x14ac:dyDescent="0.3">
      <c r="A245" s="87">
        <v>244</v>
      </c>
      <c r="B245" t="str">
        <f>IFERROR(INDEX('Mock Database'!$D$3:$D$152,MATCH($A245,'Mock Database'!$C$3:$C$152,0)),"")</f>
        <v/>
      </c>
      <c r="C245" s="88" t="str">
        <f>IFERROR(INDEX('Mock Database'!$I$3:$I$152,MATCH($A245,'Mock Database'!$C$3:$C$152,0)),"")</f>
        <v/>
      </c>
      <c r="D245" s="89" t="str">
        <f ca="1">IF(ISNA(MATCH($A245,'Mock Database'!$C$3:$C$152,0)),"",IF(ISBLANK(OFFSET('Mock Database'!$M$2,MATCH($A245,'Mock Database'!$C$3:$C$152,0),0)),"",INDEX('Mock Database'!$M$3:$M$152,MATCH($A245,'Mock Database'!$C$3:$C$152,0))))</f>
        <v/>
      </c>
      <c r="E245" s="22" t="str">
        <f ca="1">IF(ISNA(MATCH($A245,'Mock Database'!$C$3:$C$152,0)),"",IF(ISBLANK(OFFSET('Mock Database'!$N$2,MATCH($A245,'Mock Database'!$C$3:$C$152,0),0)),"",INDEX('Mock Database'!$N$3:$N$152,MATCH($A245,'Mock Database'!$C$3:$C$152,0))))</f>
        <v/>
      </c>
      <c r="F245" s="89" t="str">
        <f ca="1">IF(ISNA(MATCH($A245,'Mock Database'!$C$3:$C$152,0)),"",IF(ISBLANK(OFFSET('Mock Database'!$S$2,MATCH($A245,'Mock Database'!$C$3:$C$152,0),0)),"",INDEX('Mock Database'!$S$3:$S$152,MATCH($A245,'Mock Database'!$C$3:$C$152,0))))</f>
        <v/>
      </c>
      <c r="G245" s="22" t="str">
        <f ca="1">IF(ISNA(MATCH($A245,'Mock Database'!$C$3:$C$152,0)),"",IF(ISBLANK(OFFSET('Mock Database'!$T$2,MATCH($A245,'Mock Database'!$C$3:$C$152,0),0)),"",INDEX('Mock Database'!$T$3:$T$152,MATCH($A245,'Mock Database'!$C$3:$C$152,0))))</f>
        <v/>
      </c>
      <c r="H245" s="89" t="str">
        <f ca="1">IF(ISNA(MATCH($A245,'Mock Database'!$C$3:$C$152,0)),"",IF(ISBLANK(OFFSET('Mock Database'!$Y$2,MATCH($A245,'Mock Database'!$C$3:$C$152,0),0)),"",INDEX('Mock Database'!$Y$3:$Y$152,MATCH($A245,'Mock Database'!$C$3:$C$152,0))))</f>
        <v/>
      </c>
      <c r="I245" s="22" t="str">
        <f ca="1">IF(ISNA(MATCH($A245,'Mock Database'!$C$3:$C$152,0)),"",IF(ISBLANK(OFFSET('Mock Database'!$Z$2,MATCH($A245,'Mock Database'!$C$3:$C$152,0),0)),"",INDEX('Mock Database'!$Z$3:$Z$152,MATCH($A245,'Mock Database'!$C$3:$C$152,0))))</f>
        <v/>
      </c>
      <c r="J245" s="89" t="str">
        <f ca="1">IF(ISNA(MATCH($A245,'Mock Database'!$C$3:$C$152,0)),"",IF(ISBLANK(OFFSET('Mock Database'!$AE$2,MATCH($A245,'Mock Database'!$C$3:$C$152,0),0)),"",INDEX('Mock Database'!$AE$3:$AE$152,MATCH($A245,'Mock Database'!$C$3:$C$152,0))))</f>
        <v/>
      </c>
      <c r="K245" s="22" t="str">
        <f ca="1">IF(ISNA(MATCH($A245,'Mock Database'!$C$3:$C$152,0)),"",IF(ISBLANK(OFFSET('Mock Database'!$AF$2,MATCH($A245,'Mock Database'!$C$3:$C$152,0),0)),"",INDEX('Mock Database'!$AF$3:$AF$152,MATCH($A245,'Mock Database'!$C$3:$C$152,0))))</f>
        <v/>
      </c>
      <c r="N245" t="e">
        <f t="shared" si="33"/>
        <v>#N/A</v>
      </c>
      <c r="O245" s="89" t="e">
        <f t="shared" ca="1" si="34"/>
        <v>#N/A</v>
      </c>
      <c r="P245" s="22" t="e">
        <f t="shared" ca="1" si="35"/>
        <v>#N/A</v>
      </c>
      <c r="Q245" s="89" t="e">
        <f t="shared" ca="1" si="36"/>
        <v>#N/A</v>
      </c>
      <c r="R245" s="22" t="e">
        <f t="shared" ca="1" si="37"/>
        <v>#N/A</v>
      </c>
      <c r="S245" s="89" t="e">
        <f t="shared" ca="1" si="38"/>
        <v>#N/A</v>
      </c>
      <c r="T245" s="22" t="e">
        <f t="shared" ca="1" si="39"/>
        <v>#N/A</v>
      </c>
      <c r="U245" s="89" t="e">
        <f t="shared" ca="1" si="40"/>
        <v>#N/A</v>
      </c>
      <c r="V245" s="22" t="e">
        <f t="shared" ca="1" si="41"/>
        <v>#N/A</v>
      </c>
      <c r="AM245" t="e">
        <f t="shared" si="42"/>
        <v>#N/A</v>
      </c>
      <c r="AN245" t="e">
        <f t="shared" ca="1" si="43"/>
        <v>#N/A</v>
      </c>
    </row>
    <row r="246" spans="1:40" x14ac:dyDescent="0.3">
      <c r="A246" s="87">
        <v>245</v>
      </c>
      <c r="B246" t="str">
        <f>IFERROR(INDEX('Mock Database'!$D$3:$D$152,MATCH($A246,'Mock Database'!$C$3:$C$152,0)),"")</f>
        <v/>
      </c>
      <c r="C246" s="88" t="str">
        <f>IFERROR(INDEX('Mock Database'!$I$3:$I$152,MATCH($A246,'Mock Database'!$C$3:$C$152,0)),"")</f>
        <v/>
      </c>
      <c r="D246" s="89" t="str">
        <f ca="1">IF(ISNA(MATCH($A246,'Mock Database'!$C$3:$C$152,0)),"",IF(ISBLANK(OFFSET('Mock Database'!$M$2,MATCH($A246,'Mock Database'!$C$3:$C$152,0),0)),"",INDEX('Mock Database'!$M$3:$M$152,MATCH($A246,'Mock Database'!$C$3:$C$152,0))))</f>
        <v/>
      </c>
      <c r="E246" s="22" t="str">
        <f ca="1">IF(ISNA(MATCH($A246,'Mock Database'!$C$3:$C$152,0)),"",IF(ISBLANK(OFFSET('Mock Database'!$N$2,MATCH($A246,'Mock Database'!$C$3:$C$152,0),0)),"",INDEX('Mock Database'!$N$3:$N$152,MATCH($A246,'Mock Database'!$C$3:$C$152,0))))</f>
        <v/>
      </c>
      <c r="F246" s="89" t="str">
        <f ca="1">IF(ISNA(MATCH($A246,'Mock Database'!$C$3:$C$152,0)),"",IF(ISBLANK(OFFSET('Mock Database'!$S$2,MATCH($A246,'Mock Database'!$C$3:$C$152,0),0)),"",INDEX('Mock Database'!$S$3:$S$152,MATCH($A246,'Mock Database'!$C$3:$C$152,0))))</f>
        <v/>
      </c>
      <c r="G246" s="22" t="str">
        <f ca="1">IF(ISNA(MATCH($A246,'Mock Database'!$C$3:$C$152,0)),"",IF(ISBLANK(OFFSET('Mock Database'!$T$2,MATCH($A246,'Mock Database'!$C$3:$C$152,0),0)),"",INDEX('Mock Database'!$T$3:$T$152,MATCH($A246,'Mock Database'!$C$3:$C$152,0))))</f>
        <v/>
      </c>
      <c r="H246" s="89" t="str">
        <f ca="1">IF(ISNA(MATCH($A246,'Mock Database'!$C$3:$C$152,0)),"",IF(ISBLANK(OFFSET('Mock Database'!$Y$2,MATCH($A246,'Mock Database'!$C$3:$C$152,0),0)),"",INDEX('Mock Database'!$Y$3:$Y$152,MATCH($A246,'Mock Database'!$C$3:$C$152,0))))</f>
        <v/>
      </c>
      <c r="I246" s="22" t="str">
        <f ca="1">IF(ISNA(MATCH($A246,'Mock Database'!$C$3:$C$152,0)),"",IF(ISBLANK(OFFSET('Mock Database'!$Z$2,MATCH($A246,'Mock Database'!$C$3:$C$152,0),0)),"",INDEX('Mock Database'!$Z$3:$Z$152,MATCH($A246,'Mock Database'!$C$3:$C$152,0))))</f>
        <v/>
      </c>
      <c r="J246" s="89" t="str">
        <f ca="1">IF(ISNA(MATCH($A246,'Mock Database'!$C$3:$C$152,0)),"",IF(ISBLANK(OFFSET('Mock Database'!$AE$2,MATCH($A246,'Mock Database'!$C$3:$C$152,0),0)),"",INDEX('Mock Database'!$AE$3:$AE$152,MATCH($A246,'Mock Database'!$C$3:$C$152,0))))</f>
        <v/>
      </c>
      <c r="K246" s="22" t="str">
        <f ca="1">IF(ISNA(MATCH($A246,'Mock Database'!$C$3:$C$152,0)),"",IF(ISBLANK(OFFSET('Mock Database'!$AF$2,MATCH($A246,'Mock Database'!$C$3:$C$152,0),0)),"",INDEX('Mock Database'!$AF$3:$AF$152,MATCH($A246,'Mock Database'!$C$3:$C$152,0))))</f>
        <v/>
      </c>
      <c r="N246" t="e">
        <f t="shared" si="33"/>
        <v>#N/A</v>
      </c>
      <c r="O246" s="89" t="e">
        <f t="shared" ca="1" si="34"/>
        <v>#N/A</v>
      </c>
      <c r="P246" s="22" t="e">
        <f t="shared" ca="1" si="35"/>
        <v>#N/A</v>
      </c>
      <c r="Q246" s="89" t="e">
        <f t="shared" ca="1" si="36"/>
        <v>#N/A</v>
      </c>
      <c r="R246" s="22" t="e">
        <f t="shared" ca="1" si="37"/>
        <v>#N/A</v>
      </c>
      <c r="S246" s="89" t="e">
        <f t="shared" ca="1" si="38"/>
        <v>#N/A</v>
      </c>
      <c r="T246" s="22" t="e">
        <f t="shared" ca="1" si="39"/>
        <v>#N/A</v>
      </c>
      <c r="U246" s="89" t="e">
        <f t="shared" ca="1" si="40"/>
        <v>#N/A</v>
      </c>
      <c r="V246" s="22" t="e">
        <f t="shared" ca="1" si="41"/>
        <v>#N/A</v>
      </c>
      <c r="AM246" t="e">
        <f t="shared" si="42"/>
        <v>#N/A</v>
      </c>
      <c r="AN246" t="e">
        <f t="shared" ca="1" si="43"/>
        <v>#N/A</v>
      </c>
    </row>
    <row r="247" spans="1:40" x14ac:dyDescent="0.3">
      <c r="A247" s="87">
        <v>246</v>
      </c>
      <c r="B247" t="str">
        <f>IFERROR(INDEX('Mock Database'!$D$3:$D$152,MATCH($A247,'Mock Database'!$C$3:$C$152,0)),"")</f>
        <v/>
      </c>
      <c r="C247" s="88" t="str">
        <f>IFERROR(INDEX('Mock Database'!$I$3:$I$152,MATCH($A247,'Mock Database'!$C$3:$C$152,0)),"")</f>
        <v/>
      </c>
      <c r="D247" s="89" t="str">
        <f ca="1">IF(ISNA(MATCH($A247,'Mock Database'!$C$3:$C$152,0)),"",IF(ISBLANK(OFFSET('Mock Database'!$M$2,MATCH($A247,'Mock Database'!$C$3:$C$152,0),0)),"",INDEX('Mock Database'!$M$3:$M$152,MATCH($A247,'Mock Database'!$C$3:$C$152,0))))</f>
        <v/>
      </c>
      <c r="E247" s="22" t="str">
        <f ca="1">IF(ISNA(MATCH($A247,'Mock Database'!$C$3:$C$152,0)),"",IF(ISBLANK(OFFSET('Mock Database'!$N$2,MATCH($A247,'Mock Database'!$C$3:$C$152,0),0)),"",INDEX('Mock Database'!$N$3:$N$152,MATCH($A247,'Mock Database'!$C$3:$C$152,0))))</f>
        <v/>
      </c>
      <c r="F247" s="89" t="str">
        <f ca="1">IF(ISNA(MATCH($A247,'Mock Database'!$C$3:$C$152,0)),"",IF(ISBLANK(OFFSET('Mock Database'!$S$2,MATCH($A247,'Mock Database'!$C$3:$C$152,0),0)),"",INDEX('Mock Database'!$S$3:$S$152,MATCH($A247,'Mock Database'!$C$3:$C$152,0))))</f>
        <v/>
      </c>
      <c r="G247" s="22" t="str">
        <f ca="1">IF(ISNA(MATCH($A247,'Mock Database'!$C$3:$C$152,0)),"",IF(ISBLANK(OFFSET('Mock Database'!$T$2,MATCH($A247,'Mock Database'!$C$3:$C$152,0),0)),"",INDEX('Mock Database'!$T$3:$T$152,MATCH($A247,'Mock Database'!$C$3:$C$152,0))))</f>
        <v/>
      </c>
      <c r="H247" s="89" t="str">
        <f ca="1">IF(ISNA(MATCH($A247,'Mock Database'!$C$3:$C$152,0)),"",IF(ISBLANK(OFFSET('Mock Database'!$Y$2,MATCH($A247,'Mock Database'!$C$3:$C$152,0),0)),"",INDEX('Mock Database'!$Y$3:$Y$152,MATCH($A247,'Mock Database'!$C$3:$C$152,0))))</f>
        <v/>
      </c>
      <c r="I247" s="22" t="str">
        <f ca="1">IF(ISNA(MATCH($A247,'Mock Database'!$C$3:$C$152,0)),"",IF(ISBLANK(OFFSET('Mock Database'!$Z$2,MATCH($A247,'Mock Database'!$C$3:$C$152,0),0)),"",INDEX('Mock Database'!$Z$3:$Z$152,MATCH($A247,'Mock Database'!$C$3:$C$152,0))))</f>
        <v/>
      </c>
      <c r="J247" s="89" t="str">
        <f ca="1">IF(ISNA(MATCH($A247,'Mock Database'!$C$3:$C$152,0)),"",IF(ISBLANK(OFFSET('Mock Database'!$AE$2,MATCH($A247,'Mock Database'!$C$3:$C$152,0),0)),"",INDEX('Mock Database'!$AE$3:$AE$152,MATCH($A247,'Mock Database'!$C$3:$C$152,0))))</f>
        <v/>
      </c>
      <c r="K247" s="22" t="str">
        <f ca="1">IF(ISNA(MATCH($A247,'Mock Database'!$C$3:$C$152,0)),"",IF(ISBLANK(OFFSET('Mock Database'!$AF$2,MATCH($A247,'Mock Database'!$C$3:$C$152,0),0)),"",INDEX('Mock Database'!$AF$3:$AF$152,MATCH($A247,'Mock Database'!$C$3:$C$152,0))))</f>
        <v/>
      </c>
      <c r="N247" t="e">
        <f t="shared" si="33"/>
        <v>#N/A</v>
      </c>
      <c r="O247" s="89" t="e">
        <f t="shared" ca="1" si="34"/>
        <v>#N/A</v>
      </c>
      <c r="P247" s="22" t="e">
        <f t="shared" ca="1" si="35"/>
        <v>#N/A</v>
      </c>
      <c r="Q247" s="89" t="e">
        <f t="shared" ca="1" si="36"/>
        <v>#N/A</v>
      </c>
      <c r="R247" s="22" t="e">
        <f t="shared" ca="1" si="37"/>
        <v>#N/A</v>
      </c>
      <c r="S247" s="89" t="e">
        <f t="shared" ca="1" si="38"/>
        <v>#N/A</v>
      </c>
      <c r="T247" s="22" t="e">
        <f t="shared" ca="1" si="39"/>
        <v>#N/A</v>
      </c>
      <c r="U247" s="89" t="e">
        <f t="shared" ca="1" si="40"/>
        <v>#N/A</v>
      </c>
      <c r="V247" s="22" t="e">
        <f t="shared" ca="1" si="41"/>
        <v>#N/A</v>
      </c>
      <c r="AM247" t="e">
        <f t="shared" si="42"/>
        <v>#N/A</v>
      </c>
      <c r="AN247" t="e">
        <f t="shared" ca="1" si="43"/>
        <v>#N/A</v>
      </c>
    </row>
    <row r="248" spans="1:40" x14ac:dyDescent="0.3">
      <c r="A248" s="87">
        <v>247</v>
      </c>
      <c r="B248" t="str">
        <f>IFERROR(INDEX('Mock Database'!$D$3:$D$152,MATCH($A248,'Mock Database'!$C$3:$C$152,0)),"")</f>
        <v/>
      </c>
      <c r="C248" s="88" t="str">
        <f>IFERROR(INDEX('Mock Database'!$I$3:$I$152,MATCH($A248,'Mock Database'!$C$3:$C$152,0)),"")</f>
        <v/>
      </c>
      <c r="D248" s="89" t="str">
        <f ca="1">IF(ISNA(MATCH($A248,'Mock Database'!$C$3:$C$152,0)),"",IF(ISBLANK(OFFSET('Mock Database'!$M$2,MATCH($A248,'Mock Database'!$C$3:$C$152,0),0)),"",INDEX('Mock Database'!$M$3:$M$152,MATCH($A248,'Mock Database'!$C$3:$C$152,0))))</f>
        <v/>
      </c>
      <c r="E248" s="22" t="str">
        <f ca="1">IF(ISNA(MATCH($A248,'Mock Database'!$C$3:$C$152,0)),"",IF(ISBLANK(OFFSET('Mock Database'!$N$2,MATCH($A248,'Mock Database'!$C$3:$C$152,0),0)),"",INDEX('Mock Database'!$N$3:$N$152,MATCH($A248,'Mock Database'!$C$3:$C$152,0))))</f>
        <v/>
      </c>
      <c r="F248" s="89" t="str">
        <f ca="1">IF(ISNA(MATCH($A248,'Mock Database'!$C$3:$C$152,0)),"",IF(ISBLANK(OFFSET('Mock Database'!$S$2,MATCH($A248,'Mock Database'!$C$3:$C$152,0),0)),"",INDEX('Mock Database'!$S$3:$S$152,MATCH($A248,'Mock Database'!$C$3:$C$152,0))))</f>
        <v/>
      </c>
      <c r="G248" s="22" t="str">
        <f ca="1">IF(ISNA(MATCH($A248,'Mock Database'!$C$3:$C$152,0)),"",IF(ISBLANK(OFFSET('Mock Database'!$T$2,MATCH($A248,'Mock Database'!$C$3:$C$152,0),0)),"",INDEX('Mock Database'!$T$3:$T$152,MATCH($A248,'Mock Database'!$C$3:$C$152,0))))</f>
        <v/>
      </c>
      <c r="H248" s="89" t="str">
        <f ca="1">IF(ISNA(MATCH($A248,'Mock Database'!$C$3:$C$152,0)),"",IF(ISBLANK(OFFSET('Mock Database'!$Y$2,MATCH($A248,'Mock Database'!$C$3:$C$152,0),0)),"",INDEX('Mock Database'!$Y$3:$Y$152,MATCH($A248,'Mock Database'!$C$3:$C$152,0))))</f>
        <v/>
      </c>
      <c r="I248" s="22" t="str">
        <f ca="1">IF(ISNA(MATCH($A248,'Mock Database'!$C$3:$C$152,0)),"",IF(ISBLANK(OFFSET('Mock Database'!$Z$2,MATCH($A248,'Mock Database'!$C$3:$C$152,0),0)),"",INDEX('Mock Database'!$Z$3:$Z$152,MATCH($A248,'Mock Database'!$C$3:$C$152,0))))</f>
        <v/>
      </c>
      <c r="J248" s="89" t="str">
        <f ca="1">IF(ISNA(MATCH($A248,'Mock Database'!$C$3:$C$152,0)),"",IF(ISBLANK(OFFSET('Mock Database'!$AE$2,MATCH($A248,'Mock Database'!$C$3:$C$152,0),0)),"",INDEX('Mock Database'!$AE$3:$AE$152,MATCH($A248,'Mock Database'!$C$3:$C$152,0))))</f>
        <v/>
      </c>
      <c r="K248" s="22" t="str">
        <f ca="1">IF(ISNA(MATCH($A248,'Mock Database'!$C$3:$C$152,0)),"",IF(ISBLANK(OFFSET('Mock Database'!$AF$2,MATCH($A248,'Mock Database'!$C$3:$C$152,0),0)),"",INDEX('Mock Database'!$AF$3:$AF$152,MATCH($A248,'Mock Database'!$C$3:$C$152,0))))</f>
        <v/>
      </c>
      <c r="N248" t="e">
        <f t="shared" si="33"/>
        <v>#N/A</v>
      </c>
      <c r="O248" s="89" t="e">
        <f t="shared" ca="1" si="34"/>
        <v>#N/A</v>
      </c>
      <c r="P248" s="22" t="e">
        <f t="shared" ca="1" si="35"/>
        <v>#N/A</v>
      </c>
      <c r="Q248" s="89" t="e">
        <f t="shared" ca="1" si="36"/>
        <v>#N/A</v>
      </c>
      <c r="R248" s="22" t="e">
        <f t="shared" ca="1" si="37"/>
        <v>#N/A</v>
      </c>
      <c r="S248" s="89" t="e">
        <f t="shared" ca="1" si="38"/>
        <v>#N/A</v>
      </c>
      <c r="T248" s="22" t="e">
        <f t="shared" ca="1" si="39"/>
        <v>#N/A</v>
      </c>
      <c r="U248" s="89" t="e">
        <f t="shared" ca="1" si="40"/>
        <v>#N/A</v>
      </c>
      <c r="V248" s="22" t="e">
        <f t="shared" ca="1" si="41"/>
        <v>#N/A</v>
      </c>
      <c r="AM248" t="e">
        <f t="shared" si="42"/>
        <v>#N/A</v>
      </c>
      <c r="AN248" t="e">
        <f t="shared" ca="1" si="43"/>
        <v>#N/A</v>
      </c>
    </row>
    <row r="249" spans="1:40" x14ac:dyDescent="0.3">
      <c r="A249" s="87">
        <v>248</v>
      </c>
      <c r="B249" t="str">
        <f>IFERROR(INDEX('Mock Database'!$D$3:$D$152,MATCH($A249,'Mock Database'!$C$3:$C$152,0)),"")</f>
        <v/>
      </c>
      <c r="C249" s="88" t="str">
        <f>IFERROR(INDEX('Mock Database'!$I$3:$I$152,MATCH($A249,'Mock Database'!$C$3:$C$152,0)),"")</f>
        <v/>
      </c>
      <c r="D249" s="89" t="str">
        <f ca="1">IF(ISNA(MATCH($A249,'Mock Database'!$C$3:$C$152,0)),"",IF(ISBLANK(OFFSET('Mock Database'!$M$2,MATCH($A249,'Mock Database'!$C$3:$C$152,0),0)),"",INDEX('Mock Database'!$M$3:$M$152,MATCH($A249,'Mock Database'!$C$3:$C$152,0))))</f>
        <v/>
      </c>
      <c r="E249" s="22" t="str">
        <f ca="1">IF(ISNA(MATCH($A249,'Mock Database'!$C$3:$C$152,0)),"",IF(ISBLANK(OFFSET('Mock Database'!$N$2,MATCH($A249,'Mock Database'!$C$3:$C$152,0),0)),"",INDEX('Mock Database'!$N$3:$N$152,MATCH($A249,'Mock Database'!$C$3:$C$152,0))))</f>
        <v/>
      </c>
      <c r="F249" s="89" t="str">
        <f ca="1">IF(ISNA(MATCH($A249,'Mock Database'!$C$3:$C$152,0)),"",IF(ISBLANK(OFFSET('Mock Database'!$S$2,MATCH($A249,'Mock Database'!$C$3:$C$152,0),0)),"",INDEX('Mock Database'!$S$3:$S$152,MATCH($A249,'Mock Database'!$C$3:$C$152,0))))</f>
        <v/>
      </c>
      <c r="G249" s="22" t="str">
        <f ca="1">IF(ISNA(MATCH($A249,'Mock Database'!$C$3:$C$152,0)),"",IF(ISBLANK(OFFSET('Mock Database'!$T$2,MATCH($A249,'Mock Database'!$C$3:$C$152,0),0)),"",INDEX('Mock Database'!$T$3:$T$152,MATCH($A249,'Mock Database'!$C$3:$C$152,0))))</f>
        <v/>
      </c>
      <c r="H249" s="89" t="str">
        <f ca="1">IF(ISNA(MATCH($A249,'Mock Database'!$C$3:$C$152,0)),"",IF(ISBLANK(OFFSET('Mock Database'!$Y$2,MATCH($A249,'Mock Database'!$C$3:$C$152,0),0)),"",INDEX('Mock Database'!$Y$3:$Y$152,MATCH($A249,'Mock Database'!$C$3:$C$152,0))))</f>
        <v/>
      </c>
      <c r="I249" s="22" t="str">
        <f ca="1">IF(ISNA(MATCH($A249,'Mock Database'!$C$3:$C$152,0)),"",IF(ISBLANK(OFFSET('Mock Database'!$Z$2,MATCH($A249,'Mock Database'!$C$3:$C$152,0),0)),"",INDEX('Mock Database'!$Z$3:$Z$152,MATCH($A249,'Mock Database'!$C$3:$C$152,0))))</f>
        <v/>
      </c>
      <c r="J249" s="89" t="str">
        <f ca="1">IF(ISNA(MATCH($A249,'Mock Database'!$C$3:$C$152,0)),"",IF(ISBLANK(OFFSET('Mock Database'!$AE$2,MATCH($A249,'Mock Database'!$C$3:$C$152,0),0)),"",INDEX('Mock Database'!$AE$3:$AE$152,MATCH($A249,'Mock Database'!$C$3:$C$152,0))))</f>
        <v/>
      </c>
      <c r="K249" s="22" t="str">
        <f ca="1">IF(ISNA(MATCH($A249,'Mock Database'!$C$3:$C$152,0)),"",IF(ISBLANK(OFFSET('Mock Database'!$AF$2,MATCH($A249,'Mock Database'!$C$3:$C$152,0),0)),"",INDEX('Mock Database'!$AF$3:$AF$152,MATCH($A249,'Mock Database'!$C$3:$C$152,0))))</f>
        <v/>
      </c>
      <c r="N249" t="e">
        <f t="shared" si="33"/>
        <v>#N/A</v>
      </c>
      <c r="O249" s="89" t="e">
        <f t="shared" ca="1" si="34"/>
        <v>#N/A</v>
      </c>
      <c r="P249" s="22" t="e">
        <f t="shared" ca="1" si="35"/>
        <v>#N/A</v>
      </c>
      <c r="Q249" s="89" t="e">
        <f t="shared" ca="1" si="36"/>
        <v>#N/A</v>
      </c>
      <c r="R249" s="22" t="e">
        <f t="shared" ca="1" si="37"/>
        <v>#N/A</v>
      </c>
      <c r="S249" s="89" t="e">
        <f t="shared" ca="1" si="38"/>
        <v>#N/A</v>
      </c>
      <c r="T249" s="22" t="e">
        <f t="shared" ca="1" si="39"/>
        <v>#N/A</v>
      </c>
      <c r="U249" s="89" t="e">
        <f t="shared" ca="1" si="40"/>
        <v>#N/A</v>
      </c>
      <c r="V249" s="22" t="e">
        <f t="shared" ca="1" si="41"/>
        <v>#N/A</v>
      </c>
      <c r="AM249" t="e">
        <f t="shared" si="42"/>
        <v>#N/A</v>
      </c>
      <c r="AN249" t="e">
        <f t="shared" ca="1" si="43"/>
        <v>#N/A</v>
      </c>
    </row>
    <row r="250" spans="1:40" x14ac:dyDescent="0.3">
      <c r="A250" s="87">
        <v>249</v>
      </c>
      <c r="B250" t="str">
        <f>IFERROR(INDEX('Mock Database'!$D$3:$D$152,MATCH($A250,'Mock Database'!$C$3:$C$152,0)),"")</f>
        <v/>
      </c>
      <c r="C250" s="88" t="str">
        <f>IFERROR(INDEX('Mock Database'!$I$3:$I$152,MATCH($A250,'Mock Database'!$C$3:$C$152,0)),"")</f>
        <v/>
      </c>
      <c r="D250" s="89" t="str">
        <f ca="1">IF(ISNA(MATCH($A250,'Mock Database'!$C$3:$C$152,0)),"",IF(ISBLANK(OFFSET('Mock Database'!$M$2,MATCH($A250,'Mock Database'!$C$3:$C$152,0),0)),"",INDEX('Mock Database'!$M$3:$M$152,MATCH($A250,'Mock Database'!$C$3:$C$152,0))))</f>
        <v/>
      </c>
      <c r="E250" s="22" t="str">
        <f ca="1">IF(ISNA(MATCH($A250,'Mock Database'!$C$3:$C$152,0)),"",IF(ISBLANK(OFFSET('Mock Database'!$N$2,MATCH($A250,'Mock Database'!$C$3:$C$152,0),0)),"",INDEX('Mock Database'!$N$3:$N$152,MATCH($A250,'Mock Database'!$C$3:$C$152,0))))</f>
        <v/>
      </c>
      <c r="F250" s="89" t="str">
        <f ca="1">IF(ISNA(MATCH($A250,'Mock Database'!$C$3:$C$152,0)),"",IF(ISBLANK(OFFSET('Mock Database'!$S$2,MATCH($A250,'Mock Database'!$C$3:$C$152,0),0)),"",INDEX('Mock Database'!$S$3:$S$152,MATCH($A250,'Mock Database'!$C$3:$C$152,0))))</f>
        <v/>
      </c>
      <c r="G250" s="22" t="str">
        <f ca="1">IF(ISNA(MATCH($A250,'Mock Database'!$C$3:$C$152,0)),"",IF(ISBLANK(OFFSET('Mock Database'!$T$2,MATCH($A250,'Mock Database'!$C$3:$C$152,0),0)),"",INDEX('Mock Database'!$T$3:$T$152,MATCH($A250,'Mock Database'!$C$3:$C$152,0))))</f>
        <v/>
      </c>
      <c r="H250" s="89" t="str">
        <f ca="1">IF(ISNA(MATCH($A250,'Mock Database'!$C$3:$C$152,0)),"",IF(ISBLANK(OFFSET('Mock Database'!$Y$2,MATCH($A250,'Mock Database'!$C$3:$C$152,0),0)),"",INDEX('Mock Database'!$Y$3:$Y$152,MATCH($A250,'Mock Database'!$C$3:$C$152,0))))</f>
        <v/>
      </c>
      <c r="I250" s="22" t="str">
        <f ca="1">IF(ISNA(MATCH($A250,'Mock Database'!$C$3:$C$152,0)),"",IF(ISBLANK(OFFSET('Mock Database'!$Z$2,MATCH($A250,'Mock Database'!$C$3:$C$152,0),0)),"",INDEX('Mock Database'!$Z$3:$Z$152,MATCH($A250,'Mock Database'!$C$3:$C$152,0))))</f>
        <v/>
      </c>
      <c r="J250" s="89" t="str">
        <f ca="1">IF(ISNA(MATCH($A250,'Mock Database'!$C$3:$C$152,0)),"",IF(ISBLANK(OFFSET('Mock Database'!$AE$2,MATCH($A250,'Mock Database'!$C$3:$C$152,0),0)),"",INDEX('Mock Database'!$AE$3:$AE$152,MATCH($A250,'Mock Database'!$C$3:$C$152,0))))</f>
        <v/>
      </c>
      <c r="K250" s="22" t="str">
        <f ca="1">IF(ISNA(MATCH($A250,'Mock Database'!$C$3:$C$152,0)),"",IF(ISBLANK(OFFSET('Mock Database'!$AF$2,MATCH($A250,'Mock Database'!$C$3:$C$152,0),0)),"",INDEX('Mock Database'!$AF$3:$AF$152,MATCH($A250,'Mock Database'!$C$3:$C$152,0))))</f>
        <v/>
      </c>
      <c r="N250" t="e">
        <f t="shared" si="33"/>
        <v>#N/A</v>
      </c>
      <c r="O250" s="89" t="e">
        <f t="shared" ca="1" si="34"/>
        <v>#N/A</v>
      </c>
      <c r="P250" s="22" t="e">
        <f t="shared" ca="1" si="35"/>
        <v>#N/A</v>
      </c>
      <c r="Q250" s="89" t="e">
        <f t="shared" ca="1" si="36"/>
        <v>#N/A</v>
      </c>
      <c r="R250" s="22" t="e">
        <f t="shared" ca="1" si="37"/>
        <v>#N/A</v>
      </c>
      <c r="S250" s="89" t="e">
        <f t="shared" ca="1" si="38"/>
        <v>#N/A</v>
      </c>
      <c r="T250" s="22" t="e">
        <f t="shared" ca="1" si="39"/>
        <v>#N/A</v>
      </c>
      <c r="U250" s="89" t="e">
        <f t="shared" ca="1" si="40"/>
        <v>#N/A</v>
      </c>
      <c r="V250" s="22" t="e">
        <f t="shared" ca="1" si="41"/>
        <v>#N/A</v>
      </c>
      <c r="AM250" t="e">
        <f t="shared" si="42"/>
        <v>#N/A</v>
      </c>
      <c r="AN250" t="e">
        <f t="shared" ca="1" si="43"/>
        <v>#N/A</v>
      </c>
    </row>
    <row r="251" spans="1:40" x14ac:dyDescent="0.3">
      <c r="A251" s="87">
        <v>250</v>
      </c>
      <c r="B251" t="str">
        <f>IFERROR(INDEX('Mock Database'!$D$3:$D$152,MATCH($A251,'Mock Database'!$C$3:$C$152,0)),"")</f>
        <v/>
      </c>
      <c r="C251" s="88" t="str">
        <f>IFERROR(INDEX('Mock Database'!$I$3:$I$152,MATCH($A251,'Mock Database'!$C$3:$C$152,0)),"")</f>
        <v/>
      </c>
      <c r="D251" s="89" t="str">
        <f ca="1">IF(ISNA(MATCH($A251,'Mock Database'!$C$3:$C$152,0)),"",IF(ISBLANK(OFFSET('Mock Database'!$M$2,MATCH($A251,'Mock Database'!$C$3:$C$152,0),0)),"",INDEX('Mock Database'!$M$3:$M$152,MATCH($A251,'Mock Database'!$C$3:$C$152,0))))</f>
        <v/>
      </c>
      <c r="E251" s="22" t="str">
        <f ca="1">IF(ISNA(MATCH($A251,'Mock Database'!$C$3:$C$152,0)),"",IF(ISBLANK(OFFSET('Mock Database'!$N$2,MATCH($A251,'Mock Database'!$C$3:$C$152,0),0)),"",INDEX('Mock Database'!$N$3:$N$152,MATCH($A251,'Mock Database'!$C$3:$C$152,0))))</f>
        <v/>
      </c>
      <c r="F251" s="89" t="str">
        <f ca="1">IF(ISNA(MATCH($A251,'Mock Database'!$C$3:$C$152,0)),"",IF(ISBLANK(OFFSET('Mock Database'!$S$2,MATCH($A251,'Mock Database'!$C$3:$C$152,0),0)),"",INDEX('Mock Database'!$S$3:$S$152,MATCH($A251,'Mock Database'!$C$3:$C$152,0))))</f>
        <v/>
      </c>
      <c r="G251" s="22" t="str">
        <f ca="1">IF(ISNA(MATCH($A251,'Mock Database'!$C$3:$C$152,0)),"",IF(ISBLANK(OFFSET('Mock Database'!$T$2,MATCH($A251,'Mock Database'!$C$3:$C$152,0),0)),"",INDEX('Mock Database'!$T$3:$T$152,MATCH($A251,'Mock Database'!$C$3:$C$152,0))))</f>
        <v/>
      </c>
      <c r="H251" s="89" t="str">
        <f ca="1">IF(ISNA(MATCH($A251,'Mock Database'!$C$3:$C$152,0)),"",IF(ISBLANK(OFFSET('Mock Database'!$Y$2,MATCH($A251,'Mock Database'!$C$3:$C$152,0),0)),"",INDEX('Mock Database'!$Y$3:$Y$152,MATCH($A251,'Mock Database'!$C$3:$C$152,0))))</f>
        <v/>
      </c>
      <c r="I251" s="22" t="str">
        <f ca="1">IF(ISNA(MATCH($A251,'Mock Database'!$C$3:$C$152,0)),"",IF(ISBLANK(OFFSET('Mock Database'!$Z$2,MATCH($A251,'Mock Database'!$C$3:$C$152,0),0)),"",INDEX('Mock Database'!$Z$3:$Z$152,MATCH($A251,'Mock Database'!$C$3:$C$152,0))))</f>
        <v/>
      </c>
      <c r="J251" s="89" t="str">
        <f ca="1">IF(ISNA(MATCH($A251,'Mock Database'!$C$3:$C$152,0)),"",IF(ISBLANK(OFFSET('Mock Database'!$AE$2,MATCH($A251,'Mock Database'!$C$3:$C$152,0),0)),"",INDEX('Mock Database'!$AE$3:$AE$152,MATCH($A251,'Mock Database'!$C$3:$C$152,0))))</f>
        <v/>
      </c>
      <c r="K251" s="22" t="str">
        <f ca="1">IF(ISNA(MATCH($A251,'Mock Database'!$C$3:$C$152,0)),"",IF(ISBLANK(OFFSET('Mock Database'!$AF$2,MATCH($A251,'Mock Database'!$C$3:$C$152,0),0)),"",INDEX('Mock Database'!$AF$3:$AF$152,MATCH($A251,'Mock Database'!$C$3:$C$152,0))))</f>
        <v/>
      </c>
      <c r="N251" t="e">
        <f t="shared" si="33"/>
        <v>#N/A</v>
      </c>
      <c r="O251" s="89" t="e">
        <f t="shared" ca="1" si="34"/>
        <v>#N/A</v>
      </c>
      <c r="P251" s="22" t="e">
        <f t="shared" ca="1" si="35"/>
        <v>#N/A</v>
      </c>
      <c r="Q251" s="89" t="e">
        <f t="shared" ca="1" si="36"/>
        <v>#N/A</v>
      </c>
      <c r="R251" s="22" t="e">
        <f t="shared" ca="1" si="37"/>
        <v>#N/A</v>
      </c>
      <c r="S251" s="89" t="e">
        <f t="shared" ca="1" si="38"/>
        <v>#N/A</v>
      </c>
      <c r="T251" s="22" t="e">
        <f t="shared" ca="1" si="39"/>
        <v>#N/A</v>
      </c>
      <c r="U251" s="89" t="e">
        <f t="shared" ca="1" si="40"/>
        <v>#N/A</v>
      </c>
      <c r="V251" s="22" t="e">
        <f t="shared" ca="1" si="41"/>
        <v>#N/A</v>
      </c>
      <c r="AM251" t="e">
        <f t="shared" si="42"/>
        <v>#N/A</v>
      </c>
      <c r="AN251" t="e">
        <f t="shared" ca="1" si="43"/>
        <v>#N/A</v>
      </c>
    </row>
    <row r="252" spans="1:40" x14ac:dyDescent="0.3">
      <c r="A252" s="87">
        <v>251</v>
      </c>
      <c r="B252" t="str">
        <f>IFERROR(INDEX('Mock Database'!$D$3:$D$152,MATCH($A252,'Mock Database'!$C$3:$C$152,0)),"")</f>
        <v/>
      </c>
      <c r="C252" s="88" t="str">
        <f>IFERROR(INDEX('Mock Database'!$I$3:$I$152,MATCH($A252,'Mock Database'!$C$3:$C$152,0)),"")</f>
        <v/>
      </c>
      <c r="D252" s="89" t="str">
        <f ca="1">IF(ISNA(MATCH($A252,'Mock Database'!$C$3:$C$152,0)),"",IF(ISBLANK(OFFSET('Mock Database'!$M$2,MATCH($A252,'Mock Database'!$C$3:$C$152,0),0)),"",INDEX('Mock Database'!$M$3:$M$152,MATCH($A252,'Mock Database'!$C$3:$C$152,0))))</f>
        <v/>
      </c>
      <c r="E252" s="22" t="str">
        <f ca="1">IF(ISNA(MATCH($A252,'Mock Database'!$C$3:$C$152,0)),"",IF(ISBLANK(OFFSET('Mock Database'!$N$2,MATCH($A252,'Mock Database'!$C$3:$C$152,0),0)),"",INDEX('Mock Database'!$N$3:$N$152,MATCH($A252,'Mock Database'!$C$3:$C$152,0))))</f>
        <v/>
      </c>
      <c r="F252" s="89" t="str">
        <f ca="1">IF(ISNA(MATCH($A252,'Mock Database'!$C$3:$C$152,0)),"",IF(ISBLANK(OFFSET('Mock Database'!$S$2,MATCH($A252,'Mock Database'!$C$3:$C$152,0),0)),"",INDEX('Mock Database'!$S$3:$S$152,MATCH($A252,'Mock Database'!$C$3:$C$152,0))))</f>
        <v/>
      </c>
      <c r="G252" s="22" t="str">
        <f ca="1">IF(ISNA(MATCH($A252,'Mock Database'!$C$3:$C$152,0)),"",IF(ISBLANK(OFFSET('Mock Database'!$T$2,MATCH($A252,'Mock Database'!$C$3:$C$152,0),0)),"",INDEX('Mock Database'!$T$3:$T$152,MATCH($A252,'Mock Database'!$C$3:$C$152,0))))</f>
        <v/>
      </c>
      <c r="H252" s="89" t="str">
        <f ca="1">IF(ISNA(MATCH($A252,'Mock Database'!$C$3:$C$152,0)),"",IF(ISBLANK(OFFSET('Mock Database'!$Y$2,MATCH($A252,'Mock Database'!$C$3:$C$152,0),0)),"",INDEX('Mock Database'!$Y$3:$Y$152,MATCH($A252,'Mock Database'!$C$3:$C$152,0))))</f>
        <v/>
      </c>
      <c r="I252" s="22" t="str">
        <f ca="1">IF(ISNA(MATCH($A252,'Mock Database'!$C$3:$C$152,0)),"",IF(ISBLANK(OFFSET('Mock Database'!$Z$2,MATCH($A252,'Mock Database'!$C$3:$C$152,0),0)),"",INDEX('Mock Database'!$Z$3:$Z$152,MATCH($A252,'Mock Database'!$C$3:$C$152,0))))</f>
        <v/>
      </c>
      <c r="J252" s="89" t="str">
        <f ca="1">IF(ISNA(MATCH($A252,'Mock Database'!$C$3:$C$152,0)),"",IF(ISBLANK(OFFSET('Mock Database'!$AE$2,MATCH($A252,'Mock Database'!$C$3:$C$152,0),0)),"",INDEX('Mock Database'!$AE$3:$AE$152,MATCH($A252,'Mock Database'!$C$3:$C$152,0))))</f>
        <v/>
      </c>
      <c r="K252" s="22" t="str">
        <f ca="1">IF(ISNA(MATCH($A252,'Mock Database'!$C$3:$C$152,0)),"",IF(ISBLANK(OFFSET('Mock Database'!$AF$2,MATCH($A252,'Mock Database'!$C$3:$C$152,0),0)),"",INDEX('Mock Database'!$AF$3:$AF$152,MATCH($A252,'Mock Database'!$C$3:$C$152,0))))</f>
        <v/>
      </c>
      <c r="N252" t="e">
        <f t="shared" si="33"/>
        <v>#N/A</v>
      </c>
      <c r="O252" s="89" t="e">
        <f t="shared" ca="1" si="34"/>
        <v>#N/A</v>
      </c>
      <c r="P252" s="22" t="e">
        <f t="shared" ca="1" si="35"/>
        <v>#N/A</v>
      </c>
      <c r="Q252" s="89" t="e">
        <f t="shared" ca="1" si="36"/>
        <v>#N/A</v>
      </c>
      <c r="R252" s="22" t="e">
        <f t="shared" ca="1" si="37"/>
        <v>#N/A</v>
      </c>
      <c r="S252" s="89" t="e">
        <f t="shared" ca="1" si="38"/>
        <v>#N/A</v>
      </c>
      <c r="T252" s="22" t="e">
        <f t="shared" ca="1" si="39"/>
        <v>#N/A</v>
      </c>
      <c r="U252" s="89" t="e">
        <f t="shared" ca="1" si="40"/>
        <v>#N/A</v>
      </c>
      <c r="V252" s="22" t="e">
        <f t="shared" ca="1" si="41"/>
        <v>#N/A</v>
      </c>
      <c r="AM252" t="e">
        <f t="shared" si="42"/>
        <v>#N/A</v>
      </c>
      <c r="AN252" t="e">
        <f t="shared" ca="1" si="43"/>
        <v>#N/A</v>
      </c>
    </row>
    <row r="253" spans="1:40" x14ac:dyDescent="0.3">
      <c r="A253" s="87">
        <v>252</v>
      </c>
      <c r="B253" t="str">
        <f>IFERROR(INDEX('Mock Database'!$D$3:$D$152,MATCH($A253,'Mock Database'!$C$3:$C$152,0)),"")</f>
        <v/>
      </c>
      <c r="C253" s="88" t="str">
        <f>IFERROR(INDEX('Mock Database'!$I$3:$I$152,MATCH($A253,'Mock Database'!$C$3:$C$152,0)),"")</f>
        <v/>
      </c>
      <c r="D253" s="89" t="str">
        <f ca="1">IF(ISNA(MATCH($A253,'Mock Database'!$C$3:$C$152,0)),"",IF(ISBLANK(OFFSET('Mock Database'!$M$2,MATCH($A253,'Mock Database'!$C$3:$C$152,0),0)),"",INDEX('Mock Database'!$M$3:$M$152,MATCH($A253,'Mock Database'!$C$3:$C$152,0))))</f>
        <v/>
      </c>
      <c r="E253" s="22" t="str">
        <f ca="1">IF(ISNA(MATCH($A253,'Mock Database'!$C$3:$C$152,0)),"",IF(ISBLANK(OFFSET('Mock Database'!$N$2,MATCH($A253,'Mock Database'!$C$3:$C$152,0),0)),"",INDEX('Mock Database'!$N$3:$N$152,MATCH($A253,'Mock Database'!$C$3:$C$152,0))))</f>
        <v/>
      </c>
      <c r="F253" s="89" t="str">
        <f ca="1">IF(ISNA(MATCH($A253,'Mock Database'!$C$3:$C$152,0)),"",IF(ISBLANK(OFFSET('Mock Database'!$S$2,MATCH($A253,'Mock Database'!$C$3:$C$152,0),0)),"",INDEX('Mock Database'!$S$3:$S$152,MATCH($A253,'Mock Database'!$C$3:$C$152,0))))</f>
        <v/>
      </c>
      <c r="G253" s="22" t="str">
        <f ca="1">IF(ISNA(MATCH($A253,'Mock Database'!$C$3:$C$152,0)),"",IF(ISBLANK(OFFSET('Mock Database'!$T$2,MATCH($A253,'Mock Database'!$C$3:$C$152,0),0)),"",INDEX('Mock Database'!$T$3:$T$152,MATCH($A253,'Mock Database'!$C$3:$C$152,0))))</f>
        <v/>
      </c>
      <c r="H253" s="89" t="str">
        <f ca="1">IF(ISNA(MATCH($A253,'Mock Database'!$C$3:$C$152,0)),"",IF(ISBLANK(OFFSET('Mock Database'!$Y$2,MATCH($A253,'Mock Database'!$C$3:$C$152,0),0)),"",INDEX('Mock Database'!$Y$3:$Y$152,MATCH($A253,'Mock Database'!$C$3:$C$152,0))))</f>
        <v/>
      </c>
      <c r="I253" s="22" t="str">
        <f ca="1">IF(ISNA(MATCH($A253,'Mock Database'!$C$3:$C$152,0)),"",IF(ISBLANK(OFFSET('Mock Database'!$Z$2,MATCH($A253,'Mock Database'!$C$3:$C$152,0),0)),"",INDEX('Mock Database'!$Z$3:$Z$152,MATCH($A253,'Mock Database'!$C$3:$C$152,0))))</f>
        <v/>
      </c>
      <c r="J253" s="89" t="str">
        <f ca="1">IF(ISNA(MATCH($A253,'Mock Database'!$C$3:$C$152,0)),"",IF(ISBLANK(OFFSET('Mock Database'!$AE$2,MATCH($A253,'Mock Database'!$C$3:$C$152,0),0)),"",INDEX('Mock Database'!$AE$3:$AE$152,MATCH($A253,'Mock Database'!$C$3:$C$152,0))))</f>
        <v/>
      </c>
      <c r="K253" s="22" t="str">
        <f ca="1">IF(ISNA(MATCH($A253,'Mock Database'!$C$3:$C$152,0)),"",IF(ISBLANK(OFFSET('Mock Database'!$AF$2,MATCH($A253,'Mock Database'!$C$3:$C$152,0),0)),"",INDEX('Mock Database'!$AF$3:$AF$152,MATCH($A253,'Mock Database'!$C$3:$C$152,0))))</f>
        <v/>
      </c>
      <c r="N253" t="e">
        <f t="shared" si="33"/>
        <v>#N/A</v>
      </c>
      <c r="O253" s="89" t="e">
        <f t="shared" ca="1" si="34"/>
        <v>#N/A</v>
      </c>
      <c r="P253" s="22" t="e">
        <f t="shared" ca="1" si="35"/>
        <v>#N/A</v>
      </c>
      <c r="Q253" s="89" t="e">
        <f t="shared" ca="1" si="36"/>
        <v>#N/A</v>
      </c>
      <c r="R253" s="22" t="e">
        <f t="shared" ca="1" si="37"/>
        <v>#N/A</v>
      </c>
      <c r="S253" s="89" t="e">
        <f t="shared" ca="1" si="38"/>
        <v>#N/A</v>
      </c>
      <c r="T253" s="22" t="e">
        <f t="shared" ca="1" si="39"/>
        <v>#N/A</v>
      </c>
      <c r="U253" s="89" t="e">
        <f t="shared" ca="1" si="40"/>
        <v>#N/A</v>
      </c>
      <c r="V253" s="22" t="e">
        <f t="shared" ca="1" si="41"/>
        <v>#N/A</v>
      </c>
      <c r="AM253" t="e">
        <f t="shared" si="42"/>
        <v>#N/A</v>
      </c>
      <c r="AN253" t="e">
        <f t="shared" ca="1" si="43"/>
        <v>#N/A</v>
      </c>
    </row>
    <row r="254" spans="1:40" x14ac:dyDescent="0.3">
      <c r="A254" s="87">
        <v>253</v>
      </c>
      <c r="B254" t="str">
        <f>IFERROR(INDEX('Mock Database'!$D$3:$D$152,MATCH($A254,'Mock Database'!$C$3:$C$152,0)),"")</f>
        <v/>
      </c>
      <c r="C254" s="88" t="str">
        <f>IFERROR(INDEX('Mock Database'!$I$3:$I$152,MATCH($A254,'Mock Database'!$C$3:$C$152,0)),"")</f>
        <v/>
      </c>
      <c r="D254" s="89" t="str">
        <f ca="1">IF(ISNA(MATCH($A254,'Mock Database'!$C$3:$C$152,0)),"",IF(ISBLANK(OFFSET('Mock Database'!$M$2,MATCH($A254,'Mock Database'!$C$3:$C$152,0),0)),"",INDEX('Mock Database'!$M$3:$M$152,MATCH($A254,'Mock Database'!$C$3:$C$152,0))))</f>
        <v/>
      </c>
      <c r="E254" s="22" t="str">
        <f ca="1">IF(ISNA(MATCH($A254,'Mock Database'!$C$3:$C$152,0)),"",IF(ISBLANK(OFFSET('Mock Database'!$N$2,MATCH($A254,'Mock Database'!$C$3:$C$152,0),0)),"",INDEX('Mock Database'!$N$3:$N$152,MATCH($A254,'Mock Database'!$C$3:$C$152,0))))</f>
        <v/>
      </c>
      <c r="F254" s="89" t="str">
        <f ca="1">IF(ISNA(MATCH($A254,'Mock Database'!$C$3:$C$152,0)),"",IF(ISBLANK(OFFSET('Mock Database'!$S$2,MATCH($A254,'Mock Database'!$C$3:$C$152,0),0)),"",INDEX('Mock Database'!$S$3:$S$152,MATCH($A254,'Mock Database'!$C$3:$C$152,0))))</f>
        <v/>
      </c>
      <c r="G254" s="22" t="str">
        <f ca="1">IF(ISNA(MATCH($A254,'Mock Database'!$C$3:$C$152,0)),"",IF(ISBLANK(OFFSET('Mock Database'!$T$2,MATCH($A254,'Mock Database'!$C$3:$C$152,0),0)),"",INDEX('Mock Database'!$T$3:$T$152,MATCH($A254,'Mock Database'!$C$3:$C$152,0))))</f>
        <v/>
      </c>
      <c r="H254" s="89" t="str">
        <f ca="1">IF(ISNA(MATCH($A254,'Mock Database'!$C$3:$C$152,0)),"",IF(ISBLANK(OFFSET('Mock Database'!$Y$2,MATCH($A254,'Mock Database'!$C$3:$C$152,0),0)),"",INDEX('Mock Database'!$Y$3:$Y$152,MATCH($A254,'Mock Database'!$C$3:$C$152,0))))</f>
        <v/>
      </c>
      <c r="I254" s="22" t="str">
        <f ca="1">IF(ISNA(MATCH($A254,'Mock Database'!$C$3:$C$152,0)),"",IF(ISBLANK(OFFSET('Mock Database'!$Z$2,MATCH($A254,'Mock Database'!$C$3:$C$152,0),0)),"",INDEX('Mock Database'!$Z$3:$Z$152,MATCH($A254,'Mock Database'!$C$3:$C$152,0))))</f>
        <v/>
      </c>
      <c r="J254" s="89" t="str">
        <f ca="1">IF(ISNA(MATCH($A254,'Mock Database'!$C$3:$C$152,0)),"",IF(ISBLANK(OFFSET('Mock Database'!$AE$2,MATCH($A254,'Mock Database'!$C$3:$C$152,0),0)),"",INDEX('Mock Database'!$AE$3:$AE$152,MATCH($A254,'Mock Database'!$C$3:$C$152,0))))</f>
        <v/>
      </c>
      <c r="K254" s="22" t="str">
        <f ca="1">IF(ISNA(MATCH($A254,'Mock Database'!$C$3:$C$152,0)),"",IF(ISBLANK(OFFSET('Mock Database'!$AF$2,MATCH($A254,'Mock Database'!$C$3:$C$152,0),0)),"",INDEX('Mock Database'!$AF$3:$AF$152,MATCH($A254,'Mock Database'!$C$3:$C$152,0))))</f>
        <v/>
      </c>
      <c r="N254" t="e">
        <f t="shared" si="33"/>
        <v>#N/A</v>
      </c>
      <c r="O254" s="89" t="e">
        <f t="shared" ca="1" si="34"/>
        <v>#N/A</v>
      </c>
      <c r="P254" s="22" t="e">
        <f t="shared" ca="1" si="35"/>
        <v>#N/A</v>
      </c>
      <c r="Q254" s="89" t="e">
        <f t="shared" ca="1" si="36"/>
        <v>#N/A</v>
      </c>
      <c r="R254" s="22" t="e">
        <f t="shared" ca="1" si="37"/>
        <v>#N/A</v>
      </c>
      <c r="S254" s="89" t="e">
        <f t="shared" ca="1" si="38"/>
        <v>#N/A</v>
      </c>
      <c r="T254" s="22" t="e">
        <f t="shared" ca="1" si="39"/>
        <v>#N/A</v>
      </c>
      <c r="U254" s="89" t="e">
        <f t="shared" ca="1" si="40"/>
        <v>#N/A</v>
      </c>
      <c r="V254" s="22" t="e">
        <f t="shared" ca="1" si="41"/>
        <v>#N/A</v>
      </c>
      <c r="AM254" t="e">
        <f t="shared" si="42"/>
        <v>#N/A</v>
      </c>
      <c r="AN254" t="e">
        <f t="shared" ca="1" si="43"/>
        <v>#N/A</v>
      </c>
    </row>
    <row r="255" spans="1:40" x14ac:dyDescent="0.3">
      <c r="A255" s="87">
        <v>254</v>
      </c>
      <c r="B255" t="str">
        <f>IFERROR(INDEX('Mock Database'!$D$3:$D$152,MATCH($A255,'Mock Database'!$C$3:$C$152,0)),"")</f>
        <v/>
      </c>
      <c r="C255" s="88" t="str">
        <f>IFERROR(INDEX('Mock Database'!$I$3:$I$152,MATCH($A255,'Mock Database'!$C$3:$C$152,0)),"")</f>
        <v/>
      </c>
      <c r="D255" s="89" t="str">
        <f ca="1">IF(ISNA(MATCH($A255,'Mock Database'!$C$3:$C$152,0)),"",IF(ISBLANK(OFFSET('Mock Database'!$M$2,MATCH($A255,'Mock Database'!$C$3:$C$152,0),0)),"",INDEX('Mock Database'!$M$3:$M$152,MATCH($A255,'Mock Database'!$C$3:$C$152,0))))</f>
        <v/>
      </c>
      <c r="E255" s="22" t="str">
        <f ca="1">IF(ISNA(MATCH($A255,'Mock Database'!$C$3:$C$152,0)),"",IF(ISBLANK(OFFSET('Mock Database'!$N$2,MATCH($A255,'Mock Database'!$C$3:$C$152,0),0)),"",INDEX('Mock Database'!$N$3:$N$152,MATCH($A255,'Mock Database'!$C$3:$C$152,0))))</f>
        <v/>
      </c>
      <c r="F255" s="89" t="str">
        <f ca="1">IF(ISNA(MATCH($A255,'Mock Database'!$C$3:$C$152,0)),"",IF(ISBLANK(OFFSET('Mock Database'!$S$2,MATCH($A255,'Mock Database'!$C$3:$C$152,0),0)),"",INDEX('Mock Database'!$S$3:$S$152,MATCH($A255,'Mock Database'!$C$3:$C$152,0))))</f>
        <v/>
      </c>
      <c r="G255" s="22" t="str">
        <f ca="1">IF(ISNA(MATCH($A255,'Mock Database'!$C$3:$C$152,0)),"",IF(ISBLANK(OFFSET('Mock Database'!$T$2,MATCH($A255,'Mock Database'!$C$3:$C$152,0),0)),"",INDEX('Mock Database'!$T$3:$T$152,MATCH($A255,'Mock Database'!$C$3:$C$152,0))))</f>
        <v/>
      </c>
      <c r="H255" s="89" t="str">
        <f ca="1">IF(ISNA(MATCH($A255,'Mock Database'!$C$3:$C$152,0)),"",IF(ISBLANK(OFFSET('Mock Database'!$Y$2,MATCH($A255,'Mock Database'!$C$3:$C$152,0),0)),"",INDEX('Mock Database'!$Y$3:$Y$152,MATCH($A255,'Mock Database'!$C$3:$C$152,0))))</f>
        <v/>
      </c>
      <c r="I255" s="22" t="str">
        <f ca="1">IF(ISNA(MATCH($A255,'Mock Database'!$C$3:$C$152,0)),"",IF(ISBLANK(OFFSET('Mock Database'!$Z$2,MATCH($A255,'Mock Database'!$C$3:$C$152,0),0)),"",INDEX('Mock Database'!$Z$3:$Z$152,MATCH($A255,'Mock Database'!$C$3:$C$152,0))))</f>
        <v/>
      </c>
      <c r="J255" s="89" t="str">
        <f ca="1">IF(ISNA(MATCH($A255,'Mock Database'!$C$3:$C$152,0)),"",IF(ISBLANK(OFFSET('Mock Database'!$AE$2,MATCH($A255,'Mock Database'!$C$3:$C$152,0),0)),"",INDEX('Mock Database'!$AE$3:$AE$152,MATCH($A255,'Mock Database'!$C$3:$C$152,0))))</f>
        <v/>
      </c>
      <c r="K255" s="22" t="str">
        <f ca="1">IF(ISNA(MATCH($A255,'Mock Database'!$C$3:$C$152,0)),"",IF(ISBLANK(OFFSET('Mock Database'!$AF$2,MATCH($A255,'Mock Database'!$C$3:$C$152,0),0)),"",INDEX('Mock Database'!$AF$3:$AF$152,MATCH($A255,'Mock Database'!$C$3:$C$152,0))))</f>
        <v/>
      </c>
      <c r="N255" t="e">
        <f t="shared" si="33"/>
        <v>#N/A</v>
      </c>
      <c r="O255" s="89" t="e">
        <f t="shared" ca="1" si="34"/>
        <v>#N/A</v>
      </c>
      <c r="P255" s="22" t="e">
        <f t="shared" ca="1" si="35"/>
        <v>#N/A</v>
      </c>
      <c r="Q255" s="89" t="e">
        <f t="shared" ca="1" si="36"/>
        <v>#N/A</v>
      </c>
      <c r="R255" s="22" t="e">
        <f t="shared" ca="1" si="37"/>
        <v>#N/A</v>
      </c>
      <c r="S255" s="89" t="e">
        <f t="shared" ca="1" si="38"/>
        <v>#N/A</v>
      </c>
      <c r="T255" s="22" t="e">
        <f t="shared" ca="1" si="39"/>
        <v>#N/A</v>
      </c>
      <c r="U255" s="89" t="e">
        <f t="shared" ca="1" si="40"/>
        <v>#N/A</v>
      </c>
      <c r="V255" s="22" t="e">
        <f t="shared" ca="1" si="41"/>
        <v>#N/A</v>
      </c>
      <c r="AM255" t="e">
        <f t="shared" si="42"/>
        <v>#N/A</v>
      </c>
      <c r="AN255" t="e">
        <f t="shared" ca="1" si="43"/>
        <v>#N/A</v>
      </c>
    </row>
    <row r="256" spans="1:40" x14ac:dyDescent="0.3">
      <c r="A256" s="87">
        <v>255</v>
      </c>
      <c r="B256" t="str">
        <f>IFERROR(INDEX('Mock Database'!$D$3:$D$152,MATCH($A256,'Mock Database'!$C$3:$C$152,0)),"")</f>
        <v/>
      </c>
      <c r="C256" s="88" t="str">
        <f>IFERROR(INDEX('Mock Database'!$I$3:$I$152,MATCH($A256,'Mock Database'!$C$3:$C$152,0)),"")</f>
        <v/>
      </c>
      <c r="D256" s="89" t="str">
        <f ca="1">IF(ISNA(MATCH($A256,'Mock Database'!$C$3:$C$152,0)),"",IF(ISBLANK(OFFSET('Mock Database'!$M$2,MATCH($A256,'Mock Database'!$C$3:$C$152,0),0)),"",INDEX('Mock Database'!$M$3:$M$152,MATCH($A256,'Mock Database'!$C$3:$C$152,0))))</f>
        <v/>
      </c>
      <c r="E256" s="22" t="str">
        <f ca="1">IF(ISNA(MATCH($A256,'Mock Database'!$C$3:$C$152,0)),"",IF(ISBLANK(OFFSET('Mock Database'!$N$2,MATCH($A256,'Mock Database'!$C$3:$C$152,0),0)),"",INDEX('Mock Database'!$N$3:$N$152,MATCH($A256,'Mock Database'!$C$3:$C$152,0))))</f>
        <v/>
      </c>
      <c r="F256" s="89" t="str">
        <f ca="1">IF(ISNA(MATCH($A256,'Mock Database'!$C$3:$C$152,0)),"",IF(ISBLANK(OFFSET('Mock Database'!$S$2,MATCH($A256,'Mock Database'!$C$3:$C$152,0),0)),"",INDEX('Mock Database'!$S$3:$S$152,MATCH($A256,'Mock Database'!$C$3:$C$152,0))))</f>
        <v/>
      </c>
      <c r="G256" s="22" t="str">
        <f ca="1">IF(ISNA(MATCH($A256,'Mock Database'!$C$3:$C$152,0)),"",IF(ISBLANK(OFFSET('Mock Database'!$T$2,MATCH($A256,'Mock Database'!$C$3:$C$152,0),0)),"",INDEX('Mock Database'!$T$3:$T$152,MATCH($A256,'Mock Database'!$C$3:$C$152,0))))</f>
        <v/>
      </c>
      <c r="H256" s="89" t="str">
        <f ca="1">IF(ISNA(MATCH($A256,'Mock Database'!$C$3:$C$152,0)),"",IF(ISBLANK(OFFSET('Mock Database'!$Y$2,MATCH($A256,'Mock Database'!$C$3:$C$152,0),0)),"",INDEX('Mock Database'!$Y$3:$Y$152,MATCH($A256,'Mock Database'!$C$3:$C$152,0))))</f>
        <v/>
      </c>
      <c r="I256" s="22" t="str">
        <f ca="1">IF(ISNA(MATCH($A256,'Mock Database'!$C$3:$C$152,0)),"",IF(ISBLANK(OFFSET('Mock Database'!$Z$2,MATCH($A256,'Mock Database'!$C$3:$C$152,0),0)),"",INDEX('Mock Database'!$Z$3:$Z$152,MATCH($A256,'Mock Database'!$C$3:$C$152,0))))</f>
        <v/>
      </c>
      <c r="J256" s="89" t="str">
        <f ca="1">IF(ISNA(MATCH($A256,'Mock Database'!$C$3:$C$152,0)),"",IF(ISBLANK(OFFSET('Mock Database'!$AE$2,MATCH($A256,'Mock Database'!$C$3:$C$152,0),0)),"",INDEX('Mock Database'!$AE$3:$AE$152,MATCH($A256,'Mock Database'!$C$3:$C$152,0))))</f>
        <v/>
      </c>
      <c r="K256" s="22" t="str">
        <f ca="1">IF(ISNA(MATCH($A256,'Mock Database'!$C$3:$C$152,0)),"",IF(ISBLANK(OFFSET('Mock Database'!$AF$2,MATCH($A256,'Mock Database'!$C$3:$C$152,0),0)),"",INDEX('Mock Database'!$AF$3:$AF$152,MATCH($A256,'Mock Database'!$C$3:$C$152,0))))</f>
        <v/>
      </c>
      <c r="N256" t="e">
        <f t="shared" si="33"/>
        <v>#N/A</v>
      </c>
      <c r="O256" s="89" t="e">
        <f t="shared" ca="1" si="34"/>
        <v>#N/A</v>
      </c>
      <c r="P256" s="22" t="e">
        <f t="shared" ca="1" si="35"/>
        <v>#N/A</v>
      </c>
      <c r="Q256" s="89" t="e">
        <f t="shared" ca="1" si="36"/>
        <v>#N/A</v>
      </c>
      <c r="R256" s="22" t="e">
        <f t="shared" ca="1" si="37"/>
        <v>#N/A</v>
      </c>
      <c r="S256" s="89" t="e">
        <f t="shared" ca="1" si="38"/>
        <v>#N/A</v>
      </c>
      <c r="T256" s="22" t="e">
        <f t="shared" ca="1" si="39"/>
        <v>#N/A</v>
      </c>
      <c r="U256" s="89" t="e">
        <f t="shared" ca="1" si="40"/>
        <v>#N/A</v>
      </c>
      <c r="V256" s="22" t="e">
        <f t="shared" ca="1" si="41"/>
        <v>#N/A</v>
      </c>
      <c r="AM256" t="e">
        <f t="shared" si="42"/>
        <v>#N/A</v>
      </c>
      <c r="AN256" t="e">
        <f t="shared" ca="1" si="43"/>
        <v>#N/A</v>
      </c>
    </row>
    <row r="257" spans="1:40" x14ac:dyDescent="0.3">
      <c r="A257" s="87">
        <v>256</v>
      </c>
      <c r="B257" t="str">
        <f>IFERROR(INDEX('Mock Database'!$D$3:$D$152,MATCH($A257,'Mock Database'!$C$3:$C$152,0)),"")</f>
        <v/>
      </c>
      <c r="C257" s="88" t="str">
        <f>IFERROR(INDEX('Mock Database'!$I$3:$I$152,MATCH($A257,'Mock Database'!$C$3:$C$152,0)),"")</f>
        <v/>
      </c>
      <c r="D257" s="89" t="str">
        <f ca="1">IF(ISNA(MATCH($A257,'Mock Database'!$C$3:$C$152,0)),"",IF(ISBLANK(OFFSET('Mock Database'!$M$2,MATCH($A257,'Mock Database'!$C$3:$C$152,0),0)),"",INDEX('Mock Database'!$M$3:$M$152,MATCH($A257,'Mock Database'!$C$3:$C$152,0))))</f>
        <v/>
      </c>
      <c r="E257" s="22" t="str">
        <f ca="1">IF(ISNA(MATCH($A257,'Mock Database'!$C$3:$C$152,0)),"",IF(ISBLANK(OFFSET('Mock Database'!$N$2,MATCH($A257,'Mock Database'!$C$3:$C$152,0),0)),"",INDEX('Mock Database'!$N$3:$N$152,MATCH($A257,'Mock Database'!$C$3:$C$152,0))))</f>
        <v/>
      </c>
      <c r="F257" s="89" t="str">
        <f ca="1">IF(ISNA(MATCH($A257,'Mock Database'!$C$3:$C$152,0)),"",IF(ISBLANK(OFFSET('Mock Database'!$S$2,MATCH($A257,'Mock Database'!$C$3:$C$152,0),0)),"",INDEX('Mock Database'!$S$3:$S$152,MATCH($A257,'Mock Database'!$C$3:$C$152,0))))</f>
        <v/>
      </c>
      <c r="G257" s="22" t="str">
        <f ca="1">IF(ISNA(MATCH($A257,'Mock Database'!$C$3:$C$152,0)),"",IF(ISBLANK(OFFSET('Mock Database'!$T$2,MATCH($A257,'Mock Database'!$C$3:$C$152,0),0)),"",INDEX('Mock Database'!$T$3:$T$152,MATCH($A257,'Mock Database'!$C$3:$C$152,0))))</f>
        <v/>
      </c>
      <c r="H257" s="89" t="str">
        <f ca="1">IF(ISNA(MATCH($A257,'Mock Database'!$C$3:$C$152,0)),"",IF(ISBLANK(OFFSET('Mock Database'!$Y$2,MATCH($A257,'Mock Database'!$C$3:$C$152,0),0)),"",INDEX('Mock Database'!$Y$3:$Y$152,MATCH($A257,'Mock Database'!$C$3:$C$152,0))))</f>
        <v/>
      </c>
      <c r="I257" s="22" t="str">
        <f ca="1">IF(ISNA(MATCH($A257,'Mock Database'!$C$3:$C$152,0)),"",IF(ISBLANK(OFFSET('Mock Database'!$Z$2,MATCH($A257,'Mock Database'!$C$3:$C$152,0),0)),"",INDEX('Mock Database'!$Z$3:$Z$152,MATCH($A257,'Mock Database'!$C$3:$C$152,0))))</f>
        <v/>
      </c>
      <c r="J257" s="89" t="str">
        <f ca="1">IF(ISNA(MATCH($A257,'Mock Database'!$C$3:$C$152,0)),"",IF(ISBLANK(OFFSET('Mock Database'!$AE$2,MATCH($A257,'Mock Database'!$C$3:$C$152,0),0)),"",INDEX('Mock Database'!$AE$3:$AE$152,MATCH($A257,'Mock Database'!$C$3:$C$152,0))))</f>
        <v/>
      </c>
      <c r="K257" s="22" t="str">
        <f ca="1">IF(ISNA(MATCH($A257,'Mock Database'!$C$3:$C$152,0)),"",IF(ISBLANK(OFFSET('Mock Database'!$AF$2,MATCH($A257,'Mock Database'!$C$3:$C$152,0),0)),"",INDEX('Mock Database'!$AF$3:$AF$152,MATCH($A257,'Mock Database'!$C$3:$C$152,0))))</f>
        <v/>
      </c>
      <c r="N257" t="e">
        <f t="shared" si="33"/>
        <v>#N/A</v>
      </c>
      <c r="O257" s="89" t="e">
        <f t="shared" ca="1" si="34"/>
        <v>#N/A</v>
      </c>
      <c r="P257" s="22" t="e">
        <f t="shared" ca="1" si="35"/>
        <v>#N/A</v>
      </c>
      <c r="Q257" s="89" t="e">
        <f t="shared" ca="1" si="36"/>
        <v>#N/A</v>
      </c>
      <c r="R257" s="22" t="e">
        <f t="shared" ca="1" si="37"/>
        <v>#N/A</v>
      </c>
      <c r="S257" s="89" t="e">
        <f t="shared" ca="1" si="38"/>
        <v>#N/A</v>
      </c>
      <c r="T257" s="22" t="e">
        <f t="shared" ca="1" si="39"/>
        <v>#N/A</v>
      </c>
      <c r="U257" s="89" t="e">
        <f t="shared" ca="1" si="40"/>
        <v>#N/A</v>
      </c>
      <c r="V257" s="22" t="e">
        <f t="shared" ca="1" si="41"/>
        <v>#N/A</v>
      </c>
      <c r="AM257" t="e">
        <f t="shared" si="42"/>
        <v>#N/A</v>
      </c>
      <c r="AN257" t="e">
        <f t="shared" ca="1" si="43"/>
        <v>#N/A</v>
      </c>
    </row>
    <row r="258" spans="1:40" x14ac:dyDescent="0.3">
      <c r="A258" s="87">
        <v>257</v>
      </c>
      <c r="B258" t="str">
        <f>IFERROR(INDEX('Mock Database'!$D$3:$D$152,MATCH($A258,'Mock Database'!$C$3:$C$152,0)),"")</f>
        <v/>
      </c>
      <c r="C258" s="88" t="str">
        <f>IFERROR(INDEX('Mock Database'!$I$3:$I$152,MATCH($A258,'Mock Database'!$C$3:$C$152,0)),"")</f>
        <v/>
      </c>
      <c r="D258" s="89" t="str">
        <f ca="1">IF(ISNA(MATCH($A258,'Mock Database'!$C$3:$C$152,0)),"",IF(ISBLANK(OFFSET('Mock Database'!$M$2,MATCH($A258,'Mock Database'!$C$3:$C$152,0),0)),"",INDEX('Mock Database'!$M$3:$M$152,MATCH($A258,'Mock Database'!$C$3:$C$152,0))))</f>
        <v/>
      </c>
      <c r="E258" s="22" t="str">
        <f ca="1">IF(ISNA(MATCH($A258,'Mock Database'!$C$3:$C$152,0)),"",IF(ISBLANK(OFFSET('Mock Database'!$N$2,MATCH($A258,'Mock Database'!$C$3:$C$152,0),0)),"",INDEX('Mock Database'!$N$3:$N$152,MATCH($A258,'Mock Database'!$C$3:$C$152,0))))</f>
        <v/>
      </c>
      <c r="F258" s="89" t="str">
        <f ca="1">IF(ISNA(MATCH($A258,'Mock Database'!$C$3:$C$152,0)),"",IF(ISBLANK(OFFSET('Mock Database'!$S$2,MATCH($A258,'Mock Database'!$C$3:$C$152,0),0)),"",INDEX('Mock Database'!$S$3:$S$152,MATCH($A258,'Mock Database'!$C$3:$C$152,0))))</f>
        <v/>
      </c>
      <c r="G258" s="22" t="str">
        <f ca="1">IF(ISNA(MATCH($A258,'Mock Database'!$C$3:$C$152,0)),"",IF(ISBLANK(OFFSET('Mock Database'!$T$2,MATCH($A258,'Mock Database'!$C$3:$C$152,0),0)),"",INDEX('Mock Database'!$T$3:$T$152,MATCH($A258,'Mock Database'!$C$3:$C$152,0))))</f>
        <v/>
      </c>
      <c r="H258" s="89" t="str">
        <f ca="1">IF(ISNA(MATCH($A258,'Mock Database'!$C$3:$C$152,0)),"",IF(ISBLANK(OFFSET('Mock Database'!$Y$2,MATCH($A258,'Mock Database'!$C$3:$C$152,0),0)),"",INDEX('Mock Database'!$Y$3:$Y$152,MATCH($A258,'Mock Database'!$C$3:$C$152,0))))</f>
        <v/>
      </c>
      <c r="I258" s="22" t="str">
        <f ca="1">IF(ISNA(MATCH($A258,'Mock Database'!$C$3:$C$152,0)),"",IF(ISBLANK(OFFSET('Mock Database'!$Z$2,MATCH($A258,'Mock Database'!$C$3:$C$152,0),0)),"",INDEX('Mock Database'!$Z$3:$Z$152,MATCH($A258,'Mock Database'!$C$3:$C$152,0))))</f>
        <v/>
      </c>
      <c r="J258" s="89" t="str">
        <f ca="1">IF(ISNA(MATCH($A258,'Mock Database'!$C$3:$C$152,0)),"",IF(ISBLANK(OFFSET('Mock Database'!$AE$2,MATCH($A258,'Mock Database'!$C$3:$C$152,0),0)),"",INDEX('Mock Database'!$AE$3:$AE$152,MATCH($A258,'Mock Database'!$C$3:$C$152,0))))</f>
        <v/>
      </c>
      <c r="K258" s="22" t="str">
        <f ca="1">IF(ISNA(MATCH($A258,'Mock Database'!$C$3:$C$152,0)),"",IF(ISBLANK(OFFSET('Mock Database'!$AF$2,MATCH($A258,'Mock Database'!$C$3:$C$152,0),0)),"",INDEX('Mock Database'!$AF$3:$AF$152,MATCH($A258,'Mock Database'!$C$3:$C$152,0))))</f>
        <v/>
      </c>
      <c r="N258" t="e">
        <f t="shared" si="33"/>
        <v>#N/A</v>
      </c>
      <c r="O258" s="89" t="e">
        <f t="shared" ca="1" si="34"/>
        <v>#N/A</v>
      </c>
      <c r="P258" s="22" t="e">
        <f t="shared" ca="1" si="35"/>
        <v>#N/A</v>
      </c>
      <c r="Q258" s="89" t="e">
        <f t="shared" ca="1" si="36"/>
        <v>#N/A</v>
      </c>
      <c r="R258" s="22" t="e">
        <f t="shared" ca="1" si="37"/>
        <v>#N/A</v>
      </c>
      <c r="S258" s="89" t="e">
        <f t="shared" ca="1" si="38"/>
        <v>#N/A</v>
      </c>
      <c r="T258" s="22" t="e">
        <f t="shared" ca="1" si="39"/>
        <v>#N/A</v>
      </c>
      <c r="U258" s="89" t="e">
        <f t="shared" ca="1" si="40"/>
        <v>#N/A</v>
      </c>
      <c r="V258" s="22" t="e">
        <f t="shared" ca="1" si="41"/>
        <v>#N/A</v>
      </c>
      <c r="AM258" t="e">
        <f t="shared" si="42"/>
        <v>#N/A</v>
      </c>
      <c r="AN258" t="e">
        <f t="shared" ca="1" si="43"/>
        <v>#N/A</v>
      </c>
    </row>
    <row r="259" spans="1:40" x14ac:dyDescent="0.3">
      <c r="A259" s="87">
        <v>258</v>
      </c>
      <c r="B259" t="str">
        <f>IFERROR(INDEX('Mock Database'!$D$3:$D$152,MATCH($A259,'Mock Database'!$C$3:$C$152,0)),"")</f>
        <v/>
      </c>
      <c r="C259" s="88" t="str">
        <f>IFERROR(INDEX('Mock Database'!$I$3:$I$152,MATCH($A259,'Mock Database'!$C$3:$C$152,0)),"")</f>
        <v/>
      </c>
      <c r="D259" s="89" t="str">
        <f ca="1">IF(ISNA(MATCH($A259,'Mock Database'!$C$3:$C$152,0)),"",IF(ISBLANK(OFFSET('Mock Database'!$M$2,MATCH($A259,'Mock Database'!$C$3:$C$152,0),0)),"",INDEX('Mock Database'!$M$3:$M$152,MATCH($A259,'Mock Database'!$C$3:$C$152,0))))</f>
        <v/>
      </c>
      <c r="E259" s="22" t="str">
        <f ca="1">IF(ISNA(MATCH($A259,'Mock Database'!$C$3:$C$152,0)),"",IF(ISBLANK(OFFSET('Mock Database'!$N$2,MATCH($A259,'Mock Database'!$C$3:$C$152,0),0)),"",INDEX('Mock Database'!$N$3:$N$152,MATCH($A259,'Mock Database'!$C$3:$C$152,0))))</f>
        <v/>
      </c>
      <c r="F259" s="89" t="str">
        <f ca="1">IF(ISNA(MATCH($A259,'Mock Database'!$C$3:$C$152,0)),"",IF(ISBLANK(OFFSET('Mock Database'!$S$2,MATCH($A259,'Mock Database'!$C$3:$C$152,0),0)),"",INDEX('Mock Database'!$S$3:$S$152,MATCH($A259,'Mock Database'!$C$3:$C$152,0))))</f>
        <v/>
      </c>
      <c r="G259" s="22" t="str">
        <f ca="1">IF(ISNA(MATCH($A259,'Mock Database'!$C$3:$C$152,0)),"",IF(ISBLANK(OFFSET('Mock Database'!$T$2,MATCH($A259,'Mock Database'!$C$3:$C$152,0),0)),"",INDEX('Mock Database'!$T$3:$T$152,MATCH($A259,'Mock Database'!$C$3:$C$152,0))))</f>
        <v/>
      </c>
      <c r="H259" s="89" t="str">
        <f ca="1">IF(ISNA(MATCH($A259,'Mock Database'!$C$3:$C$152,0)),"",IF(ISBLANK(OFFSET('Mock Database'!$Y$2,MATCH($A259,'Mock Database'!$C$3:$C$152,0),0)),"",INDEX('Mock Database'!$Y$3:$Y$152,MATCH($A259,'Mock Database'!$C$3:$C$152,0))))</f>
        <v/>
      </c>
      <c r="I259" s="22" t="str">
        <f ca="1">IF(ISNA(MATCH($A259,'Mock Database'!$C$3:$C$152,0)),"",IF(ISBLANK(OFFSET('Mock Database'!$Z$2,MATCH($A259,'Mock Database'!$C$3:$C$152,0),0)),"",INDEX('Mock Database'!$Z$3:$Z$152,MATCH($A259,'Mock Database'!$C$3:$C$152,0))))</f>
        <v/>
      </c>
      <c r="J259" s="89" t="str">
        <f ca="1">IF(ISNA(MATCH($A259,'Mock Database'!$C$3:$C$152,0)),"",IF(ISBLANK(OFFSET('Mock Database'!$AE$2,MATCH($A259,'Mock Database'!$C$3:$C$152,0),0)),"",INDEX('Mock Database'!$AE$3:$AE$152,MATCH($A259,'Mock Database'!$C$3:$C$152,0))))</f>
        <v/>
      </c>
      <c r="K259" s="22" t="str">
        <f ca="1">IF(ISNA(MATCH($A259,'Mock Database'!$C$3:$C$152,0)),"",IF(ISBLANK(OFFSET('Mock Database'!$AF$2,MATCH($A259,'Mock Database'!$C$3:$C$152,0),0)),"",INDEX('Mock Database'!$AF$3:$AF$152,MATCH($A259,'Mock Database'!$C$3:$C$152,0))))</f>
        <v/>
      </c>
      <c r="N259" t="e">
        <f t="shared" ref="N259:N322" si="44">IF($B259="",NA(),$B259)</f>
        <v>#N/A</v>
      </c>
      <c r="O259" s="89" t="e">
        <f t="shared" ref="O259:O322" ca="1" si="45">IF($D259="",NA(),$D259)</f>
        <v>#N/A</v>
      </c>
      <c r="P259" s="22" t="e">
        <f t="shared" ref="P259:P322" ca="1" si="46">IF($E259="",NA(),$E259)</f>
        <v>#N/A</v>
      </c>
      <c r="Q259" s="89" t="e">
        <f t="shared" ref="Q259:Q322" ca="1" si="47">IF($F259="",NA(),$F259)</f>
        <v>#N/A</v>
      </c>
      <c r="R259" s="22" t="e">
        <f t="shared" ref="R259:R322" ca="1" si="48">IF($G259="",NA(),$G259)</f>
        <v>#N/A</v>
      </c>
      <c r="S259" s="89" t="e">
        <f t="shared" ref="S259:S322" ca="1" si="49">IF($H259="",NA(),$H259)</f>
        <v>#N/A</v>
      </c>
      <c r="T259" s="22" t="e">
        <f t="shared" ref="T259:T322" ca="1" si="50">IF($I259="",NA(),$I259)</f>
        <v>#N/A</v>
      </c>
      <c r="U259" s="89" t="e">
        <f t="shared" ref="U259:U322" ca="1" si="51">IF($J259="",NA(),$J259)</f>
        <v>#N/A</v>
      </c>
      <c r="V259" s="22" t="e">
        <f t="shared" ref="V259:V322" ca="1" si="52">IF($K259="",NA(),$K259)</f>
        <v>#N/A</v>
      </c>
      <c r="AM259" t="e">
        <f t="shared" ref="AM259:AM322" si="53">IF($B259="",NA(),$A259)</f>
        <v>#N/A</v>
      </c>
      <c r="AN259" t="e">
        <f t="shared" ref="AN259:AN322" ca="1" si="54">$U259</f>
        <v>#N/A</v>
      </c>
    </row>
    <row r="260" spans="1:40" x14ac:dyDescent="0.3">
      <c r="A260" s="87">
        <v>259</v>
      </c>
      <c r="B260" t="str">
        <f>IFERROR(INDEX('Mock Database'!$D$3:$D$152,MATCH($A260,'Mock Database'!$C$3:$C$152,0)),"")</f>
        <v/>
      </c>
      <c r="C260" s="88" t="str">
        <f>IFERROR(INDEX('Mock Database'!$I$3:$I$152,MATCH($A260,'Mock Database'!$C$3:$C$152,0)),"")</f>
        <v/>
      </c>
      <c r="D260" s="89" t="str">
        <f ca="1">IF(ISNA(MATCH($A260,'Mock Database'!$C$3:$C$152,0)),"",IF(ISBLANK(OFFSET('Mock Database'!$M$2,MATCH($A260,'Mock Database'!$C$3:$C$152,0),0)),"",INDEX('Mock Database'!$M$3:$M$152,MATCH($A260,'Mock Database'!$C$3:$C$152,0))))</f>
        <v/>
      </c>
      <c r="E260" s="22" t="str">
        <f ca="1">IF(ISNA(MATCH($A260,'Mock Database'!$C$3:$C$152,0)),"",IF(ISBLANK(OFFSET('Mock Database'!$N$2,MATCH($A260,'Mock Database'!$C$3:$C$152,0),0)),"",INDEX('Mock Database'!$N$3:$N$152,MATCH($A260,'Mock Database'!$C$3:$C$152,0))))</f>
        <v/>
      </c>
      <c r="F260" s="89" t="str">
        <f ca="1">IF(ISNA(MATCH($A260,'Mock Database'!$C$3:$C$152,0)),"",IF(ISBLANK(OFFSET('Mock Database'!$S$2,MATCH($A260,'Mock Database'!$C$3:$C$152,0),0)),"",INDEX('Mock Database'!$S$3:$S$152,MATCH($A260,'Mock Database'!$C$3:$C$152,0))))</f>
        <v/>
      </c>
      <c r="G260" s="22" t="str">
        <f ca="1">IF(ISNA(MATCH($A260,'Mock Database'!$C$3:$C$152,0)),"",IF(ISBLANK(OFFSET('Mock Database'!$T$2,MATCH($A260,'Mock Database'!$C$3:$C$152,0),0)),"",INDEX('Mock Database'!$T$3:$T$152,MATCH($A260,'Mock Database'!$C$3:$C$152,0))))</f>
        <v/>
      </c>
      <c r="H260" s="89" t="str">
        <f ca="1">IF(ISNA(MATCH($A260,'Mock Database'!$C$3:$C$152,0)),"",IF(ISBLANK(OFFSET('Mock Database'!$Y$2,MATCH($A260,'Mock Database'!$C$3:$C$152,0),0)),"",INDEX('Mock Database'!$Y$3:$Y$152,MATCH($A260,'Mock Database'!$C$3:$C$152,0))))</f>
        <v/>
      </c>
      <c r="I260" s="22" t="str">
        <f ca="1">IF(ISNA(MATCH($A260,'Mock Database'!$C$3:$C$152,0)),"",IF(ISBLANK(OFFSET('Mock Database'!$Z$2,MATCH($A260,'Mock Database'!$C$3:$C$152,0),0)),"",INDEX('Mock Database'!$Z$3:$Z$152,MATCH($A260,'Mock Database'!$C$3:$C$152,0))))</f>
        <v/>
      </c>
      <c r="J260" s="89" t="str">
        <f ca="1">IF(ISNA(MATCH($A260,'Mock Database'!$C$3:$C$152,0)),"",IF(ISBLANK(OFFSET('Mock Database'!$AE$2,MATCH($A260,'Mock Database'!$C$3:$C$152,0),0)),"",INDEX('Mock Database'!$AE$3:$AE$152,MATCH($A260,'Mock Database'!$C$3:$C$152,0))))</f>
        <v/>
      </c>
      <c r="K260" s="22" t="str">
        <f ca="1">IF(ISNA(MATCH($A260,'Mock Database'!$C$3:$C$152,0)),"",IF(ISBLANK(OFFSET('Mock Database'!$AF$2,MATCH($A260,'Mock Database'!$C$3:$C$152,0),0)),"",INDEX('Mock Database'!$AF$3:$AF$152,MATCH($A260,'Mock Database'!$C$3:$C$152,0))))</f>
        <v/>
      </c>
      <c r="N260" t="e">
        <f t="shared" si="44"/>
        <v>#N/A</v>
      </c>
      <c r="O260" s="89" t="e">
        <f t="shared" ca="1" si="45"/>
        <v>#N/A</v>
      </c>
      <c r="P260" s="22" t="e">
        <f t="shared" ca="1" si="46"/>
        <v>#N/A</v>
      </c>
      <c r="Q260" s="89" t="e">
        <f t="shared" ca="1" si="47"/>
        <v>#N/A</v>
      </c>
      <c r="R260" s="22" t="e">
        <f t="shared" ca="1" si="48"/>
        <v>#N/A</v>
      </c>
      <c r="S260" s="89" t="e">
        <f t="shared" ca="1" si="49"/>
        <v>#N/A</v>
      </c>
      <c r="T260" s="22" t="e">
        <f t="shared" ca="1" si="50"/>
        <v>#N/A</v>
      </c>
      <c r="U260" s="89" t="e">
        <f t="shared" ca="1" si="51"/>
        <v>#N/A</v>
      </c>
      <c r="V260" s="22" t="e">
        <f t="shared" ca="1" si="52"/>
        <v>#N/A</v>
      </c>
      <c r="AM260" t="e">
        <f t="shared" si="53"/>
        <v>#N/A</v>
      </c>
      <c r="AN260" t="e">
        <f t="shared" ca="1" si="54"/>
        <v>#N/A</v>
      </c>
    </row>
    <row r="261" spans="1:40" x14ac:dyDescent="0.3">
      <c r="A261" s="87">
        <v>260</v>
      </c>
      <c r="B261" t="str">
        <f>IFERROR(INDEX('Mock Database'!$D$3:$D$152,MATCH($A261,'Mock Database'!$C$3:$C$152,0)),"")</f>
        <v/>
      </c>
      <c r="C261" s="88" t="str">
        <f>IFERROR(INDEX('Mock Database'!$I$3:$I$152,MATCH($A261,'Mock Database'!$C$3:$C$152,0)),"")</f>
        <v/>
      </c>
      <c r="D261" s="89" t="str">
        <f ca="1">IF(ISNA(MATCH($A261,'Mock Database'!$C$3:$C$152,0)),"",IF(ISBLANK(OFFSET('Mock Database'!$M$2,MATCH($A261,'Mock Database'!$C$3:$C$152,0),0)),"",INDEX('Mock Database'!$M$3:$M$152,MATCH($A261,'Mock Database'!$C$3:$C$152,0))))</f>
        <v/>
      </c>
      <c r="E261" s="22" t="str">
        <f ca="1">IF(ISNA(MATCH($A261,'Mock Database'!$C$3:$C$152,0)),"",IF(ISBLANK(OFFSET('Mock Database'!$N$2,MATCH($A261,'Mock Database'!$C$3:$C$152,0),0)),"",INDEX('Mock Database'!$N$3:$N$152,MATCH($A261,'Mock Database'!$C$3:$C$152,0))))</f>
        <v/>
      </c>
      <c r="F261" s="89" t="str">
        <f ca="1">IF(ISNA(MATCH($A261,'Mock Database'!$C$3:$C$152,0)),"",IF(ISBLANK(OFFSET('Mock Database'!$S$2,MATCH($A261,'Mock Database'!$C$3:$C$152,0),0)),"",INDEX('Mock Database'!$S$3:$S$152,MATCH($A261,'Mock Database'!$C$3:$C$152,0))))</f>
        <v/>
      </c>
      <c r="G261" s="22" t="str">
        <f ca="1">IF(ISNA(MATCH($A261,'Mock Database'!$C$3:$C$152,0)),"",IF(ISBLANK(OFFSET('Mock Database'!$T$2,MATCH($A261,'Mock Database'!$C$3:$C$152,0),0)),"",INDEX('Mock Database'!$T$3:$T$152,MATCH($A261,'Mock Database'!$C$3:$C$152,0))))</f>
        <v/>
      </c>
      <c r="H261" s="89" t="str">
        <f ca="1">IF(ISNA(MATCH($A261,'Mock Database'!$C$3:$C$152,0)),"",IF(ISBLANK(OFFSET('Mock Database'!$Y$2,MATCH($A261,'Mock Database'!$C$3:$C$152,0),0)),"",INDEX('Mock Database'!$Y$3:$Y$152,MATCH($A261,'Mock Database'!$C$3:$C$152,0))))</f>
        <v/>
      </c>
      <c r="I261" s="22" t="str">
        <f ca="1">IF(ISNA(MATCH($A261,'Mock Database'!$C$3:$C$152,0)),"",IF(ISBLANK(OFFSET('Mock Database'!$Z$2,MATCH($A261,'Mock Database'!$C$3:$C$152,0),0)),"",INDEX('Mock Database'!$Z$3:$Z$152,MATCH($A261,'Mock Database'!$C$3:$C$152,0))))</f>
        <v/>
      </c>
      <c r="J261" s="89" t="str">
        <f ca="1">IF(ISNA(MATCH($A261,'Mock Database'!$C$3:$C$152,0)),"",IF(ISBLANK(OFFSET('Mock Database'!$AE$2,MATCH($A261,'Mock Database'!$C$3:$C$152,0),0)),"",INDEX('Mock Database'!$AE$3:$AE$152,MATCH($A261,'Mock Database'!$C$3:$C$152,0))))</f>
        <v/>
      </c>
      <c r="K261" s="22" t="str">
        <f ca="1">IF(ISNA(MATCH($A261,'Mock Database'!$C$3:$C$152,0)),"",IF(ISBLANK(OFFSET('Mock Database'!$AF$2,MATCH($A261,'Mock Database'!$C$3:$C$152,0),0)),"",INDEX('Mock Database'!$AF$3:$AF$152,MATCH($A261,'Mock Database'!$C$3:$C$152,0))))</f>
        <v/>
      </c>
      <c r="N261" t="e">
        <f t="shared" si="44"/>
        <v>#N/A</v>
      </c>
      <c r="O261" s="89" t="e">
        <f t="shared" ca="1" si="45"/>
        <v>#N/A</v>
      </c>
      <c r="P261" s="22" t="e">
        <f t="shared" ca="1" si="46"/>
        <v>#N/A</v>
      </c>
      <c r="Q261" s="89" t="e">
        <f t="shared" ca="1" si="47"/>
        <v>#N/A</v>
      </c>
      <c r="R261" s="22" t="e">
        <f t="shared" ca="1" si="48"/>
        <v>#N/A</v>
      </c>
      <c r="S261" s="89" t="e">
        <f t="shared" ca="1" si="49"/>
        <v>#N/A</v>
      </c>
      <c r="T261" s="22" t="e">
        <f t="shared" ca="1" si="50"/>
        <v>#N/A</v>
      </c>
      <c r="U261" s="89" t="e">
        <f t="shared" ca="1" si="51"/>
        <v>#N/A</v>
      </c>
      <c r="V261" s="22" t="e">
        <f t="shared" ca="1" si="52"/>
        <v>#N/A</v>
      </c>
      <c r="AM261" t="e">
        <f t="shared" si="53"/>
        <v>#N/A</v>
      </c>
      <c r="AN261" t="e">
        <f t="shared" ca="1" si="54"/>
        <v>#N/A</v>
      </c>
    </row>
    <row r="262" spans="1:40" x14ac:dyDescent="0.3">
      <c r="A262" s="87">
        <v>261</v>
      </c>
      <c r="B262" t="str">
        <f>IFERROR(INDEX('Mock Database'!$D$3:$D$152,MATCH($A262,'Mock Database'!$C$3:$C$152,0)),"")</f>
        <v/>
      </c>
      <c r="C262" s="88" t="str">
        <f>IFERROR(INDEX('Mock Database'!$I$3:$I$152,MATCH($A262,'Mock Database'!$C$3:$C$152,0)),"")</f>
        <v/>
      </c>
      <c r="D262" s="89" t="str">
        <f ca="1">IF(ISNA(MATCH($A262,'Mock Database'!$C$3:$C$152,0)),"",IF(ISBLANK(OFFSET('Mock Database'!$M$2,MATCH($A262,'Mock Database'!$C$3:$C$152,0),0)),"",INDEX('Mock Database'!$M$3:$M$152,MATCH($A262,'Mock Database'!$C$3:$C$152,0))))</f>
        <v/>
      </c>
      <c r="E262" s="22" t="str">
        <f ca="1">IF(ISNA(MATCH($A262,'Mock Database'!$C$3:$C$152,0)),"",IF(ISBLANK(OFFSET('Mock Database'!$N$2,MATCH($A262,'Mock Database'!$C$3:$C$152,0),0)),"",INDEX('Mock Database'!$N$3:$N$152,MATCH($A262,'Mock Database'!$C$3:$C$152,0))))</f>
        <v/>
      </c>
      <c r="F262" s="89" t="str">
        <f ca="1">IF(ISNA(MATCH($A262,'Mock Database'!$C$3:$C$152,0)),"",IF(ISBLANK(OFFSET('Mock Database'!$S$2,MATCH($A262,'Mock Database'!$C$3:$C$152,0),0)),"",INDEX('Mock Database'!$S$3:$S$152,MATCH($A262,'Mock Database'!$C$3:$C$152,0))))</f>
        <v/>
      </c>
      <c r="G262" s="22" t="str">
        <f ca="1">IF(ISNA(MATCH($A262,'Mock Database'!$C$3:$C$152,0)),"",IF(ISBLANK(OFFSET('Mock Database'!$T$2,MATCH($A262,'Mock Database'!$C$3:$C$152,0),0)),"",INDEX('Mock Database'!$T$3:$T$152,MATCH($A262,'Mock Database'!$C$3:$C$152,0))))</f>
        <v/>
      </c>
      <c r="H262" s="89" t="str">
        <f ca="1">IF(ISNA(MATCH($A262,'Mock Database'!$C$3:$C$152,0)),"",IF(ISBLANK(OFFSET('Mock Database'!$Y$2,MATCH($A262,'Mock Database'!$C$3:$C$152,0),0)),"",INDEX('Mock Database'!$Y$3:$Y$152,MATCH($A262,'Mock Database'!$C$3:$C$152,0))))</f>
        <v/>
      </c>
      <c r="I262" s="22" t="str">
        <f ca="1">IF(ISNA(MATCH($A262,'Mock Database'!$C$3:$C$152,0)),"",IF(ISBLANK(OFFSET('Mock Database'!$Z$2,MATCH($A262,'Mock Database'!$C$3:$C$152,0),0)),"",INDEX('Mock Database'!$Z$3:$Z$152,MATCH($A262,'Mock Database'!$C$3:$C$152,0))))</f>
        <v/>
      </c>
      <c r="J262" s="89" t="str">
        <f ca="1">IF(ISNA(MATCH($A262,'Mock Database'!$C$3:$C$152,0)),"",IF(ISBLANK(OFFSET('Mock Database'!$AE$2,MATCH($A262,'Mock Database'!$C$3:$C$152,0),0)),"",INDEX('Mock Database'!$AE$3:$AE$152,MATCH($A262,'Mock Database'!$C$3:$C$152,0))))</f>
        <v/>
      </c>
      <c r="K262" s="22" t="str">
        <f ca="1">IF(ISNA(MATCH($A262,'Mock Database'!$C$3:$C$152,0)),"",IF(ISBLANK(OFFSET('Mock Database'!$AF$2,MATCH($A262,'Mock Database'!$C$3:$C$152,0),0)),"",INDEX('Mock Database'!$AF$3:$AF$152,MATCH($A262,'Mock Database'!$C$3:$C$152,0))))</f>
        <v/>
      </c>
      <c r="N262" t="e">
        <f t="shared" si="44"/>
        <v>#N/A</v>
      </c>
      <c r="O262" s="89" t="e">
        <f t="shared" ca="1" si="45"/>
        <v>#N/A</v>
      </c>
      <c r="P262" s="22" t="e">
        <f t="shared" ca="1" si="46"/>
        <v>#N/A</v>
      </c>
      <c r="Q262" s="89" t="e">
        <f t="shared" ca="1" si="47"/>
        <v>#N/A</v>
      </c>
      <c r="R262" s="22" t="e">
        <f t="shared" ca="1" si="48"/>
        <v>#N/A</v>
      </c>
      <c r="S262" s="89" t="e">
        <f t="shared" ca="1" si="49"/>
        <v>#N/A</v>
      </c>
      <c r="T262" s="22" t="e">
        <f t="shared" ca="1" si="50"/>
        <v>#N/A</v>
      </c>
      <c r="U262" s="89" t="e">
        <f t="shared" ca="1" si="51"/>
        <v>#N/A</v>
      </c>
      <c r="V262" s="22" t="e">
        <f t="shared" ca="1" si="52"/>
        <v>#N/A</v>
      </c>
      <c r="AM262" t="e">
        <f t="shared" si="53"/>
        <v>#N/A</v>
      </c>
      <c r="AN262" t="e">
        <f t="shared" ca="1" si="54"/>
        <v>#N/A</v>
      </c>
    </row>
    <row r="263" spans="1:40" x14ac:dyDescent="0.3">
      <c r="A263" s="87">
        <v>262</v>
      </c>
      <c r="B263" t="str">
        <f>IFERROR(INDEX('Mock Database'!$D$3:$D$152,MATCH($A263,'Mock Database'!$C$3:$C$152,0)),"")</f>
        <v/>
      </c>
      <c r="C263" s="88" t="str">
        <f>IFERROR(INDEX('Mock Database'!$I$3:$I$152,MATCH($A263,'Mock Database'!$C$3:$C$152,0)),"")</f>
        <v/>
      </c>
      <c r="D263" s="89" t="str">
        <f ca="1">IF(ISNA(MATCH($A263,'Mock Database'!$C$3:$C$152,0)),"",IF(ISBLANK(OFFSET('Mock Database'!$M$2,MATCH($A263,'Mock Database'!$C$3:$C$152,0),0)),"",INDEX('Mock Database'!$M$3:$M$152,MATCH($A263,'Mock Database'!$C$3:$C$152,0))))</f>
        <v/>
      </c>
      <c r="E263" s="22" t="str">
        <f ca="1">IF(ISNA(MATCH($A263,'Mock Database'!$C$3:$C$152,0)),"",IF(ISBLANK(OFFSET('Mock Database'!$N$2,MATCH($A263,'Mock Database'!$C$3:$C$152,0),0)),"",INDEX('Mock Database'!$N$3:$N$152,MATCH($A263,'Mock Database'!$C$3:$C$152,0))))</f>
        <v/>
      </c>
      <c r="F263" s="89" t="str">
        <f ca="1">IF(ISNA(MATCH($A263,'Mock Database'!$C$3:$C$152,0)),"",IF(ISBLANK(OFFSET('Mock Database'!$S$2,MATCH($A263,'Mock Database'!$C$3:$C$152,0),0)),"",INDEX('Mock Database'!$S$3:$S$152,MATCH($A263,'Mock Database'!$C$3:$C$152,0))))</f>
        <v/>
      </c>
      <c r="G263" s="22" t="str">
        <f ca="1">IF(ISNA(MATCH($A263,'Mock Database'!$C$3:$C$152,0)),"",IF(ISBLANK(OFFSET('Mock Database'!$T$2,MATCH($A263,'Mock Database'!$C$3:$C$152,0),0)),"",INDEX('Mock Database'!$T$3:$T$152,MATCH($A263,'Mock Database'!$C$3:$C$152,0))))</f>
        <v/>
      </c>
      <c r="H263" s="89" t="str">
        <f ca="1">IF(ISNA(MATCH($A263,'Mock Database'!$C$3:$C$152,0)),"",IF(ISBLANK(OFFSET('Mock Database'!$Y$2,MATCH($A263,'Mock Database'!$C$3:$C$152,0),0)),"",INDEX('Mock Database'!$Y$3:$Y$152,MATCH($A263,'Mock Database'!$C$3:$C$152,0))))</f>
        <v/>
      </c>
      <c r="I263" s="22" t="str">
        <f ca="1">IF(ISNA(MATCH($A263,'Mock Database'!$C$3:$C$152,0)),"",IF(ISBLANK(OFFSET('Mock Database'!$Z$2,MATCH($A263,'Mock Database'!$C$3:$C$152,0),0)),"",INDEX('Mock Database'!$Z$3:$Z$152,MATCH($A263,'Mock Database'!$C$3:$C$152,0))))</f>
        <v/>
      </c>
      <c r="J263" s="89" t="str">
        <f ca="1">IF(ISNA(MATCH($A263,'Mock Database'!$C$3:$C$152,0)),"",IF(ISBLANK(OFFSET('Mock Database'!$AE$2,MATCH($A263,'Mock Database'!$C$3:$C$152,0),0)),"",INDEX('Mock Database'!$AE$3:$AE$152,MATCH($A263,'Mock Database'!$C$3:$C$152,0))))</f>
        <v/>
      </c>
      <c r="K263" s="22" t="str">
        <f ca="1">IF(ISNA(MATCH($A263,'Mock Database'!$C$3:$C$152,0)),"",IF(ISBLANK(OFFSET('Mock Database'!$AF$2,MATCH($A263,'Mock Database'!$C$3:$C$152,0),0)),"",INDEX('Mock Database'!$AF$3:$AF$152,MATCH($A263,'Mock Database'!$C$3:$C$152,0))))</f>
        <v/>
      </c>
      <c r="N263" t="e">
        <f t="shared" si="44"/>
        <v>#N/A</v>
      </c>
      <c r="O263" s="89" t="e">
        <f t="shared" ca="1" si="45"/>
        <v>#N/A</v>
      </c>
      <c r="P263" s="22" t="e">
        <f t="shared" ca="1" si="46"/>
        <v>#N/A</v>
      </c>
      <c r="Q263" s="89" t="e">
        <f t="shared" ca="1" si="47"/>
        <v>#N/A</v>
      </c>
      <c r="R263" s="22" t="e">
        <f t="shared" ca="1" si="48"/>
        <v>#N/A</v>
      </c>
      <c r="S263" s="89" t="e">
        <f t="shared" ca="1" si="49"/>
        <v>#N/A</v>
      </c>
      <c r="T263" s="22" t="e">
        <f t="shared" ca="1" si="50"/>
        <v>#N/A</v>
      </c>
      <c r="U263" s="89" t="e">
        <f t="shared" ca="1" si="51"/>
        <v>#N/A</v>
      </c>
      <c r="V263" s="22" t="e">
        <f t="shared" ca="1" si="52"/>
        <v>#N/A</v>
      </c>
      <c r="AM263" t="e">
        <f t="shared" si="53"/>
        <v>#N/A</v>
      </c>
      <c r="AN263" t="e">
        <f t="shared" ca="1" si="54"/>
        <v>#N/A</v>
      </c>
    </row>
    <row r="264" spans="1:40" x14ac:dyDescent="0.3">
      <c r="A264" s="87">
        <v>263</v>
      </c>
      <c r="B264" t="str">
        <f>IFERROR(INDEX('Mock Database'!$D$3:$D$152,MATCH($A264,'Mock Database'!$C$3:$C$152,0)),"")</f>
        <v/>
      </c>
      <c r="C264" s="88" t="str">
        <f>IFERROR(INDEX('Mock Database'!$I$3:$I$152,MATCH($A264,'Mock Database'!$C$3:$C$152,0)),"")</f>
        <v/>
      </c>
      <c r="D264" s="89" t="str">
        <f ca="1">IF(ISNA(MATCH($A264,'Mock Database'!$C$3:$C$152,0)),"",IF(ISBLANK(OFFSET('Mock Database'!$M$2,MATCH($A264,'Mock Database'!$C$3:$C$152,0),0)),"",INDEX('Mock Database'!$M$3:$M$152,MATCH($A264,'Mock Database'!$C$3:$C$152,0))))</f>
        <v/>
      </c>
      <c r="E264" s="22" t="str">
        <f ca="1">IF(ISNA(MATCH($A264,'Mock Database'!$C$3:$C$152,0)),"",IF(ISBLANK(OFFSET('Mock Database'!$N$2,MATCH($A264,'Mock Database'!$C$3:$C$152,0),0)),"",INDEX('Mock Database'!$N$3:$N$152,MATCH($A264,'Mock Database'!$C$3:$C$152,0))))</f>
        <v/>
      </c>
      <c r="F264" s="89" t="str">
        <f ca="1">IF(ISNA(MATCH($A264,'Mock Database'!$C$3:$C$152,0)),"",IF(ISBLANK(OFFSET('Mock Database'!$S$2,MATCH($A264,'Mock Database'!$C$3:$C$152,0),0)),"",INDEX('Mock Database'!$S$3:$S$152,MATCH($A264,'Mock Database'!$C$3:$C$152,0))))</f>
        <v/>
      </c>
      <c r="G264" s="22" t="str">
        <f ca="1">IF(ISNA(MATCH($A264,'Mock Database'!$C$3:$C$152,0)),"",IF(ISBLANK(OFFSET('Mock Database'!$T$2,MATCH($A264,'Mock Database'!$C$3:$C$152,0),0)),"",INDEX('Mock Database'!$T$3:$T$152,MATCH($A264,'Mock Database'!$C$3:$C$152,0))))</f>
        <v/>
      </c>
      <c r="H264" s="89" t="str">
        <f ca="1">IF(ISNA(MATCH($A264,'Mock Database'!$C$3:$C$152,0)),"",IF(ISBLANK(OFFSET('Mock Database'!$Y$2,MATCH($A264,'Mock Database'!$C$3:$C$152,0),0)),"",INDEX('Mock Database'!$Y$3:$Y$152,MATCH($A264,'Mock Database'!$C$3:$C$152,0))))</f>
        <v/>
      </c>
      <c r="I264" s="22" t="str">
        <f ca="1">IF(ISNA(MATCH($A264,'Mock Database'!$C$3:$C$152,0)),"",IF(ISBLANK(OFFSET('Mock Database'!$Z$2,MATCH($A264,'Mock Database'!$C$3:$C$152,0),0)),"",INDEX('Mock Database'!$Z$3:$Z$152,MATCH($A264,'Mock Database'!$C$3:$C$152,0))))</f>
        <v/>
      </c>
      <c r="J264" s="89" t="str">
        <f ca="1">IF(ISNA(MATCH($A264,'Mock Database'!$C$3:$C$152,0)),"",IF(ISBLANK(OFFSET('Mock Database'!$AE$2,MATCH($A264,'Mock Database'!$C$3:$C$152,0),0)),"",INDEX('Mock Database'!$AE$3:$AE$152,MATCH($A264,'Mock Database'!$C$3:$C$152,0))))</f>
        <v/>
      </c>
      <c r="K264" s="22" t="str">
        <f ca="1">IF(ISNA(MATCH($A264,'Mock Database'!$C$3:$C$152,0)),"",IF(ISBLANK(OFFSET('Mock Database'!$AF$2,MATCH($A264,'Mock Database'!$C$3:$C$152,0),0)),"",INDEX('Mock Database'!$AF$3:$AF$152,MATCH($A264,'Mock Database'!$C$3:$C$152,0))))</f>
        <v/>
      </c>
      <c r="N264" t="e">
        <f t="shared" si="44"/>
        <v>#N/A</v>
      </c>
      <c r="O264" s="89" t="e">
        <f t="shared" ca="1" si="45"/>
        <v>#N/A</v>
      </c>
      <c r="P264" s="22" t="e">
        <f t="shared" ca="1" si="46"/>
        <v>#N/A</v>
      </c>
      <c r="Q264" s="89" t="e">
        <f t="shared" ca="1" si="47"/>
        <v>#N/A</v>
      </c>
      <c r="R264" s="22" t="e">
        <f t="shared" ca="1" si="48"/>
        <v>#N/A</v>
      </c>
      <c r="S264" s="89" t="e">
        <f t="shared" ca="1" si="49"/>
        <v>#N/A</v>
      </c>
      <c r="T264" s="22" t="e">
        <f t="shared" ca="1" si="50"/>
        <v>#N/A</v>
      </c>
      <c r="U264" s="89" t="e">
        <f t="shared" ca="1" si="51"/>
        <v>#N/A</v>
      </c>
      <c r="V264" s="22" t="e">
        <f t="shared" ca="1" si="52"/>
        <v>#N/A</v>
      </c>
      <c r="AM264" t="e">
        <f t="shared" si="53"/>
        <v>#N/A</v>
      </c>
      <c r="AN264" t="e">
        <f t="shared" ca="1" si="54"/>
        <v>#N/A</v>
      </c>
    </row>
    <row r="265" spans="1:40" x14ac:dyDescent="0.3">
      <c r="A265" s="87">
        <v>264</v>
      </c>
      <c r="B265" t="str">
        <f>IFERROR(INDEX('Mock Database'!$D$3:$D$152,MATCH($A265,'Mock Database'!$C$3:$C$152,0)),"")</f>
        <v/>
      </c>
      <c r="C265" s="88" t="str">
        <f>IFERROR(INDEX('Mock Database'!$I$3:$I$152,MATCH($A265,'Mock Database'!$C$3:$C$152,0)),"")</f>
        <v/>
      </c>
      <c r="D265" s="89" t="str">
        <f ca="1">IF(ISNA(MATCH($A265,'Mock Database'!$C$3:$C$152,0)),"",IF(ISBLANK(OFFSET('Mock Database'!$M$2,MATCH($A265,'Mock Database'!$C$3:$C$152,0),0)),"",INDEX('Mock Database'!$M$3:$M$152,MATCH($A265,'Mock Database'!$C$3:$C$152,0))))</f>
        <v/>
      </c>
      <c r="E265" s="22" t="str">
        <f ca="1">IF(ISNA(MATCH($A265,'Mock Database'!$C$3:$C$152,0)),"",IF(ISBLANK(OFFSET('Mock Database'!$N$2,MATCH($A265,'Mock Database'!$C$3:$C$152,0),0)),"",INDEX('Mock Database'!$N$3:$N$152,MATCH($A265,'Mock Database'!$C$3:$C$152,0))))</f>
        <v/>
      </c>
      <c r="F265" s="89" t="str">
        <f ca="1">IF(ISNA(MATCH($A265,'Mock Database'!$C$3:$C$152,0)),"",IF(ISBLANK(OFFSET('Mock Database'!$S$2,MATCH($A265,'Mock Database'!$C$3:$C$152,0),0)),"",INDEX('Mock Database'!$S$3:$S$152,MATCH($A265,'Mock Database'!$C$3:$C$152,0))))</f>
        <v/>
      </c>
      <c r="G265" s="22" t="str">
        <f ca="1">IF(ISNA(MATCH($A265,'Mock Database'!$C$3:$C$152,0)),"",IF(ISBLANK(OFFSET('Mock Database'!$T$2,MATCH($A265,'Mock Database'!$C$3:$C$152,0),0)),"",INDEX('Mock Database'!$T$3:$T$152,MATCH($A265,'Mock Database'!$C$3:$C$152,0))))</f>
        <v/>
      </c>
      <c r="H265" s="89" t="str">
        <f ca="1">IF(ISNA(MATCH($A265,'Mock Database'!$C$3:$C$152,0)),"",IF(ISBLANK(OFFSET('Mock Database'!$Y$2,MATCH($A265,'Mock Database'!$C$3:$C$152,0),0)),"",INDEX('Mock Database'!$Y$3:$Y$152,MATCH($A265,'Mock Database'!$C$3:$C$152,0))))</f>
        <v/>
      </c>
      <c r="I265" s="22" t="str">
        <f ca="1">IF(ISNA(MATCH($A265,'Mock Database'!$C$3:$C$152,0)),"",IF(ISBLANK(OFFSET('Mock Database'!$Z$2,MATCH($A265,'Mock Database'!$C$3:$C$152,0),0)),"",INDEX('Mock Database'!$Z$3:$Z$152,MATCH($A265,'Mock Database'!$C$3:$C$152,0))))</f>
        <v/>
      </c>
      <c r="J265" s="89" t="str">
        <f ca="1">IF(ISNA(MATCH($A265,'Mock Database'!$C$3:$C$152,0)),"",IF(ISBLANK(OFFSET('Mock Database'!$AE$2,MATCH($A265,'Mock Database'!$C$3:$C$152,0),0)),"",INDEX('Mock Database'!$AE$3:$AE$152,MATCH($A265,'Mock Database'!$C$3:$C$152,0))))</f>
        <v/>
      </c>
      <c r="K265" s="22" t="str">
        <f ca="1">IF(ISNA(MATCH($A265,'Mock Database'!$C$3:$C$152,0)),"",IF(ISBLANK(OFFSET('Mock Database'!$AF$2,MATCH($A265,'Mock Database'!$C$3:$C$152,0),0)),"",INDEX('Mock Database'!$AF$3:$AF$152,MATCH($A265,'Mock Database'!$C$3:$C$152,0))))</f>
        <v/>
      </c>
      <c r="N265" t="e">
        <f t="shared" si="44"/>
        <v>#N/A</v>
      </c>
      <c r="O265" s="89" t="e">
        <f t="shared" ca="1" si="45"/>
        <v>#N/A</v>
      </c>
      <c r="P265" s="22" t="e">
        <f t="shared" ca="1" si="46"/>
        <v>#N/A</v>
      </c>
      <c r="Q265" s="89" t="e">
        <f t="shared" ca="1" si="47"/>
        <v>#N/A</v>
      </c>
      <c r="R265" s="22" t="e">
        <f t="shared" ca="1" si="48"/>
        <v>#N/A</v>
      </c>
      <c r="S265" s="89" t="e">
        <f t="shared" ca="1" si="49"/>
        <v>#N/A</v>
      </c>
      <c r="T265" s="22" t="e">
        <f t="shared" ca="1" si="50"/>
        <v>#N/A</v>
      </c>
      <c r="U265" s="89" t="e">
        <f t="shared" ca="1" si="51"/>
        <v>#N/A</v>
      </c>
      <c r="V265" s="22" t="e">
        <f t="shared" ca="1" si="52"/>
        <v>#N/A</v>
      </c>
      <c r="AM265" t="e">
        <f t="shared" si="53"/>
        <v>#N/A</v>
      </c>
      <c r="AN265" t="e">
        <f t="shared" ca="1" si="54"/>
        <v>#N/A</v>
      </c>
    </row>
    <row r="266" spans="1:40" x14ac:dyDescent="0.3">
      <c r="A266" s="87">
        <v>265</v>
      </c>
      <c r="B266" t="str">
        <f>IFERROR(INDEX('Mock Database'!$D$3:$D$152,MATCH($A266,'Mock Database'!$C$3:$C$152,0)),"")</f>
        <v/>
      </c>
      <c r="C266" s="88" t="str">
        <f>IFERROR(INDEX('Mock Database'!$I$3:$I$152,MATCH($A266,'Mock Database'!$C$3:$C$152,0)),"")</f>
        <v/>
      </c>
      <c r="D266" s="89" t="str">
        <f ca="1">IF(ISNA(MATCH($A266,'Mock Database'!$C$3:$C$152,0)),"",IF(ISBLANK(OFFSET('Mock Database'!$M$2,MATCH($A266,'Mock Database'!$C$3:$C$152,0),0)),"",INDEX('Mock Database'!$M$3:$M$152,MATCH($A266,'Mock Database'!$C$3:$C$152,0))))</f>
        <v/>
      </c>
      <c r="E266" s="22" t="str">
        <f ca="1">IF(ISNA(MATCH($A266,'Mock Database'!$C$3:$C$152,0)),"",IF(ISBLANK(OFFSET('Mock Database'!$N$2,MATCH($A266,'Mock Database'!$C$3:$C$152,0),0)),"",INDEX('Mock Database'!$N$3:$N$152,MATCH($A266,'Mock Database'!$C$3:$C$152,0))))</f>
        <v/>
      </c>
      <c r="F266" s="89" t="str">
        <f ca="1">IF(ISNA(MATCH($A266,'Mock Database'!$C$3:$C$152,0)),"",IF(ISBLANK(OFFSET('Mock Database'!$S$2,MATCH($A266,'Mock Database'!$C$3:$C$152,0),0)),"",INDEX('Mock Database'!$S$3:$S$152,MATCH($A266,'Mock Database'!$C$3:$C$152,0))))</f>
        <v/>
      </c>
      <c r="G266" s="22" t="str">
        <f ca="1">IF(ISNA(MATCH($A266,'Mock Database'!$C$3:$C$152,0)),"",IF(ISBLANK(OFFSET('Mock Database'!$T$2,MATCH($A266,'Mock Database'!$C$3:$C$152,0),0)),"",INDEX('Mock Database'!$T$3:$T$152,MATCH($A266,'Mock Database'!$C$3:$C$152,0))))</f>
        <v/>
      </c>
      <c r="H266" s="89" t="str">
        <f ca="1">IF(ISNA(MATCH($A266,'Mock Database'!$C$3:$C$152,0)),"",IF(ISBLANK(OFFSET('Mock Database'!$Y$2,MATCH($A266,'Mock Database'!$C$3:$C$152,0),0)),"",INDEX('Mock Database'!$Y$3:$Y$152,MATCH($A266,'Mock Database'!$C$3:$C$152,0))))</f>
        <v/>
      </c>
      <c r="I266" s="22" t="str">
        <f ca="1">IF(ISNA(MATCH($A266,'Mock Database'!$C$3:$C$152,0)),"",IF(ISBLANK(OFFSET('Mock Database'!$Z$2,MATCH($A266,'Mock Database'!$C$3:$C$152,0),0)),"",INDEX('Mock Database'!$Z$3:$Z$152,MATCH($A266,'Mock Database'!$C$3:$C$152,0))))</f>
        <v/>
      </c>
      <c r="J266" s="89" t="str">
        <f ca="1">IF(ISNA(MATCH($A266,'Mock Database'!$C$3:$C$152,0)),"",IF(ISBLANK(OFFSET('Mock Database'!$AE$2,MATCH($A266,'Mock Database'!$C$3:$C$152,0),0)),"",INDEX('Mock Database'!$AE$3:$AE$152,MATCH($A266,'Mock Database'!$C$3:$C$152,0))))</f>
        <v/>
      </c>
      <c r="K266" s="22" t="str">
        <f ca="1">IF(ISNA(MATCH($A266,'Mock Database'!$C$3:$C$152,0)),"",IF(ISBLANK(OFFSET('Mock Database'!$AF$2,MATCH($A266,'Mock Database'!$C$3:$C$152,0),0)),"",INDEX('Mock Database'!$AF$3:$AF$152,MATCH($A266,'Mock Database'!$C$3:$C$152,0))))</f>
        <v/>
      </c>
      <c r="N266" t="e">
        <f t="shared" si="44"/>
        <v>#N/A</v>
      </c>
      <c r="O266" s="89" t="e">
        <f t="shared" ca="1" si="45"/>
        <v>#N/A</v>
      </c>
      <c r="P266" s="22" t="e">
        <f t="shared" ca="1" si="46"/>
        <v>#N/A</v>
      </c>
      <c r="Q266" s="89" t="e">
        <f t="shared" ca="1" si="47"/>
        <v>#N/A</v>
      </c>
      <c r="R266" s="22" t="e">
        <f t="shared" ca="1" si="48"/>
        <v>#N/A</v>
      </c>
      <c r="S266" s="89" t="e">
        <f t="shared" ca="1" si="49"/>
        <v>#N/A</v>
      </c>
      <c r="T266" s="22" t="e">
        <f t="shared" ca="1" si="50"/>
        <v>#N/A</v>
      </c>
      <c r="U266" s="89" t="e">
        <f t="shared" ca="1" si="51"/>
        <v>#N/A</v>
      </c>
      <c r="V266" s="22" t="e">
        <f t="shared" ca="1" si="52"/>
        <v>#N/A</v>
      </c>
      <c r="AM266" t="e">
        <f t="shared" si="53"/>
        <v>#N/A</v>
      </c>
      <c r="AN266" t="e">
        <f t="shared" ca="1" si="54"/>
        <v>#N/A</v>
      </c>
    </row>
    <row r="267" spans="1:40" x14ac:dyDescent="0.3">
      <c r="A267" s="87">
        <v>266</v>
      </c>
      <c r="B267" t="str">
        <f>IFERROR(INDEX('Mock Database'!$D$3:$D$152,MATCH($A267,'Mock Database'!$C$3:$C$152,0)),"")</f>
        <v/>
      </c>
      <c r="C267" s="88" t="str">
        <f>IFERROR(INDEX('Mock Database'!$I$3:$I$152,MATCH($A267,'Mock Database'!$C$3:$C$152,0)),"")</f>
        <v/>
      </c>
      <c r="D267" s="89" t="str">
        <f ca="1">IF(ISNA(MATCH($A267,'Mock Database'!$C$3:$C$152,0)),"",IF(ISBLANK(OFFSET('Mock Database'!$M$2,MATCH($A267,'Mock Database'!$C$3:$C$152,0),0)),"",INDEX('Mock Database'!$M$3:$M$152,MATCH($A267,'Mock Database'!$C$3:$C$152,0))))</f>
        <v/>
      </c>
      <c r="E267" s="22" t="str">
        <f ca="1">IF(ISNA(MATCH($A267,'Mock Database'!$C$3:$C$152,0)),"",IF(ISBLANK(OFFSET('Mock Database'!$N$2,MATCH($A267,'Mock Database'!$C$3:$C$152,0),0)),"",INDEX('Mock Database'!$N$3:$N$152,MATCH($A267,'Mock Database'!$C$3:$C$152,0))))</f>
        <v/>
      </c>
      <c r="F267" s="89" t="str">
        <f ca="1">IF(ISNA(MATCH($A267,'Mock Database'!$C$3:$C$152,0)),"",IF(ISBLANK(OFFSET('Mock Database'!$S$2,MATCH($A267,'Mock Database'!$C$3:$C$152,0),0)),"",INDEX('Mock Database'!$S$3:$S$152,MATCH($A267,'Mock Database'!$C$3:$C$152,0))))</f>
        <v/>
      </c>
      <c r="G267" s="22" t="str">
        <f ca="1">IF(ISNA(MATCH($A267,'Mock Database'!$C$3:$C$152,0)),"",IF(ISBLANK(OFFSET('Mock Database'!$T$2,MATCH($A267,'Mock Database'!$C$3:$C$152,0),0)),"",INDEX('Mock Database'!$T$3:$T$152,MATCH($A267,'Mock Database'!$C$3:$C$152,0))))</f>
        <v/>
      </c>
      <c r="H267" s="89" t="str">
        <f ca="1">IF(ISNA(MATCH($A267,'Mock Database'!$C$3:$C$152,0)),"",IF(ISBLANK(OFFSET('Mock Database'!$Y$2,MATCH($A267,'Mock Database'!$C$3:$C$152,0),0)),"",INDEX('Mock Database'!$Y$3:$Y$152,MATCH($A267,'Mock Database'!$C$3:$C$152,0))))</f>
        <v/>
      </c>
      <c r="I267" s="22" t="str">
        <f ca="1">IF(ISNA(MATCH($A267,'Mock Database'!$C$3:$C$152,0)),"",IF(ISBLANK(OFFSET('Mock Database'!$Z$2,MATCH($A267,'Mock Database'!$C$3:$C$152,0),0)),"",INDEX('Mock Database'!$Z$3:$Z$152,MATCH($A267,'Mock Database'!$C$3:$C$152,0))))</f>
        <v/>
      </c>
      <c r="J267" s="89" t="str">
        <f ca="1">IF(ISNA(MATCH($A267,'Mock Database'!$C$3:$C$152,0)),"",IF(ISBLANK(OFFSET('Mock Database'!$AE$2,MATCH($A267,'Mock Database'!$C$3:$C$152,0),0)),"",INDEX('Mock Database'!$AE$3:$AE$152,MATCH($A267,'Mock Database'!$C$3:$C$152,0))))</f>
        <v/>
      </c>
      <c r="K267" s="22" t="str">
        <f ca="1">IF(ISNA(MATCH($A267,'Mock Database'!$C$3:$C$152,0)),"",IF(ISBLANK(OFFSET('Mock Database'!$AF$2,MATCH($A267,'Mock Database'!$C$3:$C$152,0),0)),"",INDEX('Mock Database'!$AF$3:$AF$152,MATCH($A267,'Mock Database'!$C$3:$C$152,0))))</f>
        <v/>
      </c>
      <c r="N267" t="e">
        <f t="shared" si="44"/>
        <v>#N/A</v>
      </c>
      <c r="O267" s="89" t="e">
        <f t="shared" ca="1" si="45"/>
        <v>#N/A</v>
      </c>
      <c r="P267" s="22" t="e">
        <f t="shared" ca="1" si="46"/>
        <v>#N/A</v>
      </c>
      <c r="Q267" s="89" t="e">
        <f t="shared" ca="1" si="47"/>
        <v>#N/A</v>
      </c>
      <c r="R267" s="22" t="e">
        <f t="shared" ca="1" si="48"/>
        <v>#N/A</v>
      </c>
      <c r="S267" s="89" t="e">
        <f t="shared" ca="1" si="49"/>
        <v>#N/A</v>
      </c>
      <c r="T267" s="22" t="e">
        <f t="shared" ca="1" si="50"/>
        <v>#N/A</v>
      </c>
      <c r="U267" s="89" t="e">
        <f t="shared" ca="1" si="51"/>
        <v>#N/A</v>
      </c>
      <c r="V267" s="22" t="e">
        <f t="shared" ca="1" si="52"/>
        <v>#N/A</v>
      </c>
      <c r="AM267" t="e">
        <f t="shared" si="53"/>
        <v>#N/A</v>
      </c>
      <c r="AN267" t="e">
        <f t="shared" ca="1" si="54"/>
        <v>#N/A</v>
      </c>
    </row>
    <row r="268" spans="1:40" x14ac:dyDescent="0.3">
      <c r="A268" s="87">
        <v>267</v>
      </c>
      <c r="B268" t="str">
        <f>IFERROR(INDEX('Mock Database'!$D$3:$D$152,MATCH($A268,'Mock Database'!$C$3:$C$152,0)),"")</f>
        <v/>
      </c>
      <c r="C268" s="88" t="str">
        <f>IFERROR(INDEX('Mock Database'!$I$3:$I$152,MATCH($A268,'Mock Database'!$C$3:$C$152,0)),"")</f>
        <v/>
      </c>
      <c r="D268" s="89" t="str">
        <f ca="1">IF(ISNA(MATCH($A268,'Mock Database'!$C$3:$C$152,0)),"",IF(ISBLANK(OFFSET('Mock Database'!$M$2,MATCH($A268,'Mock Database'!$C$3:$C$152,0),0)),"",INDEX('Mock Database'!$M$3:$M$152,MATCH($A268,'Mock Database'!$C$3:$C$152,0))))</f>
        <v/>
      </c>
      <c r="E268" s="22" t="str">
        <f ca="1">IF(ISNA(MATCH($A268,'Mock Database'!$C$3:$C$152,0)),"",IF(ISBLANK(OFFSET('Mock Database'!$N$2,MATCH($A268,'Mock Database'!$C$3:$C$152,0),0)),"",INDEX('Mock Database'!$N$3:$N$152,MATCH($A268,'Mock Database'!$C$3:$C$152,0))))</f>
        <v/>
      </c>
      <c r="F268" s="89" t="str">
        <f ca="1">IF(ISNA(MATCH($A268,'Mock Database'!$C$3:$C$152,0)),"",IF(ISBLANK(OFFSET('Mock Database'!$S$2,MATCH($A268,'Mock Database'!$C$3:$C$152,0),0)),"",INDEX('Mock Database'!$S$3:$S$152,MATCH($A268,'Mock Database'!$C$3:$C$152,0))))</f>
        <v/>
      </c>
      <c r="G268" s="22" t="str">
        <f ca="1">IF(ISNA(MATCH($A268,'Mock Database'!$C$3:$C$152,0)),"",IF(ISBLANK(OFFSET('Mock Database'!$T$2,MATCH($A268,'Mock Database'!$C$3:$C$152,0),0)),"",INDEX('Mock Database'!$T$3:$T$152,MATCH($A268,'Mock Database'!$C$3:$C$152,0))))</f>
        <v/>
      </c>
      <c r="H268" s="89" t="str">
        <f ca="1">IF(ISNA(MATCH($A268,'Mock Database'!$C$3:$C$152,0)),"",IF(ISBLANK(OFFSET('Mock Database'!$Y$2,MATCH($A268,'Mock Database'!$C$3:$C$152,0),0)),"",INDEX('Mock Database'!$Y$3:$Y$152,MATCH($A268,'Mock Database'!$C$3:$C$152,0))))</f>
        <v/>
      </c>
      <c r="I268" s="22" t="str">
        <f ca="1">IF(ISNA(MATCH($A268,'Mock Database'!$C$3:$C$152,0)),"",IF(ISBLANK(OFFSET('Mock Database'!$Z$2,MATCH($A268,'Mock Database'!$C$3:$C$152,0),0)),"",INDEX('Mock Database'!$Z$3:$Z$152,MATCH($A268,'Mock Database'!$C$3:$C$152,0))))</f>
        <v/>
      </c>
      <c r="J268" s="89" t="str">
        <f ca="1">IF(ISNA(MATCH($A268,'Mock Database'!$C$3:$C$152,0)),"",IF(ISBLANK(OFFSET('Mock Database'!$AE$2,MATCH($A268,'Mock Database'!$C$3:$C$152,0),0)),"",INDEX('Mock Database'!$AE$3:$AE$152,MATCH($A268,'Mock Database'!$C$3:$C$152,0))))</f>
        <v/>
      </c>
      <c r="K268" s="22" t="str">
        <f ca="1">IF(ISNA(MATCH($A268,'Mock Database'!$C$3:$C$152,0)),"",IF(ISBLANK(OFFSET('Mock Database'!$AF$2,MATCH($A268,'Mock Database'!$C$3:$C$152,0),0)),"",INDEX('Mock Database'!$AF$3:$AF$152,MATCH($A268,'Mock Database'!$C$3:$C$152,0))))</f>
        <v/>
      </c>
      <c r="N268" t="e">
        <f t="shared" si="44"/>
        <v>#N/A</v>
      </c>
      <c r="O268" s="89" t="e">
        <f t="shared" ca="1" si="45"/>
        <v>#N/A</v>
      </c>
      <c r="P268" s="22" t="e">
        <f t="shared" ca="1" si="46"/>
        <v>#N/A</v>
      </c>
      <c r="Q268" s="89" t="e">
        <f t="shared" ca="1" si="47"/>
        <v>#N/A</v>
      </c>
      <c r="R268" s="22" t="e">
        <f t="shared" ca="1" si="48"/>
        <v>#N/A</v>
      </c>
      <c r="S268" s="89" t="e">
        <f t="shared" ca="1" si="49"/>
        <v>#N/A</v>
      </c>
      <c r="T268" s="22" t="e">
        <f t="shared" ca="1" si="50"/>
        <v>#N/A</v>
      </c>
      <c r="U268" s="89" t="e">
        <f t="shared" ca="1" si="51"/>
        <v>#N/A</v>
      </c>
      <c r="V268" s="22" t="e">
        <f t="shared" ca="1" si="52"/>
        <v>#N/A</v>
      </c>
      <c r="AM268" t="e">
        <f t="shared" si="53"/>
        <v>#N/A</v>
      </c>
      <c r="AN268" t="e">
        <f t="shared" ca="1" si="54"/>
        <v>#N/A</v>
      </c>
    </row>
    <row r="269" spans="1:40" x14ac:dyDescent="0.3">
      <c r="A269" s="87">
        <v>268</v>
      </c>
      <c r="B269" t="str">
        <f>IFERROR(INDEX('Mock Database'!$D$3:$D$152,MATCH($A269,'Mock Database'!$C$3:$C$152,0)),"")</f>
        <v/>
      </c>
      <c r="C269" s="88" t="str">
        <f>IFERROR(INDEX('Mock Database'!$I$3:$I$152,MATCH($A269,'Mock Database'!$C$3:$C$152,0)),"")</f>
        <v/>
      </c>
      <c r="D269" s="89" t="str">
        <f ca="1">IF(ISNA(MATCH($A269,'Mock Database'!$C$3:$C$152,0)),"",IF(ISBLANK(OFFSET('Mock Database'!$M$2,MATCH($A269,'Mock Database'!$C$3:$C$152,0),0)),"",INDEX('Mock Database'!$M$3:$M$152,MATCH($A269,'Mock Database'!$C$3:$C$152,0))))</f>
        <v/>
      </c>
      <c r="E269" s="22" t="str">
        <f ca="1">IF(ISNA(MATCH($A269,'Mock Database'!$C$3:$C$152,0)),"",IF(ISBLANK(OFFSET('Mock Database'!$N$2,MATCH($A269,'Mock Database'!$C$3:$C$152,0),0)),"",INDEX('Mock Database'!$N$3:$N$152,MATCH($A269,'Mock Database'!$C$3:$C$152,0))))</f>
        <v/>
      </c>
      <c r="F269" s="89" t="str">
        <f ca="1">IF(ISNA(MATCH($A269,'Mock Database'!$C$3:$C$152,0)),"",IF(ISBLANK(OFFSET('Mock Database'!$S$2,MATCH($A269,'Mock Database'!$C$3:$C$152,0),0)),"",INDEX('Mock Database'!$S$3:$S$152,MATCH($A269,'Mock Database'!$C$3:$C$152,0))))</f>
        <v/>
      </c>
      <c r="G269" s="22" t="str">
        <f ca="1">IF(ISNA(MATCH($A269,'Mock Database'!$C$3:$C$152,0)),"",IF(ISBLANK(OFFSET('Mock Database'!$T$2,MATCH($A269,'Mock Database'!$C$3:$C$152,0),0)),"",INDEX('Mock Database'!$T$3:$T$152,MATCH($A269,'Mock Database'!$C$3:$C$152,0))))</f>
        <v/>
      </c>
      <c r="H269" s="89" t="str">
        <f ca="1">IF(ISNA(MATCH($A269,'Mock Database'!$C$3:$C$152,0)),"",IF(ISBLANK(OFFSET('Mock Database'!$Y$2,MATCH($A269,'Mock Database'!$C$3:$C$152,0),0)),"",INDEX('Mock Database'!$Y$3:$Y$152,MATCH($A269,'Mock Database'!$C$3:$C$152,0))))</f>
        <v/>
      </c>
      <c r="I269" s="22" t="str">
        <f ca="1">IF(ISNA(MATCH($A269,'Mock Database'!$C$3:$C$152,0)),"",IF(ISBLANK(OFFSET('Mock Database'!$Z$2,MATCH($A269,'Mock Database'!$C$3:$C$152,0),0)),"",INDEX('Mock Database'!$Z$3:$Z$152,MATCH($A269,'Mock Database'!$C$3:$C$152,0))))</f>
        <v/>
      </c>
      <c r="J269" s="89" t="str">
        <f ca="1">IF(ISNA(MATCH($A269,'Mock Database'!$C$3:$C$152,0)),"",IF(ISBLANK(OFFSET('Mock Database'!$AE$2,MATCH($A269,'Mock Database'!$C$3:$C$152,0),0)),"",INDEX('Mock Database'!$AE$3:$AE$152,MATCH($A269,'Mock Database'!$C$3:$C$152,0))))</f>
        <v/>
      </c>
      <c r="K269" s="22" t="str">
        <f ca="1">IF(ISNA(MATCH($A269,'Mock Database'!$C$3:$C$152,0)),"",IF(ISBLANK(OFFSET('Mock Database'!$AF$2,MATCH($A269,'Mock Database'!$C$3:$C$152,0),0)),"",INDEX('Mock Database'!$AF$3:$AF$152,MATCH($A269,'Mock Database'!$C$3:$C$152,0))))</f>
        <v/>
      </c>
      <c r="N269" t="e">
        <f t="shared" si="44"/>
        <v>#N/A</v>
      </c>
      <c r="O269" s="89" t="e">
        <f t="shared" ca="1" si="45"/>
        <v>#N/A</v>
      </c>
      <c r="P269" s="22" t="e">
        <f t="shared" ca="1" si="46"/>
        <v>#N/A</v>
      </c>
      <c r="Q269" s="89" t="e">
        <f t="shared" ca="1" si="47"/>
        <v>#N/A</v>
      </c>
      <c r="R269" s="22" t="e">
        <f t="shared" ca="1" si="48"/>
        <v>#N/A</v>
      </c>
      <c r="S269" s="89" t="e">
        <f t="shared" ca="1" si="49"/>
        <v>#N/A</v>
      </c>
      <c r="T269" s="22" t="e">
        <f t="shared" ca="1" si="50"/>
        <v>#N/A</v>
      </c>
      <c r="U269" s="89" t="e">
        <f t="shared" ca="1" si="51"/>
        <v>#N/A</v>
      </c>
      <c r="V269" s="22" t="e">
        <f t="shared" ca="1" si="52"/>
        <v>#N/A</v>
      </c>
      <c r="AM269" t="e">
        <f t="shared" si="53"/>
        <v>#N/A</v>
      </c>
      <c r="AN269" t="e">
        <f t="shared" ca="1" si="54"/>
        <v>#N/A</v>
      </c>
    </row>
    <row r="270" spans="1:40" x14ac:dyDescent="0.3">
      <c r="A270" s="87">
        <v>269</v>
      </c>
      <c r="B270" t="str">
        <f>IFERROR(INDEX('Mock Database'!$D$3:$D$152,MATCH($A270,'Mock Database'!$C$3:$C$152,0)),"")</f>
        <v/>
      </c>
      <c r="C270" s="88" t="str">
        <f>IFERROR(INDEX('Mock Database'!$I$3:$I$152,MATCH($A270,'Mock Database'!$C$3:$C$152,0)),"")</f>
        <v/>
      </c>
      <c r="D270" s="89" t="str">
        <f ca="1">IF(ISNA(MATCH($A270,'Mock Database'!$C$3:$C$152,0)),"",IF(ISBLANK(OFFSET('Mock Database'!$M$2,MATCH($A270,'Mock Database'!$C$3:$C$152,0),0)),"",INDEX('Mock Database'!$M$3:$M$152,MATCH($A270,'Mock Database'!$C$3:$C$152,0))))</f>
        <v/>
      </c>
      <c r="E270" s="22" t="str">
        <f ca="1">IF(ISNA(MATCH($A270,'Mock Database'!$C$3:$C$152,0)),"",IF(ISBLANK(OFFSET('Mock Database'!$N$2,MATCH($A270,'Mock Database'!$C$3:$C$152,0),0)),"",INDEX('Mock Database'!$N$3:$N$152,MATCH($A270,'Mock Database'!$C$3:$C$152,0))))</f>
        <v/>
      </c>
      <c r="F270" s="89" t="str">
        <f ca="1">IF(ISNA(MATCH($A270,'Mock Database'!$C$3:$C$152,0)),"",IF(ISBLANK(OFFSET('Mock Database'!$S$2,MATCH($A270,'Mock Database'!$C$3:$C$152,0),0)),"",INDEX('Mock Database'!$S$3:$S$152,MATCH($A270,'Mock Database'!$C$3:$C$152,0))))</f>
        <v/>
      </c>
      <c r="G270" s="22" t="str">
        <f ca="1">IF(ISNA(MATCH($A270,'Mock Database'!$C$3:$C$152,0)),"",IF(ISBLANK(OFFSET('Mock Database'!$T$2,MATCH($A270,'Mock Database'!$C$3:$C$152,0),0)),"",INDEX('Mock Database'!$T$3:$T$152,MATCH($A270,'Mock Database'!$C$3:$C$152,0))))</f>
        <v/>
      </c>
      <c r="H270" s="89" t="str">
        <f ca="1">IF(ISNA(MATCH($A270,'Mock Database'!$C$3:$C$152,0)),"",IF(ISBLANK(OFFSET('Mock Database'!$Y$2,MATCH($A270,'Mock Database'!$C$3:$C$152,0),0)),"",INDEX('Mock Database'!$Y$3:$Y$152,MATCH($A270,'Mock Database'!$C$3:$C$152,0))))</f>
        <v/>
      </c>
      <c r="I270" s="22" t="str">
        <f ca="1">IF(ISNA(MATCH($A270,'Mock Database'!$C$3:$C$152,0)),"",IF(ISBLANK(OFFSET('Mock Database'!$Z$2,MATCH($A270,'Mock Database'!$C$3:$C$152,0),0)),"",INDEX('Mock Database'!$Z$3:$Z$152,MATCH($A270,'Mock Database'!$C$3:$C$152,0))))</f>
        <v/>
      </c>
      <c r="J270" s="89" t="str">
        <f ca="1">IF(ISNA(MATCH($A270,'Mock Database'!$C$3:$C$152,0)),"",IF(ISBLANK(OFFSET('Mock Database'!$AE$2,MATCH($A270,'Mock Database'!$C$3:$C$152,0),0)),"",INDEX('Mock Database'!$AE$3:$AE$152,MATCH($A270,'Mock Database'!$C$3:$C$152,0))))</f>
        <v/>
      </c>
      <c r="K270" s="22" t="str">
        <f ca="1">IF(ISNA(MATCH($A270,'Mock Database'!$C$3:$C$152,0)),"",IF(ISBLANK(OFFSET('Mock Database'!$AF$2,MATCH($A270,'Mock Database'!$C$3:$C$152,0),0)),"",INDEX('Mock Database'!$AF$3:$AF$152,MATCH($A270,'Mock Database'!$C$3:$C$152,0))))</f>
        <v/>
      </c>
      <c r="N270" t="e">
        <f t="shared" si="44"/>
        <v>#N/A</v>
      </c>
      <c r="O270" s="89" t="e">
        <f t="shared" ca="1" si="45"/>
        <v>#N/A</v>
      </c>
      <c r="P270" s="22" t="e">
        <f t="shared" ca="1" si="46"/>
        <v>#N/A</v>
      </c>
      <c r="Q270" s="89" t="e">
        <f t="shared" ca="1" si="47"/>
        <v>#N/A</v>
      </c>
      <c r="R270" s="22" t="e">
        <f t="shared" ca="1" si="48"/>
        <v>#N/A</v>
      </c>
      <c r="S270" s="89" t="e">
        <f t="shared" ca="1" si="49"/>
        <v>#N/A</v>
      </c>
      <c r="T270" s="22" t="e">
        <f t="shared" ca="1" si="50"/>
        <v>#N/A</v>
      </c>
      <c r="U270" s="89" t="e">
        <f t="shared" ca="1" si="51"/>
        <v>#N/A</v>
      </c>
      <c r="V270" s="22" t="e">
        <f t="shared" ca="1" si="52"/>
        <v>#N/A</v>
      </c>
      <c r="AM270" t="e">
        <f t="shared" si="53"/>
        <v>#N/A</v>
      </c>
      <c r="AN270" t="e">
        <f t="shared" ca="1" si="54"/>
        <v>#N/A</v>
      </c>
    </row>
    <row r="271" spans="1:40" x14ac:dyDescent="0.3">
      <c r="A271" s="87">
        <v>270</v>
      </c>
      <c r="B271" t="str">
        <f>IFERROR(INDEX('Mock Database'!$D$3:$D$152,MATCH($A271,'Mock Database'!$C$3:$C$152,0)),"")</f>
        <v/>
      </c>
      <c r="C271" s="88" t="str">
        <f>IFERROR(INDEX('Mock Database'!$I$3:$I$152,MATCH($A271,'Mock Database'!$C$3:$C$152,0)),"")</f>
        <v/>
      </c>
      <c r="D271" s="89" t="str">
        <f ca="1">IF(ISNA(MATCH($A271,'Mock Database'!$C$3:$C$152,0)),"",IF(ISBLANK(OFFSET('Mock Database'!$M$2,MATCH($A271,'Mock Database'!$C$3:$C$152,0),0)),"",INDEX('Mock Database'!$M$3:$M$152,MATCH($A271,'Mock Database'!$C$3:$C$152,0))))</f>
        <v/>
      </c>
      <c r="E271" s="22" t="str">
        <f ca="1">IF(ISNA(MATCH($A271,'Mock Database'!$C$3:$C$152,0)),"",IF(ISBLANK(OFFSET('Mock Database'!$N$2,MATCH($A271,'Mock Database'!$C$3:$C$152,0),0)),"",INDEX('Mock Database'!$N$3:$N$152,MATCH($A271,'Mock Database'!$C$3:$C$152,0))))</f>
        <v/>
      </c>
      <c r="F271" s="89" t="str">
        <f ca="1">IF(ISNA(MATCH($A271,'Mock Database'!$C$3:$C$152,0)),"",IF(ISBLANK(OFFSET('Mock Database'!$S$2,MATCH($A271,'Mock Database'!$C$3:$C$152,0),0)),"",INDEX('Mock Database'!$S$3:$S$152,MATCH($A271,'Mock Database'!$C$3:$C$152,0))))</f>
        <v/>
      </c>
      <c r="G271" s="22" t="str">
        <f ca="1">IF(ISNA(MATCH($A271,'Mock Database'!$C$3:$C$152,0)),"",IF(ISBLANK(OFFSET('Mock Database'!$T$2,MATCH($A271,'Mock Database'!$C$3:$C$152,0),0)),"",INDEX('Mock Database'!$T$3:$T$152,MATCH($A271,'Mock Database'!$C$3:$C$152,0))))</f>
        <v/>
      </c>
      <c r="H271" s="89" t="str">
        <f ca="1">IF(ISNA(MATCH($A271,'Mock Database'!$C$3:$C$152,0)),"",IF(ISBLANK(OFFSET('Mock Database'!$Y$2,MATCH($A271,'Mock Database'!$C$3:$C$152,0),0)),"",INDEX('Mock Database'!$Y$3:$Y$152,MATCH($A271,'Mock Database'!$C$3:$C$152,0))))</f>
        <v/>
      </c>
      <c r="I271" s="22" t="str">
        <f ca="1">IF(ISNA(MATCH($A271,'Mock Database'!$C$3:$C$152,0)),"",IF(ISBLANK(OFFSET('Mock Database'!$Z$2,MATCH($A271,'Mock Database'!$C$3:$C$152,0),0)),"",INDEX('Mock Database'!$Z$3:$Z$152,MATCH($A271,'Mock Database'!$C$3:$C$152,0))))</f>
        <v/>
      </c>
      <c r="J271" s="89" t="str">
        <f ca="1">IF(ISNA(MATCH($A271,'Mock Database'!$C$3:$C$152,0)),"",IF(ISBLANK(OFFSET('Mock Database'!$AE$2,MATCH($A271,'Mock Database'!$C$3:$C$152,0),0)),"",INDEX('Mock Database'!$AE$3:$AE$152,MATCH($A271,'Mock Database'!$C$3:$C$152,0))))</f>
        <v/>
      </c>
      <c r="K271" s="22" t="str">
        <f ca="1">IF(ISNA(MATCH($A271,'Mock Database'!$C$3:$C$152,0)),"",IF(ISBLANK(OFFSET('Mock Database'!$AF$2,MATCH($A271,'Mock Database'!$C$3:$C$152,0),0)),"",INDEX('Mock Database'!$AF$3:$AF$152,MATCH($A271,'Mock Database'!$C$3:$C$152,0))))</f>
        <v/>
      </c>
      <c r="N271" t="e">
        <f t="shared" si="44"/>
        <v>#N/A</v>
      </c>
      <c r="O271" s="89" t="e">
        <f t="shared" ca="1" si="45"/>
        <v>#N/A</v>
      </c>
      <c r="P271" s="22" t="e">
        <f t="shared" ca="1" si="46"/>
        <v>#N/A</v>
      </c>
      <c r="Q271" s="89" t="e">
        <f t="shared" ca="1" si="47"/>
        <v>#N/A</v>
      </c>
      <c r="R271" s="22" t="e">
        <f t="shared" ca="1" si="48"/>
        <v>#N/A</v>
      </c>
      <c r="S271" s="89" t="e">
        <f t="shared" ca="1" si="49"/>
        <v>#N/A</v>
      </c>
      <c r="T271" s="22" t="e">
        <f t="shared" ca="1" si="50"/>
        <v>#N/A</v>
      </c>
      <c r="U271" s="89" t="e">
        <f t="shared" ca="1" si="51"/>
        <v>#N/A</v>
      </c>
      <c r="V271" s="22" t="e">
        <f t="shared" ca="1" si="52"/>
        <v>#N/A</v>
      </c>
      <c r="AM271" t="e">
        <f t="shared" si="53"/>
        <v>#N/A</v>
      </c>
      <c r="AN271" t="e">
        <f t="shared" ca="1" si="54"/>
        <v>#N/A</v>
      </c>
    </row>
    <row r="272" spans="1:40" x14ac:dyDescent="0.3">
      <c r="A272" s="87">
        <v>271</v>
      </c>
      <c r="B272" t="str">
        <f>IFERROR(INDEX('Mock Database'!$D$3:$D$152,MATCH($A272,'Mock Database'!$C$3:$C$152,0)),"")</f>
        <v/>
      </c>
      <c r="C272" s="88" t="str">
        <f>IFERROR(INDEX('Mock Database'!$I$3:$I$152,MATCH($A272,'Mock Database'!$C$3:$C$152,0)),"")</f>
        <v/>
      </c>
      <c r="D272" s="89" t="str">
        <f ca="1">IF(ISNA(MATCH($A272,'Mock Database'!$C$3:$C$152,0)),"",IF(ISBLANK(OFFSET('Mock Database'!$M$2,MATCH($A272,'Mock Database'!$C$3:$C$152,0),0)),"",INDEX('Mock Database'!$M$3:$M$152,MATCH($A272,'Mock Database'!$C$3:$C$152,0))))</f>
        <v/>
      </c>
      <c r="E272" s="22" t="str">
        <f ca="1">IF(ISNA(MATCH($A272,'Mock Database'!$C$3:$C$152,0)),"",IF(ISBLANK(OFFSET('Mock Database'!$N$2,MATCH($A272,'Mock Database'!$C$3:$C$152,0),0)),"",INDEX('Mock Database'!$N$3:$N$152,MATCH($A272,'Mock Database'!$C$3:$C$152,0))))</f>
        <v/>
      </c>
      <c r="F272" s="89" t="str">
        <f ca="1">IF(ISNA(MATCH($A272,'Mock Database'!$C$3:$C$152,0)),"",IF(ISBLANK(OFFSET('Mock Database'!$S$2,MATCH($A272,'Mock Database'!$C$3:$C$152,0),0)),"",INDEX('Mock Database'!$S$3:$S$152,MATCH($A272,'Mock Database'!$C$3:$C$152,0))))</f>
        <v/>
      </c>
      <c r="G272" s="22" t="str">
        <f ca="1">IF(ISNA(MATCH($A272,'Mock Database'!$C$3:$C$152,0)),"",IF(ISBLANK(OFFSET('Mock Database'!$T$2,MATCH($A272,'Mock Database'!$C$3:$C$152,0),0)),"",INDEX('Mock Database'!$T$3:$T$152,MATCH($A272,'Mock Database'!$C$3:$C$152,0))))</f>
        <v/>
      </c>
      <c r="H272" s="89" t="str">
        <f ca="1">IF(ISNA(MATCH($A272,'Mock Database'!$C$3:$C$152,0)),"",IF(ISBLANK(OFFSET('Mock Database'!$Y$2,MATCH($A272,'Mock Database'!$C$3:$C$152,0),0)),"",INDEX('Mock Database'!$Y$3:$Y$152,MATCH($A272,'Mock Database'!$C$3:$C$152,0))))</f>
        <v/>
      </c>
      <c r="I272" s="22" t="str">
        <f ca="1">IF(ISNA(MATCH($A272,'Mock Database'!$C$3:$C$152,0)),"",IF(ISBLANK(OFFSET('Mock Database'!$Z$2,MATCH($A272,'Mock Database'!$C$3:$C$152,0),0)),"",INDEX('Mock Database'!$Z$3:$Z$152,MATCH($A272,'Mock Database'!$C$3:$C$152,0))))</f>
        <v/>
      </c>
      <c r="J272" s="89" t="str">
        <f ca="1">IF(ISNA(MATCH($A272,'Mock Database'!$C$3:$C$152,0)),"",IF(ISBLANK(OFFSET('Mock Database'!$AE$2,MATCH($A272,'Mock Database'!$C$3:$C$152,0),0)),"",INDEX('Mock Database'!$AE$3:$AE$152,MATCH($A272,'Mock Database'!$C$3:$C$152,0))))</f>
        <v/>
      </c>
      <c r="K272" s="22" t="str">
        <f ca="1">IF(ISNA(MATCH($A272,'Mock Database'!$C$3:$C$152,0)),"",IF(ISBLANK(OFFSET('Mock Database'!$AF$2,MATCH($A272,'Mock Database'!$C$3:$C$152,0),0)),"",INDEX('Mock Database'!$AF$3:$AF$152,MATCH($A272,'Mock Database'!$C$3:$C$152,0))))</f>
        <v/>
      </c>
      <c r="N272" t="e">
        <f t="shared" si="44"/>
        <v>#N/A</v>
      </c>
      <c r="O272" s="89" t="e">
        <f t="shared" ca="1" si="45"/>
        <v>#N/A</v>
      </c>
      <c r="P272" s="22" t="e">
        <f t="shared" ca="1" si="46"/>
        <v>#N/A</v>
      </c>
      <c r="Q272" s="89" t="e">
        <f t="shared" ca="1" si="47"/>
        <v>#N/A</v>
      </c>
      <c r="R272" s="22" t="e">
        <f t="shared" ca="1" si="48"/>
        <v>#N/A</v>
      </c>
      <c r="S272" s="89" t="e">
        <f t="shared" ca="1" si="49"/>
        <v>#N/A</v>
      </c>
      <c r="T272" s="22" t="e">
        <f t="shared" ca="1" si="50"/>
        <v>#N/A</v>
      </c>
      <c r="U272" s="89" t="e">
        <f t="shared" ca="1" si="51"/>
        <v>#N/A</v>
      </c>
      <c r="V272" s="22" t="e">
        <f t="shared" ca="1" si="52"/>
        <v>#N/A</v>
      </c>
      <c r="AM272" t="e">
        <f t="shared" si="53"/>
        <v>#N/A</v>
      </c>
      <c r="AN272" t="e">
        <f t="shared" ca="1" si="54"/>
        <v>#N/A</v>
      </c>
    </row>
    <row r="273" spans="1:40" x14ac:dyDescent="0.3">
      <c r="A273" s="87">
        <v>272</v>
      </c>
      <c r="B273" t="str">
        <f>IFERROR(INDEX('Mock Database'!$D$3:$D$152,MATCH($A273,'Mock Database'!$C$3:$C$152,0)),"")</f>
        <v/>
      </c>
      <c r="C273" s="88" t="str">
        <f>IFERROR(INDEX('Mock Database'!$I$3:$I$152,MATCH($A273,'Mock Database'!$C$3:$C$152,0)),"")</f>
        <v/>
      </c>
      <c r="D273" s="89" t="str">
        <f ca="1">IF(ISNA(MATCH($A273,'Mock Database'!$C$3:$C$152,0)),"",IF(ISBLANK(OFFSET('Mock Database'!$M$2,MATCH($A273,'Mock Database'!$C$3:$C$152,0),0)),"",INDEX('Mock Database'!$M$3:$M$152,MATCH($A273,'Mock Database'!$C$3:$C$152,0))))</f>
        <v/>
      </c>
      <c r="E273" s="22" t="str">
        <f ca="1">IF(ISNA(MATCH($A273,'Mock Database'!$C$3:$C$152,0)),"",IF(ISBLANK(OFFSET('Mock Database'!$N$2,MATCH($A273,'Mock Database'!$C$3:$C$152,0),0)),"",INDEX('Mock Database'!$N$3:$N$152,MATCH($A273,'Mock Database'!$C$3:$C$152,0))))</f>
        <v/>
      </c>
      <c r="F273" s="89" t="str">
        <f ca="1">IF(ISNA(MATCH($A273,'Mock Database'!$C$3:$C$152,0)),"",IF(ISBLANK(OFFSET('Mock Database'!$S$2,MATCH($A273,'Mock Database'!$C$3:$C$152,0),0)),"",INDEX('Mock Database'!$S$3:$S$152,MATCH($A273,'Mock Database'!$C$3:$C$152,0))))</f>
        <v/>
      </c>
      <c r="G273" s="22" t="str">
        <f ca="1">IF(ISNA(MATCH($A273,'Mock Database'!$C$3:$C$152,0)),"",IF(ISBLANK(OFFSET('Mock Database'!$T$2,MATCH($A273,'Mock Database'!$C$3:$C$152,0),0)),"",INDEX('Mock Database'!$T$3:$T$152,MATCH($A273,'Mock Database'!$C$3:$C$152,0))))</f>
        <v/>
      </c>
      <c r="H273" s="89" t="str">
        <f ca="1">IF(ISNA(MATCH($A273,'Mock Database'!$C$3:$C$152,0)),"",IF(ISBLANK(OFFSET('Mock Database'!$Y$2,MATCH($A273,'Mock Database'!$C$3:$C$152,0),0)),"",INDEX('Mock Database'!$Y$3:$Y$152,MATCH($A273,'Mock Database'!$C$3:$C$152,0))))</f>
        <v/>
      </c>
      <c r="I273" s="22" t="str">
        <f ca="1">IF(ISNA(MATCH($A273,'Mock Database'!$C$3:$C$152,0)),"",IF(ISBLANK(OFFSET('Mock Database'!$Z$2,MATCH($A273,'Mock Database'!$C$3:$C$152,0),0)),"",INDEX('Mock Database'!$Z$3:$Z$152,MATCH($A273,'Mock Database'!$C$3:$C$152,0))))</f>
        <v/>
      </c>
      <c r="J273" s="89" t="str">
        <f ca="1">IF(ISNA(MATCH($A273,'Mock Database'!$C$3:$C$152,0)),"",IF(ISBLANK(OFFSET('Mock Database'!$AE$2,MATCH($A273,'Mock Database'!$C$3:$C$152,0),0)),"",INDEX('Mock Database'!$AE$3:$AE$152,MATCH($A273,'Mock Database'!$C$3:$C$152,0))))</f>
        <v/>
      </c>
      <c r="K273" s="22" t="str">
        <f ca="1">IF(ISNA(MATCH($A273,'Mock Database'!$C$3:$C$152,0)),"",IF(ISBLANK(OFFSET('Mock Database'!$AF$2,MATCH($A273,'Mock Database'!$C$3:$C$152,0),0)),"",INDEX('Mock Database'!$AF$3:$AF$152,MATCH($A273,'Mock Database'!$C$3:$C$152,0))))</f>
        <v/>
      </c>
      <c r="N273" t="e">
        <f t="shared" si="44"/>
        <v>#N/A</v>
      </c>
      <c r="O273" s="89" t="e">
        <f t="shared" ca="1" si="45"/>
        <v>#N/A</v>
      </c>
      <c r="P273" s="22" t="e">
        <f t="shared" ca="1" si="46"/>
        <v>#N/A</v>
      </c>
      <c r="Q273" s="89" t="e">
        <f t="shared" ca="1" si="47"/>
        <v>#N/A</v>
      </c>
      <c r="R273" s="22" t="e">
        <f t="shared" ca="1" si="48"/>
        <v>#N/A</v>
      </c>
      <c r="S273" s="89" t="e">
        <f t="shared" ca="1" si="49"/>
        <v>#N/A</v>
      </c>
      <c r="T273" s="22" t="e">
        <f t="shared" ca="1" si="50"/>
        <v>#N/A</v>
      </c>
      <c r="U273" s="89" t="e">
        <f t="shared" ca="1" si="51"/>
        <v>#N/A</v>
      </c>
      <c r="V273" s="22" t="e">
        <f t="shared" ca="1" si="52"/>
        <v>#N/A</v>
      </c>
      <c r="AM273" t="e">
        <f t="shared" si="53"/>
        <v>#N/A</v>
      </c>
      <c r="AN273" t="e">
        <f t="shared" ca="1" si="54"/>
        <v>#N/A</v>
      </c>
    </row>
    <row r="274" spans="1:40" x14ac:dyDescent="0.3">
      <c r="A274" s="87">
        <v>273</v>
      </c>
      <c r="B274" t="str">
        <f>IFERROR(INDEX('Mock Database'!$D$3:$D$152,MATCH($A274,'Mock Database'!$C$3:$C$152,0)),"")</f>
        <v/>
      </c>
      <c r="C274" s="88" t="str">
        <f>IFERROR(INDEX('Mock Database'!$I$3:$I$152,MATCH($A274,'Mock Database'!$C$3:$C$152,0)),"")</f>
        <v/>
      </c>
      <c r="D274" s="89" t="str">
        <f ca="1">IF(ISNA(MATCH($A274,'Mock Database'!$C$3:$C$152,0)),"",IF(ISBLANK(OFFSET('Mock Database'!$M$2,MATCH($A274,'Mock Database'!$C$3:$C$152,0),0)),"",INDEX('Mock Database'!$M$3:$M$152,MATCH($A274,'Mock Database'!$C$3:$C$152,0))))</f>
        <v/>
      </c>
      <c r="E274" s="22" t="str">
        <f ca="1">IF(ISNA(MATCH($A274,'Mock Database'!$C$3:$C$152,0)),"",IF(ISBLANK(OFFSET('Mock Database'!$N$2,MATCH($A274,'Mock Database'!$C$3:$C$152,0),0)),"",INDEX('Mock Database'!$N$3:$N$152,MATCH($A274,'Mock Database'!$C$3:$C$152,0))))</f>
        <v/>
      </c>
      <c r="F274" s="89" t="str">
        <f ca="1">IF(ISNA(MATCH($A274,'Mock Database'!$C$3:$C$152,0)),"",IF(ISBLANK(OFFSET('Mock Database'!$S$2,MATCH($A274,'Mock Database'!$C$3:$C$152,0),0)),"",INDEX('Mock Database'!$S$3:$S$152,MATCH($A274,'Mock Database'!$C$3:$C$152,0))))</f>
        <v/>
      </c>
      <c r="G274" s="22" t="str">
        <f ca="1">IF(ISNA(MATCH($A274,'Mock Database'!$C$3:$C$152,0)),"",IF(ISBLANK(OFFSET('Mock Database'!$T$2,MATCH($A274,'Mock Database'!$C$3:$C$152,0),0)),"",INDEX('Mock Database'!$T$3:$T$152,MATCH($A274,'Mock Database'!$C$3:$C$152,0))))</f>
        <v/>
      </c>
      <c r="H274" s="89" t="str">
        <f ca="1">IF(ISNA(MATCH($A274,'Mock Database'!$C$3:$C$152,0)),"",IF(ISBLANK(OFFSET('Mock Database'!$Y$2,MATCH($A274,'Mock Database'!$C$3:$C$152,0),0)),"",INDEX('Mock Database'!$Y$3:$Y$152,MATCH($A274,'Mock Database'!$C$3:$C$152,0))))</f>
        <v/>
      </c>
      <c r="I274" s="22" t="str">
        <f ca="1">IF(ISNA(MATCH($A274,'Mock Database'!$C$3:$C$152,0)),"",IF(ISBLANK(OFFSET('Mock Database'!$Z$2,MATCH($A274,'Mock Database'!$C$3:$C$152,0),0)),"",INDEX('Mock Database'!$Z$3:$Z$152,MATCH($A274,'Mock Database'!$C$3:$C$152,0))))</f>
        <v/>
      </c>
      <c r="J274" s="89" t="str">
        <f ca="1">IF(ISNA(MATCH($A274,'Mock Database'!$C$3:$C$152,0)),"",IF(ISBLANK(OFFSET('Mock Database'!$AE$2,MATCH($A274,'Mock Database'!$C$3:$C$152,0),0)),"",INDEX('Mock Database'!$AE$3:$AE$152,MATCH($A274,'Mock Database'!$C$3:$C$152,0))))</f>
        <v/>
      </c>
      <c r="K274" s="22" t="str">
        <f ca="1">IF(ISNA(MATCH($A274,'Mock Database'!$C$3:$C$152,0)),"",IF(ISBLANK(OFFSET('Mock Database'!$AF$2,MATCH($A274,'Mock Database'!$C$3:$C$152,0),0)),"",INDEX('Mock Database'!$AF$3:$AF$152,MATCH($A274,'Mock Database'!$C$3:$C$152,0))))</f>
        <v/>
      </c>
      <c r="N274" t="e">
        <f t="shared" si="44"/>
        <v>#N/A</v>
      </c>
      <c r="O274" s="89" t="e">
        <f t="shared" ca="1" si="45"/>
        <v>#N/A</v>
      </c>
      <c r="P274" s="22" t="e">
        <f t="shared" ca="1" si="46"/>
        <v>#N/A</v>
      </c>
      <c r="Q274" s="89" t="e">
        <f t="shared" ca="1" si="47"/>
        <v>#N/A</v>
      </c>
      <c r="R274" s="22" t="e">
        <f t="shared" ca="1" si="48"/>
        <v>#N/A</v>
      </c>
      <c r="S274" s="89" t="e">
        <f t="shared" ca="1" si="49"/>
        <v>#N/A</v>
      </c>
      <c r="T274" s="22" t="e">
        <f t="shared" ca="1" si="50"/>
        <v>#N/A</v>
      </c>
      <c r="U274" s="89" t="e">
        <f t="shared" ca="1" si="51"/>
        <v>#N/A</v>
      </c>
      <c r="V274" s="22" t="e">
        <f t="shared" ca="1" si="52"/>
        <v>#N/A</v>
      </c>
      <c r="AM274" t="e">
        <f t="shared" si="53"/>
        <v>#N/A</v>
      </c>
      <c r="AN274" t="e">
        <f t="shared" ca="1" si="54"/>
        <v>#N/A</v>
      </c>
    </row>
    <row r="275" spans="1:40" x14ac:dyDescent="0.3">
      <c r="A275" s="87">
        <v>274</v>
      </c>
      <c r="B275" t="str">
        <f>IFERROR(INDEX('Mock Database'!$D$3:$D$152,MATCH($A275,'Mock Database'!$C$3:$C$152,0)),"")</f>
        <v/>
      </c>
      <c r="C275" s="88" t="str">
        <f>IFERROR(INDEX('Mock Database'!$I$3:$I$152,MATCH($A275,'Mock Database'!$C$3:$C$152,0)),"")</f>
        <v/>
      </c>
      <c r="D275" s="89" t="str">
        <f ca="1">IF(ISNA(MATCH($A275,'Mock Database'!$C$3:$C$152,0)),"",IF(ISBLANK(OFFSET('Mock Database'!$M$2,MATCH($A275,'Mock Database'!$C$3:$C$152,0),0)),"",INDEX('Mock Database'!$M$3:$M$152,MATCH($A275,'Mock Database'!$C$3:$C$152,0))))</f>
        <v/>
      </c>
      <c r="E275" s="22" t="str">
        <f ca="1">IF(ISNA(MATCH($A275,'Mock Database'!$C$3:$C$152,0)),"",IF(ISBLANK(OFFSET('Mock Database'!$N$2,MATCH($A275,'Mock Database'!$C$3:$C$152,0),0)),"",INDEX('Mock Database'!$N$3:$N$152,MATCH($A275,'Mock Database'!$C$3:$C$152,0))))</f>
        <v/>
      </c>
      <c r="F275" s="89" t="str">
        <f ca="1">IF(ISNA(MATCH($A275,'Mock Database'!$C$3:$C$152,0)),"",IF(ISBLANK(OFFSET('Mock Database'!$S$2,MATCH($A275,'Mock Database'!$C$3:$C$152,0),0)),"",INDEX('Mock Database'!$S$3:$S$152,MATCH($A275,'Mock Database'!$C$3:$C$152,0))))</f>
        <v/>
      </c>
      <c r="G275" s="22" t="str">
        <f ca="1">IF(ISNA(MATCH($A275,'Mock Database'!$C$3:$C$152,0)),"",IF(ISBLANK(OFFSET('Mock Database'!$T$2,MATCH($A275,'Mock Database'!$C$3:$C$152,0),0)),"",INDEX('Mock Database'!$T$3:$T$152,MATCH($A275,'Mock Database'!$C$3:$C$152,0))))</f>
        <v/>
      </c>
      <c r="H275" s="89" t="str">
        <f ca="1">IF(ISNA(MATCH($A275,'Mock Database'!$C$3:$C$152,0)),"",IF(ISBLANK(OFFSET('Mock Database'!$Y$2,MATCH($A275,'Mock Database'!$C$3:$C$152,0),0)),"",INDEX('Mock Database'!$Y$3:$Y$152,MATCH($A275,'Mock Database'!$C$3:$C$152,0))))</f>
        <v/>
      </c>
      <c r="I275" s="22" t="str">
        <f ca="1">IF(ISNA(MATCH($A275,'Mock Database'!$C$3:$C$152,0)),"",IF(ISBLANK(OFFSET('Mock Database'!$Z$2,MATCH($A275,'Mock Database'!$C$3:$C$152,0),0)),"",INDEX('Mock Database'!$Z$3:$Z$152,MATCH($A275,'Mock Database'!$C$3:$C$152,0))))</f>
        <v/>
      </c>
      <c r="J275" s="89" t="str">
        <f ca="1">IF(ISNA(MATCH($A275,'Mock Database'!$C$3:$C$152,0)),"",IF(ISBLANK(OFFSET('Mock Database'!$AE$2,MATCH($A275,'Mock Database'!$C$3:$C$152,0),0)),"",INDEX('Mock Database'!$AE$3:$AE$152,MATCH($A275,'Mock Database'!$C$3:$C$152,0))))</f>
        <v/>
      </c>
      <c r="K275" s="22" t="str">
        <f ca="1">IF(ISNA(MATCH($A275,'Mock Database'!$C$3:$C$152,0)),"",IF(ISBLANK(OFFSET('Mock Database'!$AF$2,MATCH($A275,'Mock Database'!$C$3:$C$152,0),0)),"",INDEX('Mock Database'!$AF$3:$AF$152,MATCH($A275,'Mock Database'!$C$3:$C$152,0))))</f>
        <v/>
      </c>
      <c r="N275" t="e">
        <f t="shared" si="44"/>
        <v>#N/A</v>
      </c>
      <c r="O275" s="89" t="e">
        <f t="shared" ca="1" si="45"/>
        <v>#N/A</v>
      </c>
      <c r="P275" s="22" t="e">
        <f t="shared" ca="1" si="46"/>
        <v>#N/A</v>
      </c>
      <c r="Q275" s="89" t="e">
        <f t="shared" ca="1" si="47"/>
        <v>#N/A</v>
      </c>
      <c r="R275" s="22" t="e">
        <f t="shared" ca="1" si="48"/>
        <v>#N/A</v>
      </c>
      <c r="S275" s="89" t="e">
        <f t="shared" ca="1" si="49"/>
        <v>#N/A</v>
      </c>
      <c r="T275" s="22" t="e">
        <f t="shared" ca="1" si="50"/>
        <v>#N/A</v>
      </c>
      <c r="U275" s="89" t="e">
        <f t="shared" ca="1" si="51"/>
        <v>#N/A</v>
      </c>
      <c r="V275" s="22" t="e">
        <f t="shared" ca="1" si="52"/>
        <v>#N/A</v>
      </c>
      <c r="AM275" t="e">
        <f t="shared" si="53"/>
        <v>#N/A</v>
      </c>
      <c r="AN275" t="e">
        <f t="shared" ca="1" si="54"/>
        <v>#N/A</v>
      </c>
    </row>
    <row r="276" spans="1:40" x14ac:dyDescent="0.3">
      <c r="A276" s="87">
        <v>275</v>
      </c>
      <c r="B276" t="str">
        <f>IFERROR(INDEX('Mock Database'!$D$3:$D$152,MATCH($A276,'Mock Database'!$C$3:$C$152,0)),"")</f>
        <v/>
      </c>
      <c r="C276" s="88" t="str">
        <f>IFERROR(INDEX('Mock Database'!$I$3:$I$152,MATCH($A276,'Mock Database'!$C$3:$C$152,0)),"")</f>
        <v/>
      </c>
      <c r="D276" s="89" t="str">
        <f ca="1">IF(ISNA(MATCH($A276,'Mock Database'!$C$3:$C$152,0)),"",IF(ISBLANK(OFFSET('Mock Database'!$M$2,MATCH($A276,'Mock Database'!$C$3:$C$152,0),0)),"",INDEX('Mock Database'!$M$3:$M$152,MATCH($A276,'Mock Database'!$C$3:$C$152,0))))</f>
        <v/>
      </c>
      <c r="E276" s="22" t="str">
        <f ca="1">IF(ISNA(MATCH($A276,'Mock Database'!$C$3:$C$152,0)),"",IF(ISBLANK(OFFSET('Mock Database'!$N$2,MATCH($A276,'Mock Database'!$C$3:$C$152,0),0)),"",INDEX('Mock Database'!$N$3:$N$152,MATCH($A276,'Mock Database'!$C$3:$C$152,0))))</f>
        <v/>
      </c>
      <c r="F276" s="89" t="str">
        <f ca="1">IF(ISNA(MATCH($A276,'Mock Database'!$C$3:$C$152,0)),"",IF(ISBLANK(OFFSET('Mock Database'!$S$2,MATCH($A276,'Mock Database'!$C$3:$C$152,0),0)),"",INDEX('Mock Database'!$S$3:$S$152,MATCH($A276,'Mock Database'!$C$3:$C$152,0))))</f>
        <v/>
      </c>
      <c r="G276" s="22" t="str">
        <f ca="1">IF(ISNA(MATCH($A276,'Mock Database'!$C$3:$C$152,0)),"",IF(ISBLANK(OFFSET('Mock Database'!$T$2,MATCH($A276,'Mock Database'!$C$3:$C$152,0),0)),"",INDEX('Mock Database'!$T$3:$T$152,MATCH($A276,'Mock Database'!$C$3:$C$152,0))))</f>
        <v/>
      </c>
      <c r="H276" s="89" t="str">
        <f ca="1">IF(ISNA(MATCH($A276,'Mock Database'!$C$3:$C$152,0)),"",IF(ISBLANK(OFFSET('Mock Database'!$Y$2,MATCH($A276,'Mock Database'!$C$3:$C$152,0),0)),"",INDEX('Mock Database'!$Y$3:$Y$152,MATCH($A276,'Mock Database'!$C$3:$C$152,0))))</f>
        <v/>
      </c>
      <c r="I276" s="22" t="str">
        <f ca="1">IF(ISNA(MATCH($A276,'Mock Database'!$C$3:$C$152,0)),"",IF(ISBLANK(OFFSET('Mock Database'!$Z$2,MATCH($A276,'Mock Database'!$C$3:$C$152,0),0)),"",INDEX('Mock Database'!$Z$3:$Z$152,MATCH($A276,'Mock Database'!$C$3:$C$152,0))))</f>
        <v/>
      </c>
      <c r="J276" s="89" t="str">
        <f ca="1">IF(ISNA(MATCH($A276,'Mock Database'!$C$3:$C$152,0)),"",IF(ISBLANK(OFFSET('Mock Database'!$AE$2,MATCH($A276,'Mock Database'!$C$3:$C$152,0),0)),"",INDEX('Mock Database'!$AE$3:$AE$152,MATCH($A276,'Mock Database'!$C$3:$C$152,0))))</f>
        <v/>
      </c>
      <c r="K276" s="22" t="str">
        <f ca="1">IF(ISNA(MATCH($A276,'Mock Database'!$C$3:$C$152,0)),"",IF(ISBLANK(OFFSET('Mock Database'!$AF$2,MATCH($A276,'Mock Database'!$C$3:$C$152,0),0)),"",INDEX('Mock Database'!$AF$3:$AF$152,MATCH($A276,'Mock Database'!$C$3:$C$152,0))))</f>
        <v/>
      </c>
      <c r="N276" t="e">
        <f t="shared" si="44"/>
        <v>#N/A</v>
      </c>
      <c r="O276" s="89" t="e">
        <f t="shared" ca="1" si="45"/>
        <v>#N/A</v>
      </c>
      <c r="P276" s="22" t="e">
        <f t="shared" ca="1" si="46"/>
        <v>#N/A</v>
      </c>
      <c r="Q276" s="89" t="e">
        <f t="shared" ca="1" si="47"/>
        <v>#N/A</v>
      </c>
      <c r="R276" s="22" t="e">
        <f t="shared" ca="1" si="48"/>
        <v>#N/A</v>
      </c>
      <c r="S276" s="89" t="e">
        <f t="shared" ca="1" si="49"/>
        <v>#N/A</v>
      </c>
      <c r="T276" s="22" t="e">
        <f t="shared" ca="1" si="50"/>
        <v>#N/A</v>
      </c>
      <c r="U276" s="89" t="e">
        <f t="shared" ca="1" si="51"/>
        <v>#N/A</v>
      </c>
      <c r="V276" s="22" t="e">
        <f t="shared" ca="1" si="52"/>
        <v>#N/A</v>
      </c>
      <c r="AM276" t="e">
        <f t="shared" si="53"/>
        <v>#N/A</v>
      </c>
      <c r="AN276" t="e">
        <f t="shared" ca="1" si="54"/>
        <v>#N/A</v>
      </c>
    </row>
    <row r="277" spans="1:40" x14ac:dyDescent="0.3">
      <c r="A277" s="87">
        <v>276</v>
      </c>
      <c r="B277" t="str">
        <f>IFERROR(INDEX('Mock Database'!$D$3:$D$152,MATCH($A277,'Mock Database'!$C$3:$C$152,0)),"")</f>
        <v/>
      </c>
      <c r="C277" s="88" t="str">
        <f>IFERROR(INDEX('Mock Database'!$I$3:$I$152,MATCH($A277,'Mock Database'!$C$3:$C$152,0)),"")</f>
        <v/>
      </c>
      <c r="D277" s="89" t="str">
        <f ca="1">IF(ISNA(MATCH($A277,'Mock Database'!$C$3:$C$152,0)),"",IF(ISBLANK(OFFSET('Mock Database'!$M$2,MATCH($A277,'Mock Database'!$C$3:$C$152,0),0)),"",INDEX('Mock Database'!$M$3:$M$152,MATCH($A277,'Mock Database'!$C$3:$C$152,0))))</f>
        <v/>
      </c>
      <c r="E277" s="22" t="str">
        <f ca="1">IF(ISNA(MATCH($A277,'Mock Database'!$C$3:$C$152,0)),"",IF(ISBLANK(OFFSET('Mock Database'!$N$2,MATCH($A277,'Mock Database'!$C$3:$C$152,0),0)),"",INDEX('Mock Database'!$N$3:$N$152,MATCH($A277,'Mock Database'!$C$3:$C$152,0))))</f>
        <v/>
      </c>
      <c r="F277" s="89" t="str">
        <f ca="1">IF(ISNA(MATCH($A277,'Mock Database'!$C$3:$C$152,0)),"",IF(ISBLANK(OFFSET('Mock Database'!$S$2,MATCH($A277,'Mock Database'!$C$3:$C$152,0),0)),"",INDEX('Mock Database'!$S$3:$S$152,MATCH($A277,'Mock Database'!$C$3:$C$152,0))))</f>
        <v/>
      </c>
      <c r="G277" s="22" t="str">
        <f ca="1">IF(ISNA(MATCH($A277,'Mock Database'!$C$3:$C$152,0)),"",IF(ISBLANK(OFFSET('Mock Database'!$T$2,MATCH($A277,'Mock Database'!$C$3:$C$152,0),0)),"",INDEX('Mock Database'!$T$3:$T$152,MATCH($A277,'Mock Database'!$C$3:$C$152,0))))</f>
        <v/>
      </c>
      <c r="H277" s="89" t="str">
        <f ca="1">IF(ISNA(MATCH($A277,'Mock Database'!$C$3:$C$152,0)),"",IF(ISBLANK(OFFSET('Mock Database'!$Y$2,MATCH($A277,'Mock Database'!$C$3:$C$152,0),0)),"",INDEX('Mock Database'!$Y$3:$Y$152,MATCH($A277,'Mock Database'!$C$3:$C$152,0))))</f>
        <v/>
      </c>
      <c r="I277" s="22" t="str">
        <f ca="1">IF(ISNA(MATCH($A277,'Mock Database'!$C$3:$C$152,0)),"",IF(ISBLANK(OFFSET('Mock Database'!$Z$2,MATCH($A277,'Mock Database'!$C$3:$C$152,0),0)),"",INDEX('Mock Database'!$Z$3:$Z$152,MATCH($A277,'Mock Database'!$C$3:$C$152,0))))</f>
        <v/>
      </c>
      <c r="J277" s="89" t="str">
        <f ca="1">IF(ISNA(MATCH($A277,'Mock Database'!$C$3:$C$152,0)),"",IF(ISBLANK(OFFSET('Mock Database'!$AE$2,MATCH($A277,'Mock Database'!$C$3:$C$152,0),0)),"",INDEX('Mock Database'!$AE$3:$AE$152,MATCH($A277,'Mock Database'!$C$3:$C$152,0))))</f>
        <v/>
      </c>
      <c r="K277" s="22" t="str">
        <f ca="1">IF(ISNA(MATCH($A277,'Mock Database'!$C$3:$C$152,0)),"",IF(ISBLANK(OFFSET('Mock Database'!$AF$2,MATCH($A277,'Mock Database'!$C$3:$C$152,0),0)),"",INDEX('Mock Database'!$AF$3:$AF$152,MATCH($A277,'Mock Database'!$C$3:$C$152,0))))</f>
        <v/>
      </c>
      <c r="N277" t="e">
        <f t="shared" si="44"/>
        <v>#N/A</v>
      </c>
      <c r="O277" s="89" t="e">
        <f t="shared" ca="1" si="45"/>
        <v>#N/A</v>
      </c>
      <c r="P277" s="22" t="e">
        <f t="shared" ca="1" si="46"/>
        <v>#N/A</v>
      </c>
      <c r="Q277" s="89" t="e">
        <f t="shared" ca="1" si="47"/>
        <v>#N/A</v>
      </c>
      <c r="R277" s="22" t="e">
        <f t="shared" ca="1" si="48"/>
        <v>#N/A</v>
      </c>
      <c r="S277" s="89" t="e">
        <f t="shared" ca="1" si="49"/>
        <v>#N/A</v>
      </c>
      <c r="T277" s="22" t="e">
        <f t="shared" ca="1" si="50"/>
        <v>#N/A</v>
      </c>
      <c r="U277" s="89" t="e">
        <f t="shared" ca="1" si="51"/>
        <v>#N/A</v>
      </c>
      <c r="V277" s="22" t="e">
        <f t="shared" ca="1" si="52"/>
        <v>#N/A</v>
      </c>
      <c r="AM277" t="e">
        <f t="shared" si="53"/>
        <v>#N/A</v>
      </c>
      <c r="AN277" t="e">
        <f t="shared" ca="1" si="54"/>
        <v>#N/A</v>
      </c>
    </row>
    <row r="278" spans="1:40" x14ac:dyDescent="0.3">
      <c r="A278" s="87">
        <v>277</v>
      </c>
      <c r="B278" t="str">
        <f>IFERROR(INDEX('Mock Database'!$D$3:$D$152,MATCH($A278,'Mock Database'!$C$3:$C$152,0)),"")</f>
        <v/>
      </c>
      <c r="C278" s="88" t="str">
        <f>IFERROR(INDEX('Mock Database'!$I$3:$I$152,MATCH($A278,'Mock Database'!$C$3:$C$152,0)),"")</f>
        <v/>
      </c>
      <c r="D278" s="89" t="str">
        <f ca="1">IF(ISNA(MATCH($A278,'Mock Database'!$C$3:$C$152,0)),"",IF(ISBLANK(OFFSET('Mock Database'!$M$2,MATCH($A278,'Mock Database'!$C$3:$C$152,0),0)),"",INDEX('Mock Database'!$M$3:$M$152,MATCH($A278,'Mock Database'!$C$3:$C$152,0))))</f>
        <v/>
      </c>
      <c r="E278" s="22" t="str">
        <f ca="1">IF(ISNA(MATCH($A278,'Mock Database'!$C$3:$C$152,0)),"",IF(ISBLANK(OFFSET('Mock Database'!$N$2,MATCH($A278,'Mock Database'!$C$3:$C$152,0),0)),"",INDEX('Mock Database'!$N$3:$N$152,MATCH($A278,'Mock Database'!$C$3:$C$152,0))))</f>
        <v/>
      </c>
      <c r="F278" s="89" t="str">
        <f ca="1">IF(ISNA(MATCH($A278,'Mock Database'!$C$3:$C$152,0)),"",IF(ISBLANK(OFFSET('Mock Database'!$S$2,MATCH($A278,'Mock Database'!$C$3:$C$152,0),0)),"",INDEX('Mock Database'!$S$3:$S$152,MATCH($A278,'Mock Database'!$C$3:$C$152,0))))</f>
        <v/>
      </c>
      <c r="G278" s="22" t="str">
        <f ca="1">IF(ISNA(MATCH($A278,'Mock Database'!$C$3:$C$152,0)),"",IF(ISBLANK(OFFSET('Mock Database'!$T$2,MATCH($A278,'Mock Database'!$C$3:$C$152,0),0)),"",INDEX('Mock Database'!$T$3:$T$152,MATCH($A278,'Mock Database'!$C$3:$C$152,0))))</f>
        <v/>
      </c>
      <c r="H278" s="89" t="str">
        <f ca="1">IF(ISNA(MATCH($A278,'Mock Database'!$C$3:$C$152,0)),"",IF(ISBLANK(OFFSET('Mock Database'!$Y$2,MATCH($A278,'Mock Database'!$C$3:$C$152,0),0)),"",INDEX('Mock Database'!$Y$3:$Y$152,MATCH($A278,'Mock Database'!$C$3:$C$152,0))))</f>
        <v/>
      </c>
      <c r="I278" s="22" t="str">
        <f ca="1">IF(ISNA(MATCH($A278,'Mock Database'!$C$3:$C$152,0)),"",IF(ISBLANK(OFFSET('Mock Database'!$Z$2,MATCH($A278,'Mock Database'!$C$3:$C$152,0),0)),"",INDEX('Mock Database'!$Z$3:$Z$152,MATCH($A278,'Mock Database'!$C$3:$C$152,0))))</f>
        <v/>
      </c>
      <c r="J278" s="89" t="str">
        <f ca="1">IF(ISNA(MATCH($A278,'Mock Database'!$C$3:$C$152,0)),"",IF(ISBLANK(OFFSET('Mock Database'!$AE$2,MATCH($A278,'Mock Database'!$C$3:$C$152,0),0)),"",INDEX('Mock Database'!$AE$3:$AE$152,MATCH($A278,'Mock Database'!$C$3:$C$152,0))))</f>
        <v/>
      </c>
      <c r="K278" s="22" t="str">
        <f ca="1">IF(ISNA(MATCH($A278,'Mock Database'!$C$3:$C$152,0)),"",IF(ISBLANK(OFFSET('Mock Database'!$AF$2,MATCH($A278,'Mock Database'!$C$3:$C$152,0),0)),"",INDEX('Mock Database'!$AF$3:$AF$152,MATCH($A278,'Mock Database'!$C$3:$C$152,0))))</f>
        <v/>
      </c>
      <c r="N278" t="e">
        <f t="shared" si="44"/>
        <v>#N/A</v>
      </c>
      <c r="O278" s="89" t="e">
        <f t="shared" ca="1" si="45"/>
        <v>#N/A</v>
      </c>
      <c r="P278" s="22" t="e">
        <f t="shared" ca="1" si="46"/>
        <v>#N/A</v>
      </c>
      <c r="Q278" s="89" t="e">
        <f t="shared" ca="1" si="47"/>
        <v>#N/A</v>
      </c>
      <c r="R278" s="22" t="e">
        <f t="shared" ca="1" si="48"/>
        <v>#N/A</v>
      </c>
      <c r="S278" s="89" t="e">
        <f t="shared" ca="1" si="49"/>
        <v>#N/A</v>
      </c>
      <c r="T278" s="22" t="e">
        <f t="shared" ca="1" si="50"/>
        <v>#N/A</v>
      </c>
      <c r="U278" s="89" t="e">
        <f t="shared" ca="1" si="51"/>
        <v>#N/A</v>
      </c>
      <c r="V278" s="22" t="e">
        <f t="shared" ca="1" si="52"/>
        <v>#N/A</v>
      </c>
      <c r="AM278" t="e">
        <f t="shared" si="53"/>
        <v>#N/A</v>
      </c>
      <c r="AN278" t="e">
        <f t="shared" ca="1" si="54"/>
        <v>#N/A</v>
      </c>
    </row>
    <row r="279" spans="1:40" x14ac:dyDescent="0.3">
      <c r="A279" s="87">
        <v>278</v>
      </c>
      <c r="B279" t="str">
        <f>IFERROR(INDEX('Mock Database'!$D$3:$D$152,MATCH($A279,'Mock Database'!$C$3:$C$152,0)),"")</f>
        <v/>
      </c>
      <c r="C279" s="88" t="str">
        <f>IFERROR(INDEX('Mock Database'!$I$3:$I$152,MATCH($A279,'Mock Database'!$C$3:$C$152,0)),"")</f>
        <v/>
      </c>
      <c r="D279" s="89" t="str">
        <f ca="1">IF(ISNA(MATCH($A279,'Mock Database'!$C$3:$C$152,0)),"",IF(ISBLANK(OFFSET('Mock Database'!$M$2,MATCH($A279,'Mock Database'!$C$3:$C$152,0),0)),"",INDEX('Mock Database'!$M$3:$M$152,MATCH($A279,'Mock Database'!$C$3:$C$152,0))))</f>
        <v/>
      </c>
      <c r="E279" s="22" t="str">
        <f ca="1">IF(ISNA(MATCH($A279,'Mock Database'!$C$3:$C$152,0)),"",IF(ISBLANK(OFFSET('Mock Database'!$N$2,MATCH($A279,'Mock Database'!$C$3:$C$152,0),0)),"",INDEX('Mock Database'!$N$3:$N$152,MATCH($A279,'Mock Database'!$C$3:$C$152,0))))</f>
        <v/>
      </c>
      <c r="F279" s="89" t="str">
        <f ca="1">IF(ISNA(MATCH($A279,'Mock Database'!$C$3:$C$152,0)),"",IF(ISBLANK(OFFSET('Mock Database'!$S$2,MATCH($A279,'Mock Database'!$C$3:$C$152,0),0)),"",INDEX('Mock Database'!$S$3:$S$152,MATCH($A279,'Mock Database'!$C$3:$C$152,0))))</f>
        <v/>
      </c>
      <c r="G279" s="22" t="str">
        <f ca="1">IF(ISNA(MATCH($A279,'Mock Database'!$C$3:$C$152,0)),"",IF(ISBLANK(OFFSET('Mock Database'!$T$2,MATCH($A279,'Mock Database'!$C$3:$C$152,0),0)),"",INDEX('Mock Database'!$T$3:$T$152,MATCH($A279,'Mock Database'!$C$3:$C$152,0))))</f>
        <v/>
      </c>
      <c r="H279" s="89" t="str">
        <f ca="1">IF(ISNA(MATCH($A279,'Mock Database'!$C$3:$C$152,0)),"",IF(ISBLANK(OFFSET('Mock Database'!$Y$2,MATCH($A279,'Mock Database'!$C$3:$C$152,0),0)),"",INDEX('Mock Database'!$Y$3:$Y$152,MATCH($A279,'Mock Database'!$C$3:$C$152,0))))</f>
        <v/>
      </c>
      <c r="I279" s="22" t="str">
        <f ca="1">IF(ISNA(MATCH($A279,'Mock Database'!$C$3:$C$152,0)),"",IF(ISBLANK(OFFSET('Mock Database'!$Z$2,MATCH($A279,'Mock Database'!$C$3:$C$152,0),0)),"",INDEX('Mock Database'!$Z$3:$Z$152,MATCH($A279,'Mock Database'!$C$3:$C$152,0))))</f>
        <v/>
      </c>
      <c r="J279" s="89" t="str">
        <f ca="1">IF(ISNA(MATCH($A279,'Mock Database'!$C$3:$C$152,0)),"",IF(ISBLANK(OFFSET('Mock Database'!$AE$2,MATCH($A279,'Mock Database'!$C$3:$C$152,0),0)),"",INDEX('Mock Database'!$AE$3:$AE$152,MATCH($A279,'Mock Database'!$C$3:$C$152,0))))</f>
        <v/>
      </c>
      <c r="K279" s="22" t="str">
        <f ca="1">IF(ISNA(MATCH($A279,'Mock Database'!$C$3:$C$152,0)),"",IF(ISBLANK(OFFSET('Mock Database'!$AF$2,MATCH($A279,'Mock Database'!$C$3:$C$152,0),0)),"",INDEX('Mock Database'!$AF$3:$AF$152,MATCH($A279,'Mock Database'!$C$3:$C$152,0))))</f>
        <v/>
      </c>
      <c r="N279" t="e">
        <f t="shared" si="44"/>
        <v>#N/A</v>
      </c>
      <c r="O279" s="89" t="e">
        <f t="shared" ca="1" si="45"/>
        <v>#N/A</v>
      </c>
      <c r="P279" s="22" t="e">
        <f t="shared" ca="1" si="46"/>
        <v>#N/A</v>
      </c>
      <c r="Q279" s="89" t="e">
        <f t="shared" ca="1" si="47"/>
        <v>#N/A</v>
      </c>
      <c r="R279" s="22" t="e">
        <f t="shared" ca="1" si="48"/>
        <v>#N/A</v>
      </c>
      <c r="S279" s="89" t="e">
        <f t="shared" ca="1" si="49"/>
        <v>#N/A</v>
      </c>
      <c r="T279" s="22" t="e">
        <f t="shared" ca="1" si="50"/>
        <v>#N/A</v>
      </c>
      <c r="U279" s="89" t="e">
        <f t="shared" ca="1" si="51"/>
        <v>#N/A</v>
      </c>
      <c r="V279" s="22" t="e">
        <f t="shared" ca="1" si="52"/>
        <v>#N/A</v>
      </c>
      <c r="AM279" t="e">
        <f t="shared" si="53"/>
        <v>#N/A</v>
      </c>
      <c r="AN279" t="e">
        <f t="shared" ca="1" si="54"/>
        <v>#N/A</v>
      </c>
    </row>
    <row r="280" spans="1:40" x14ac:dyDescent="0.3">
      <c r="A280" s="87">
        <v>279</v>
      </c>
      <c r="B280" t="str">
        <f>IFERROR(INDEX('Mock Database'!$D$3:$D$152,MATCH($A280,'Mock Database'!$C$3:$C$152,0)),"")</f>
        <v/>
      </c>
      <c r="C280" s="88" t="str">
        <f>IFERROR(INDEX('Mock Database'!$I$3:$I$152,MATCH($A280,'Mock Database'!$C$3:$C$152,0)),"")</f>
        <v/>
      </c>
      <c r="D280" s="89" t="str">
        <f ca="1">IF(ISNA(MATCH($A280,'Mock Database'!$C$3:$C$152,0)),"",IF(ISBLANK(OFFSET('Mock Database'!$M$2,MATCH($A280,'Mock Database'!$C$3:$C$152,0),0)),"",INDEX('Mock Database'!$M$3:$M$152,MATCH($A280,'Mock Database'!$C$3:$C$152,0))))</f>
        <v/>
      </c>
      <c r="E280" s="22" t="str">
        <f ca="1">IF(ISNA(MATCH($A280,'Mock Database'!$C$3:$C$152,0)),"",IF(ISBLANK(OFFSET('Mock Database'!$N$2,MATCH($A280,'Mock Database'!$C$3:$C$152,0),0)),"",INDEX('Mock Database'!$N$3:$N$152,MATCH($A280,'Mock Database'!$C$3:$C$152,0))))</f>
        <v/>
      </c>
      <c r="F280" s="89" t="str">
        <f ca="1">IF(ISNA(MATCH($A280,'Mock Database'!$C$3:$C$152,0)),"",IF(ISBLANK(OFFSET('Mock Database'!$S$2,MATCH($A280,'Mock Database'!$C$3:$C$152,0),0)),"",INDEX('Mock Database'!$S$3:$S$152,MATCH($A280,'Mock Database'!$C$3:$C$152,0))))</f>
        <v/>
      </c>
      <c r="G280" s="22" t="str">
        <f ca="1">IF(ISNA(MATCH($A280,'Mock Database'!$C$3:$C$152,0)),"",IF(ISBLANK(OFFSET('Mock Database'!$T$2,MATCH($A280,'Mock Database'!$C$3:$C$152,0),0)),"",INDEX('Mock Database'!$T$3:$T$152,MATCH($A280,'Mock Database'!$C$3:$C$152,0))))</f>
        <v/>
      </c>
      <c r="H280" s="89" t="str">
        <f ca="1">IF(ISNA(MATCH($A280,'Mock Database'!$C$3:$C$152,0)),"",IF(ISBLANK(OFFSET('Mock Database'!$Y$2,MATCH($A280,'Mock Database'!$C$3:$C$152,0),0)),"",INDEX('Mock Database'!$Y$3:$Y$152,MATCH($A280,'Mock Database'!$C$3:$C$152,0))))</f>
        <v/>
      </c>
      <c r="I280" s="22" t="str">
        <f ca="1">IF(ISNA(MATCH($A280,'Mock Database'!$C$3:$C$152,0)),"",IF(ISBLANK(OFFSET('Mock Database'!$Z$2,MATCH($A280,'Mock Database'!$C$3:$C$152,0),0)),"",INDEX('Mock Database'!$Z$3:$Z$152,MATCH($A280,'Mock Database'!$C$3:$C$152,0))))</f>
        <v/>
      </c>
      <c r="J280" s="89" t="str">
        <f ca="1">IF(ISNA(MATCH($A280,'Mock Database'!$C$3:$C$152,0)),"",IF(ISBLANK(OFFSET('Mock Database'!$AE$2,MATCH($A280,'Mock Database'!$C$3:$C$152,0),0)),"",INDEX('Mock Database'!$AE$3:$AE$152,MATCH($A280,'Mock Database'!$C$3:$C$152,0))))</f>
        <v/>
      </c>
      <c r="K280" s="22" t="str">
        <f ca="1">IF(ISNA(MATCH($A280,'Mock Database'!$C$3:$C$152,0)),"",IF(ISBLANK(OFFSET('Mock Database'!$AF$2,MATCH($A280,'Mock Database'!$C$3:$C$152,0),0)),"",INDEX('Mock Database'!$AF$3:$AF$152,MATCH($A280,'Mock Database'!$C$3:$C$152,0))))</f>
        <v/>
      </c>
      <c r="N280" t="e">
        <f t="shared" si="44"/>
        <v>#N/A</v>
      </c>
      <c r="O280" s="89" t="e">
        <f t="shared" ca="1" si="45"/>
        <v>#N/A</v>
      </c>
      <c r="P280" s="22" t="e">
        <f t="shared" ca="1" si="46"/>
        <v>#N/A</v>
      </c>
      <c r="Q280" s="89" t="e">
        <f t="shared" ca="1" si="47"/>
        <v>#N/A</v>
      </c>
      <c r="R280" s="22" t="e">
        <f t="shared" ca="1" si="48"/>
        <v>#N/A</v>
      </c>
      <c r="S280" s="89" t="e">
        <f t="shared" ca="1" si="49"/>
        <v>#N/A</v>
      </c>
      <c r="T280" s="22" t="e">
        <f t="shared" ca="1" si="50"/>
        <v>#N/A</v>
      </c>
      <c r="U280" s="89" t="e">
        <f t="shared" ca="1" si="51"/>
        <v>#N/A</v>
      </c>
      <c r="V280" s="22" t="e">
        <f t="shared" ca="1" si="52"/>
        <v>#N/A</v>
      </c>
      <c r="AM280" t="e">
        <f t="shared" si="53"/>
        <v>#N/A</v>
      </c>
      <c r="AN280" t="e">
        <f t="shared" ca="1" si="54"/>
        <v>#N/A</v>
      </c>
    </row>
    <row r="281" spans="1:40" x14ac:dyDescent="0.3">
      <c r="A281" s="87">
        <v>280</v>
      </c>
      <c r="B281" t="str">
        <f>IFERROR(INDEX('Mock Database'!$D$3:$D$152,MATCH($A281,'Mock Database'!$C$3:$C$152,0)),"")</f>
        <v/>
      </c>
      <c r="C281" s="88" t="str">
        <f>IFERROR(INDEX('Mock Database'!$I$3:$I$152,MATCH($A281,'Mock Database'!$C$3:$C$152,0)),"")</f>
        <v/>
      </c>
      <c r="D281" s="89" t="str">
        <f ca="1">IF(ISNA(MATCH($A281,'Mock Database'!$C$3:$C$152,0)),"",IF(ISBLANK(OFFSET('Mock Database'!$M$2,MATCH($A281,'Mock Database'!$C$3:$C$152,0),0)),"",INDEX('Mock Database'!$M$3:$M$152,MATCH($A281,'Mock Database'!$C$3:$C$152,0))))</f>
        <v/>
      </c>
      <c r="E281" s="22" t="str">
        <f ca="1">IF(ISNA(MATCH($A281,'Mock Database'!$C$3:$C$152,0)),"",IF(ISBLANK(OFFSET('Mock Database'!$N$2,MATCH($A281,'Mock Database'!$C$3:$C$152,0),0)),"",INDEX('Mock Database'!$N$3:$N$152,MATCH($A281,'Mock Database'!$C$3:$C$152,0))))</f>
        <v/>
      </c>
      <c r="F281" s="89" t="str">
        <f ca="1">IF(ISNA(MATCH($A281,'Mock Database'!$C$3:$C$152,0)),"",IF(ISBLANK(OFFSET('Mock Database'!$S$2,MATCH($A281,'Mock Database'!$C$3:$C$152,0),0)),"",INDEX('Mock Database'!$S$3:$S$152,MATCH($A281,'Mock Database'!$C$3:$C$152,0))))</f>
        <v/>
      </c>
      <c r="G281" s="22" t="str">
        <f ca="1">IF(ISNA(MATCH($A281,'Mock Database'!$C$3:$C$152,0)),"",IF(ISBLANK(OFFSET('Mock Database'!$T$2,MATCH($A281,'Mock Database'!$C$3:$C$152,0),0)),"",INDEX('Mock Database'!$T$3:$T$152,MATCH($A281,'Mock Database'!$C$3:$C$152,0))))</f>
        <v/>
      </c>
      <c r="H281" s="89" t="str">
        <f ca="1">IF(ISNA(MATCH($A281,'Mock Database'!$C$3:$C$152,0)),"",IF(ISBLANK(OFFSET('Mock Database'!$Y$2,MATCH($A281,'Mock Database'!$C$3:$C$152,0),0)),"",INDEX('Mock Database'!$Y$3:$Y$152,MATCH($A281,'Mock Database'!$C$3:$C$152,0))))</f>
        <v/>
      </c>
      <c r="I281" s="22" t="str">
        <f ca="1">IF(ISNA(MATCH($A281,'Mock Database'!$C$3:$C$152,0)),"",IF(ISBLANK(OFFSET('Mock Database'!$Z$2,MATCH($A281,'Mock Database'!$C$3:$C$152,0),0)),"",INDEX('Mock Database'!$Z$3:$Z$152,MATCH($A281,'Mock Database'!$C$3:$C$152,0))))</f>
        <v/>
      </c>
      <c r="J281" s="89" t="str">
        <f ca="1">IF(ISNA(MATCH($A281,'Mock Database'!$C$3:$C$152,0)),"",IF(ISBLANK(OFFSET('Mock Database'!$AE$2,MATCH($A281,'Mock Database'!$C$3:$C$152,0),0)),"",INDEX('Mock Database'!$AE$3:$AE$152,MATCH($A281,'Mock Database'!$C$3:$C$152,0))))</f>
        <v/>
      </c>
      <c r="K281" s="22" t="str">
        <f ca="1">IF(ISNA(MATCH($A281,'Mock Database'!$C$3:$C$152,0)),"",IF(ISBLANK(OFFSET('Mock Database'!$AF$2,MATCH($A281,'Mock Database'!$C$3:$C$152,0),0)),"",INDEX('Mock Database'!$AF$3:$AF$152,MATCH($A281,'Mock Database'!$C$3:$C$152,0))))</f>
        <v/>
      </c>
      <c r="N281" t="e">
        <f t="shared" si="44"/>
        <v>#N/A</v>
      </c>
      <c r="O281" s="89" t="e">
        <f t="shared" ca="1" si="45"/>
        <v>#N/A</v>
      </c>
      <c r="P281" s="22" t="e">
        <f t="shared" ca="1" si="46"/>
        <v>#N/A</v>
      </c>
      <c r="Q281" s="89" t="e">
        <f t="shared" ca="1" si="47"/>
        <v>#N/A</v>
      </c>
      <c r="R281" s="22" t="e">
        <f t="shared" ca="1" si="48"/>
        <v>#N/A</v>
      </c>
      <c r="S281" s="89" t="e">
        <f t="shared" ca="1" si="49"/>
        <v>#N/A</v>
      </c>
      <c r="T281" s="22" t="e">
        <f t="shared" ca="1" si="50"/>
        <v>#N/A</v>
      </c>
      <c r="U281" s="89" t="e">
        <f t="shared" ca="1" si="51"/>
        <v>#N/A</v>
      </c>
      <c r="V281" s="22" t="e">
        <f t="shared" ca="1" si="52"/>
        <v>#N/A</v>
      </c>
      <c r="AM281" t="e">
        <f t="shared" si="53"/>
        <v>#N/A</v>
      </c>
      <c r="AN281" t="e">
        <f t="shared" ca="1" si="54"/>
        <v>#N/A</v>
      </c>
    </row>
    <row r="282" spans="1:40" x14ac:dyDescent="0.3">
      <c r="A282" s="87">
        <v>281</v>
      </c>
      <c r="B282" t="str">
        <f>IFERROR(INDEX('Mock Database'!$D$3:$D$152,MATCH($A282,'Mock Database'!$C$3:$C$152,0)),"")</f>
        <v/>
      </c>
      <c r="C282" s="88" t="str">
        <f>IFERROR(INDEX('Mock Database'!$I$3:$I$152,MATCH($A282,'Mock Database'!$C$3:$C$152,0)),"")</f>
        <v/>
      </c>
      <c r="D282" s="89" t="str">
        <f ca="1">IF(ISNA(MATCH($A282,'Mock Database'!$C$3:$C$152,0)),"",IF(ISBLANK(OFFSET('Mock Database'!$M$2,MATCH($A282,'Mock Database'!$C$3:$C$152,0),0)),"",INDEX('Mock Database'!$M$3:$M$152,MATCH($A282,'Mock Database'!$C$3:$C$152,0))))</f>
        <v/>
      </c>
      <c r="E282" s="22" t="str">
        <f ca="1">IF(ISNA(MATCH($A282,'Mock Database'!$C$3:$C$152,0)),"",IF(ISBLANK(OFFSET('Mock Database'!$N$2,MATCH($A282,'Mock Database'!$C$3:$C$152,0),0)),"",INDEX('Mock Database'!$N$3:$N$152,MATCH($A282,'Mock Database'!$C$3:$C$152,0))))</f>
        <v/>
      </c>
      <c r="F282" s="89" t="str">
        <f ca="1">IF(ISNA(MATCH($A282,'Mock Database'!$C$3:$C$152,0)),"",IF(ISBLANK(OFFSET('Mock Database'!$S$2,MATCH($A282,'Mock Database'!$C$3:$C$152,0),0)),"",INDEX('Mock Database'!$S$3:$S$152,MATCH($A282,'Mock Database'!$C$3:$C$152,0))))</f>
        <v/>
      </c>
      <c r="G282" s="22" t="str">
        <f ca="1">IF(ISNA(MATCH($A282,'Mock Database'!$C$3:$C$152,0)),"",IF(ISBLANK(OFFSET('Mock Database'!$T$2,MATCH($A282,'Mock Database'!$C$3:$C$152,0),0)),"",INDEX('Mock Database'!$T$3:$T$152,MATCH($A282,'Mock Database'!$C$3:$C$152,0))))</f>
        <v/>
      </c>
      <c r="H282" s="89" t="str">
        <f ca="1">IF(ISNA(MATCH($A282,'Mock Database'!$C$3:$C$152,0)),"",IF(ISBLANK(OFFSET('Mock Database'!$Y$2,MATCH($A282,'Mock Database'!$C$3:$C$152,0),0)),"",INDEX('Mock Database'!$Y$3:$Y$152,MATCH($A282,'Mock Database'!$C$3:$C$152,0))))</f>
        <v/>
      </c>
      <c r="I282" s="22" t="str">
        <f ca="1">IF(ISNA(MATCH($A282,'Mock Database'!$C$3:$C$152,0)),"",IF(ISBLANK(OFFSET('Mock Database'!$Z$2,MATCH($A282,'Mock Database'!$C$3:$C$152,0),0)),"",INDEX('Mock Database'!$Z$3:$Z$152,MATCH($A282,'Mock Database'!$C$3:$C$152,0))))</f>
        <v/>
      </c>
      <c r="J282" s="89" t="str">
        <f ca="1">IF(ISNA(MATCH($A282,'Mock Database'!$C$3:$C$152,0)),"",IF(ISBLANK(OFFSET('Mock Database'!$AE$2,MATCH($A282,'Mock Database'!$C$3:$C$152,0),0)),"",INDEX('Mock Database'!$AE$3:$AE$152,MATCH($A282,'Mock Database'!$C$3:$C$152,0))))</f>
        <v/>
      </c>
      <c r="K282" s="22" t="str">
        <f ca="1">IF(ISNA(MATCH($A282,'Mock Database'!$C$3:$C$152,0)),"",IF(ISBLANK(OFFSET('Mock Database'!$AF$2,MATCH($A282,'Mock Database'!$C$3:$C$152,0),0)),"",INDEX('Mock Database'!$AF$3:$AF$152,MATCH($A282,'Mock Database'!$C$3:$C$152,0))))</f>
        <v/>
      </c>
      <c r="N282" t="e">
        <f t="shared" si="44"/>
        <v>#N/A</v>
      </c>
      <c r="O282" s="89" t="e">
        <f t="shared" ca="1" si="45"/>
        <v>#N/A</v>
      </c>
      <c r="P282" s="22" t="e">
        <f t="shared" ca="1" si="46"/>
        <v>#N/A</v>
      </c>
      <c r="Q282" s="89" t="e">
        <f t="shared" ca="1" si="47"/>
        <v>#N/A</v>
      </c>
      <c r="R282" s="22" t="e">
        <f t="shared" ca="1" si="48"/>
        <v>#N/A</v>
      </c>
      <c r="S282" s="89" t="e">
        <f t="shared" ca="1" si="49"/>
        <v>#N/A</v>
      </c>
      <c r="T282" s="22" t="e">
        <f t="shared" ca="1" si="50"/>
        <v>#N/A</v>
      </c>
      <c r="U282" s="89" t="e">
        <f t="shared" ca="1" si="51"/>
        <v>#N/A</v>
      </c>
      <c r="V282" s="22" t="e">
        <f t="shared" ca="1" si="52"/>
        <v>#N/A</v>
      </c>
      <c r="AM282" t="e">
        <f t="shared" si="53"/>
        <v>#N/A</v>
      </c>
      <c r="AN282" t="e">
        <f t="shared" ca="1" si="54"/>
        <v>#N/A</v>
      </c>
    </row>
    <row r="283" spans="1:40" x14ac:dyDescent="0.3">
      <c r="A283" s="87">
        <v>282</v>
      </c>
      <c r="B283" t="str">
        <f>IFERROR(INDEX('Mock Database'!$D$3:$D$152,MATCH($A283,'Mock Database'!$C$3:$C$152,0)),"")</f>
        <v/>
      </c>
      <c r="C283" s="88" t="str">
        <f>IFERROR(INDEX('Mock Database'!$I$3:$I$152,MATCH($A283,'Mock Database'!$C$3:$C$152,0)),"")</f>
        <v/>
      </c>
      <c r="D283" s="89" t="str">
        <f ca="1">IF(ISNA(MATCH($A283,'Mock Database'!$C$3:$C$152,0)),"",IF(ISBLANK(OFFSET('Mock Database'!$M$2,MATCH($A283,'Mock Database'!$C$3:$C$152,0),0)),"",INDEX('Mock Database'!$M$3:$M$152,MATCH($A283,'Mock Database'!$C$3:$C$152,0))))</f>
        <v/>
      </c>
      <c r="E283" s="22" t="str">
        <f ca="1">IF(ISNA(MATCH($A283,'Mock Database'!$C$3:$C$152,0)),"",IF(ISBLANK(OFFSET('Mock Database'!$N$2,MATCH($A283,'Mock Database'!$C$3:$C$152,0),0)),"",INDEX('Mock Database'!$N$3:$N$152,MATCH($A283,'Mock Database'!$C$3:$C$152,0))))</f>
        <v/>
      </c>
      <c r="F283" s="89" t="str">
        <f ca="1">IF(ISNA(MATCH($A283,'Mock Database'!$C$3:$C$152,0)),"",IF(ISBLANK(OFFSET('Mock Database'!$S$2,MATCH($A283,'Mock Database'!$C$3:$C$152,0),0)),"",INDEX('Mock Database'!$S$3:$S$152,MATCH($A283,'Mock Database'!$C$3:$C$152,0))))</f>
        <v/>
      </c>
      <c r="G283" s="22" t="str">
        <f ca="1">IF(ISNA(MATCH($A283,'Mock Database'!$C$3:$C$152,0)),"",IF(ISBLANK(OFFSET('Mock Database'!$T$2,MATCH($A283,'Mock Database'!$C$3:$C$152,0),0)),"",INDEX('Mock Database'!$T$3:$T$152,MATCH($A283,'Mock Database'!$C$3:$C$152,0))))</f>
        <v/>
      </c>
      <c r="H283" s="89" t="str">
        <f ca="1">IF(ISNA(MATCH($A283,'Mock Database'!$C$3:$C$152,0)),"",IF(ISBLANK(OFFSET('Mock Database'!$Y$2,MATCH($A283,'Mock Database'!$C$3:$C$152,0),0)),"",INDEX('Mock Database'!$Y$3:$Y$152,MATCH($A283,'Mock Database'!$C$3:$C$152,0))))</f>
        <v/>
      </c>
      <c r="I283" s="22" t="str">
        <f ca="1">IF(ISNA(MATCH($A283,'Mock Database'!$C$3:$C$152,0)),"",IF(ISBLANK(OFFSET('Mock Database'!$Z$2,MATCH($A283,'Mock Database'!$C$3:$C$152,0),0)),"",INDEX('Mock Database'!$Z$3:$Z$152,MATCH($A283,'Mock Database'!$C$3:$C$152,0))))</f>
        <v/>
      </c>
      <c r="J283" s="89" t="str">
        <f ca="1">IF(ISNA(MATCH($A283,'Mock Database'!$C$3:$C$152,0)),"",IF(ISBLANK(OFFSET('Mock Database'!$AE$2,MATCH($A283,'Mock Database'!$C$3:$C$152,0),0)),"",INDEX('Mock Database'!$AE$3:$AE$152,MATCH($A283,'Mock Database'!$C$3:$C$152,0))))</f>
        <v/>
      </c>
      <c r="K283" s="22" t="str">
        <f ca="1">IF(ISNA(MATCH($A283,'Mock Database'!$C$3:$C$152,0)),"",IF(ISBLANK(OFFSET('Mock Database'!$AF$2,MATCH($A283,'Mock Database'!$C$3:$C$152,0),0)),"",INDEX('Mock Database'!$AF$3:$AF$152,MATCH($A283,'Mock Database'!$C$3:$C$152,0))))</f>
        <v/>
      </c>
      <c r="N283" t="e">
        <f t="shared" si="44"/>
        <v>#N/A</v>
      </c>
      <c r="O283" s="89" t="e">
        <f t="shared" ca="1" si="45"/>
        <v>#N/A</v>
      </c>
      <c r="P283" s="22" t="e">
        <f t="shared" ca="1" si="46"/>
        <v>#N/A</v>
      </c>
      <c r="Q283" s="89" t="e">
        <f t="shared" ca="1" si="47"/>
        <v>#N/A</v>
      </c>
      <c r="R283" s="22" t="e">
        <f t="shared" ca="1" si="48"/>
        <v>#N/A</v>
      </c>
      <c r="S283" s="89" t="e">
        <f t="shared" ca="1" si="49"/>
        <v>#N/A</v>
      </c>
      <c r="T283" s="22" t="e">
        <f t="shared" ca="1" si="50"/>
        <v>#N/A</v>
      </c>
      <c r="U283" s="89" t="e">
        <f t="shared" ca="1" si="51"/>
        <v>#N/A</v>
      </c>
      <c r="V283" s="22" t="e">
        <f t="shared" ca="1" si="52"/>
        <v>#N/A</v>
      </c>
      <c r="AM283" t="e">
        <f t="shared" si="53"/>
        <v>#N/A</v>
      </c>
      <c r="AN283" t="e">
        <f t="shared" ca="1" si="54"/>
        <v>#N/A</v>
      </c>
    </row>
    <row r="284" spans="1:40" x14ac:dyDescent="0.3">
      <c r="A284" s="87">
        <v>283</v>
      </c>
      <c r="B284" t="str">
        <f>IFERROR(INDEX('Mock Database'!$D$3:$D$152,MATCH($A284,'Mock Database'!$C$3:$C$152,0)),"")</f>
        <v/>
      </c>
      <c r="C284" s="88" t="str">
        <f>IFERROR(INDEX('Mock Database'!$I$3:$I$152,MATCH($A284,'Mock Database'!$C$3:$C$152,0)),"")</f>
        <v/>
      </c>
      <c r="D284" s="89" t="str">
        <f ca="1">IF(ISNA(MATCH($A284,'Mock Database'!$C$3:$C$152,0)),"",IF(ISBLANK(OFFSET('Mock Database'!$M$2,MATCH($A284,'Mock Database'!$C$3:$C$152,0),0)),"",INDEX('Mock Database'!$M$3:$M$152,MATCH($A284,'Mock Database'!$C$3:$C$152,0))))</f>
        <v/>
      </c>
      <c r="E284" s="22" t="str">
        <f ca="1">IF(ISNA(MATCH($A284,'Mock Database'!$C$3:$C$152,0)),"",IF(ISBLANK(OFFSET('Mock Database'!$N$2,MATCH($A284,'Mock Database'!$C$3:$C$152,0),0)),"",INDEX('Mock Database'!$N$3:$N$152,MATCH($A284,'Mock Database'!$C$3:$C$152,0))))</f>
        <v/>
      </c>
      <c r="F284" s="89" t="str">
        <f ca="1">IF(ISNA(MATCH($A284,'Mock Database'!$C$3:$C$152,0)),"",IF(ISBLANK(OFFSET('Mock Database'!$S$2,MATCH($A284,'Mock Database'!$C$3:$C$152,0),0)),"",INDEX('Mock Database'!$S$3:$S$152,MATCH($A284,'Mock Database'!$C$3:$C$152,0))))</f>
        <v/>
      </c>
      <c r="G284" s="22" t="str">
        <f ca="1">IF(ISNA(MATCH($A284,'Mock Database'!$C$3:$C$152,0)),"",IF(ISBLANK(OFFSET('Mock Database'!$T$2,MATCH($A284,'Mock Database'!$C$3:$C$152,0),0)),"",INDEX('Mock Database'!$T$3:$T$152,MATCH($A284,'Mock Database'!$C$3:$C$152,0))))</f>
        <v/>
      </c>
      <c r="H284" s="89" t="str">
        <f ca="1">IF(ISNA(MATCH($A284,'Mock Database'!$C$3:$C$152,0)),"",IF(ISBLANK(OFFSET('Mock Database'!$Y$2,MATCH($A284,'Mock Database'!$C$3:$C$152,0),0)),"",INDEX('Mock Database'!$Y$3:$Y$152,MATCH($A284,'Mock Database'!$C$3:$C$152,0))))</f>
        <v/>
      </c>
      <c r="I284" s="22" t="str">
        <f ca="1">IF(ISNA(MATCH($A284,'Mock Database'!$C$3:$C$152,0)),"",IF(ISBLANK(OFFSET('Mock Database'!$Z$2,MATCH($A284,'Mock Database'!$C$3:$C$152,0),0)),"",INDEX('Mock Database'!$Z$3:$Z$152,MATCH($A284,'Mock Database'!$C$3:$C$152,0))))</f>
        <v/>
      </c>
      <c r="J284" s="89" t="str">
        <f ca="1">IF(ISNA(MATCH($A284,'Mock Database'!$C$3:$C$152,0)),"",IF(ISBLANK(OFFSET('Mock Database'!$AE$2,MATCH($A284,'Mock Database'!$C$3:$C$152,0),0)),"",INDEX('Mock Database'!$AE$3:$AE$152,MATCH($A284,'Mock Database'!$C$3:$C$152,0))))</f>
        <v/>
      </c>
      <c r="K284" s="22" t="str">
        <f ca="1">IF(ISNA(MATCH($A284,'Mock Database'!$C$3:$C$152,0)),"",IF(ISBLANK(OFFSET('Mock Database'!$AF$2,MATCH($A284,'Mock Database'!$C$3:$C$152,0),0)),"",INDEX('Mock Database'!$AF$3:$AF$152,MATCH($A284,'Mock Database'!$C$3:$C$152,0))))</f>
        <v/>
      </c>
      <c r="N284" t="e">
        <f t="shared" si="44"/>
        <v>#N/A</v>
      </c>
      <c r="O284" s="89" t="e">
        <f t="shared" ca="1" si="45"/>
        <v>#N/A</v>
      </c>
      <c r="P284" s="22" t="e">
        <f t="shared" ca="1" si="46"/>
        <v>#N/A</v>
      </c>
      <c r="Q284" s="89" t="e">
        <f t="shared" ca="1" si="47"/>
        <v>#N/A</v>
      </c>
      <c r="R284" s="22" t="e">
        <f t="shared" ca="1" si="48"/>
        <v>#N/A</v>
      </c>
      <c r="S284" s="89" t="e">
        <f t="shared" ca="1" si="49"/>
        <v>#N/A</v>
      </c>
      <c r="T284" s="22" t="e">
        <f t="shared" ca="1" si="50"/>
        <v>#N/A</v>
      </c>
      <c r="U284" s="89" t="e">
        <f t="shared" ca="1" si="51"/>
        <v>#N/A</v>
      </c>
      <c r="V284" s="22" t="e">
        <f t="shared" ca="1" si="52"/>
        <v>#N/A</v>
      </c>
      <c r="AM284" t="e">
        <f t="shared" si="53"/>
        <v>#N/A</v>
      </c>
      <c r="AN284" t="e">
        <f t="shared" ca="1" si="54"/>
        <v>#N/A</v>
      </c>
    </row>
    <row r="285" spans="1:40" x14ac:dyDescent="0.3">
      <c r="A285" s="87">
        <v>284</v>
      </c>
      <c r="B285" t="str">
        <f>IFERROR(INDEX('Mock Database'!$D$3:$D$152,MATCH($A285,'Mock Database'!$C$3:$C$152,0)),"")</f>
        <v/>
      </c>
      <c r="C285" s="88" t="str">
        <f>IFERROR(INDEX('Mock Database'!$I$3:$I$152,MATCH($A285,'Mock Database'!$C$3:$C$152,0)),"")</f>
        <v/>
      </c>
      <c r="D285" s="89" t="str">
        <f ca="1">IF(ISNA(MATCH($A285,'Mock Database'!$C$3:$C$152,0)),"",IF(ISBLANK(OFFSET('Mock Database'!$M$2,MATCH($A285,'Mock Database'!$C$3:$C$152,0),0)),"",INDEX('Mock Database'!$M$3:$M$152,MATCH($A285,'Mock Database'!$C$3:$C$152,0))))</f>
        <v/>
      </c>
      <c r="E285" s="22" t="str">
        <f ca="1">IF(ISNA(MATCH($A285,'Mock Database'!$C$3:$C$152,0)),"",IF(ISBLANK(OFFSET('Mock Database'!$N$2,MATCH($A285,'Mock Database'!$C$3:$C$152,0),0)),"",INDEX('Mock Database'!$N$3:$N$152,MATCH($A285,'Mock Database'!$C$3:$C$152,0))))</f>
        <v/>
      </c>
      <c r="F285" s="89" t="str">
        <f ca="1">IF(ISNA(MATCH($A285,'Mock Database'!$C$3:$C$152,0)),"",IF(ISBLANK(OFFSET('Mock Database'!$S$2,MATCH($A285,'Mock Database'!$C$3:$C$152,0),0)),"",INDEX('Mock Database'!$S$3:$S$152,MATCH($A285,'Mock Database'!$C$3:$C$152,0))))</f>
        <v/>
      </c>
      <c r="G285" s="22" t="str">
        <f ca="1">IF(ISNA(MATCH($A285,'Mock Database'!$C$3:$C$152,0)),"",IF(ISBLANK(OFFSET('Mock Database'!$T$2,MATCH($A285,'Mock Database'!$C$3:$C$152,0),0)),"",INDEX('Mock Database'!$T$3:$T$152,MATCH($A285,'Mock Database'!$C$3:$C$152,0))))</f>
        <v/>
      </c>
      <c r="H285" s="89" t="str">
        <f ca="1">IF(ISNA(MATCH($A285,'Mock Database'!$C$3:$C$152,0)),"",IF(ISBLANK(OFFSET('Mock Database'!$Y$2,MATCH($A285,'Mock Database'!$C$3:$C$152,0),0)),"",INDEX('Mock Database'!$Y$3:$Y$152,MATCH($A285,'Mock Database'!$C$3:$C$152,0))))</f>
        <v/>
      </c>
      <c r="I285" s="22" t="str">
        <f ca="1">IF(ISNA(MATCH($A285,'Mock Database'!$C$3:$C$152,0)),"",IF(ISBLANK(OFFSET('Mock Database'!$Z$2,MATCH($A285,'Mock Database'!$C$3:$C$152,0),0)),"",INDEX('Mock Database'!$Z$3:$Z$152,MATCH($A285,'Mock Database'!$C$3:$C$152,0))))</f>
        <v/>
      </c>
      <c r="J285" s="89" t="str">
        <f ca="1">IF(ISNA(MATCH($A285,'Mock Database'!$C$3:$C$152,0)),"",IF(ISBLANK(OFFSET('Mock Database'!$AE$2,MATCH($A285,'Mock Database'!$C$3:$C$152,0),0)),"",INDEX('Mock Database'!$AE$3:$AE$152,MATCH($A285,'Mock Database'!$C$3:$C$152,0))))</f>
        <v/>
      </c>
      <c r="K285" s="22" t="str">
        <f ca="1">IF(ISNA(MATCH($A285,'Mock Database'!$C$3:$C$152,0)),"",IF(ISBLANK(OFFSET('Mock Database'!$AF$2,MATCH($A285,'Mock Database'!$C$3:$C$152,0),0)),"",INDEX('Mock Database'!$AF$3:$AF$152,MATCH($A285,'Mock Database'!$C$3:$C$152,0))))</f>
        <v/>
      </c>
      <c r="N285" t="e">
        <f t="shared" si="44"/>
        <v>#N/A</v>
      </c>
      <c r="O285" s="89" t="e">
        <f t="shared" ca="1" si="45"/>
        <v>#N/A</v>
      </c>
      <c r="P285" s="22" t="e">
        <f t="shared" ca="1" si="46"/>
        <v>#N/A</v>
      </c>
      <c r="Q285" s="89" t="e">
        <f t="shared" ca="1" si="47"/>
        <v>#N/A</v>
      </c>
      <c r="R285" s="22" t="e">
        <f t="shared" ca="1" si="48"/>
        <v>#N/A</v>
      </c>
      <c r="S285" s="89" t="e">
        <f t="shared" ca="1" si="49"/>
        <v>#N/A</v>
      </c>
      <c r="T285" s="22" t="e">
        <f t="shared" ca="1" si="50"/>
        <v>#N/A</v>
      </c>
      <c r="U285" s="89" t="e">
        <f t="shared" ca="1" si="51"/>
        <v>#N/A</v>
      </c>
      <c r="V285" s="22" t="e">
        <f t="shared" ca="1" si="52"/>
        <v>#N/A</v>
      </c>
      <c r="AM285" t="e">
        <f t="shared" si="53"/>
        <v>#N/A</v>
      </c>
      <c r="AN285" t="e">
        <f t="shared" ca="1" si="54"/>
        <v>#N/A</v>
      </c>
    </row>
    <row r="286" spans="1:40" x14ac:dyDescent="0.3">
      <c r="A286" s="87">
        <v>285</v>
      </c>
      <c r="B286" t="str">
        <f>IFERROR(INDEX('Mock Database'!$D$3:$D$152,MATCH($A286,'Mock Database'!$C$3:$C$152,0)),"")</f>
        <v/>
      </c>
      <c r="C286" s="88" t="str">
        <f>IFERROR(INDEX('Mock Database'!$I$3:$I$152,MATCH($A286,'Mock Database'!$C$3:$C$152,0)),"")</f>
        <v/>
      </c>
      <c r="D286" s="89" t="str">
        <f ca="1">IF(ISNA(MATCH($A286,'Mock Database'!$C$3:$C$152,0)),"",IF(ISBLANK(OFFSET('Mock Database'!$M$2,MATCH($A286,'Mock Database'!$C$3:$C$152,0),0)),"",INDEX('Mock Database'!$M$3:$M$152,MATCH($A286,'Mock Database'!$C$3:$C$152,0))))</f>
        <v/>
      </c>
      <c r="E286" s="22" t="str">
        <f ca="1">IF(ISNA(MATCH($A286,'Mock Database'!$C$3:$C$152,0)),"",IF(ISBLANK(OFFSET('Mock Database'!$N$2,MATCH($A286,'Mock Database'!$C$3:$C$152,0),0)),"",INDEX('Mock Database'!$N$3:$N$152,MATCH($A286,'Mock Database'!$C$3:$C$152,0))))</f>
        <v/>
      </c>
      <c r="F286" s="89" t="str">
        <f ca="1">IF(ISNA(MATCH($A286,'Mock Database'!$C$3:$C$152,0)),"",IF(ISBLANK(OFFSET('Mock Database'!$S$2,MATCH($A286,'Mock Database'!$C$3:$C$152,0),0)),"",INDEX('Mock Database'!$S$3:$S$152,MATCH($A286,'Mock Database'!$C$3:$C$152,0))))</f>
        <v/>
      </c>
      <c r="G286" s="22" t="str">
        <f ca="1">IF(ISNA(MATCH($A286,'Mock Database'!$C$3:$C$152,0)),"",IF(ISBLANK(OFFSET('Mock Database'!$T$2,MATCH($A286,'Mock Database'!$C$3:$C$152,0),0)),"",INDEX('Mock Database'!$T$3:$T$152,MATCH($A286,'Mock Database'!$C$3:$C$152,0))))</f>
        <v/>
      </c>
      <c r="H286" s="89" t="str">
        <f ca="1">IF(ISNA(MATCH($A286,'Mock Database'!$C$3:$C$152,0)),"",IF(ISBLANK(OFFSET('Mock Database'!$Y$2,MATCH($A286,'Mock Database'!$C$3:$C$152,0),0)),"",INDEX('Mock Database'!$Y$3:$Y$152,MATCH($A286,'Mock Database'!$C$3:$C$152,0))))</f>
        <v/>
      </c>
      <c r="I286" s="22" t="str">
        <f ca="1">IF(ISNA(MATCH($A286,'Mock Database'!$C$3:$C$152,0)),"",IF(ISBLANK(OFFSET('Mock Database'!$Z$2,MATCH($A286,'Mock Database'!$C$3:$C$152,0),0)),"",INDEX('Mock Database'!$Z$3:$Z$152,MATCH($A286,'Mock Database'!$C$3:$C$152,0))))</f>
        <v/>
      </c>
      <c r="J286" s="89" t="str">
        <f ca="1">IF(ISNA(MATCH($A286,'Mock Database'!$C$3:$C$152,0)),"",IF(ISBLANK(OFFSET('Mock Database'!$AE$2,MATCH($A286,'Mock Database'!$C$3:$C$152,0),0)),"",INDEX('Mock Database'!$AE$3:$AE$152,MATCH($A286,'Mock Database'!$C$3:$C$152,0))))</f>
        <v/>
      </c>
      <c r="K286" s="22" t="str">
        <f ca="1">IF(ISNA(MATCH($A286,'Mock Database'!$C$3:$C$152,0)),"",IF(ISBLANK(OFFSET('Mock Database'!$AF$2,MATCH($A286,'Mock Database'!$C$3:$C$152,0),0)),"",INDEX('Mock Database'!$AF$3:$AF$152,MATCH($A286,'Mock Database'!$C$3:$C$152,0))))</f>
        <v/>
      </c>
      <c r="N286" t="e">
        <f t="shared" si="44"/>
        <v>#N/A</v>
      </c>
      <c r="O286" s="89" t="e">
        <f t="shared" ca="1" si="45"/>
        <v>#N/A</v>
      </c>
      <c r="P286" s="22" t="e">
        <f t="shared" ca="1" si="46"/>
        <v>#N/A</v>
      </c>
      <c r="Q286" s="89" t="e">
        <f t="shared" ca="1" si="47"/>
        <v>#N/A</v>
      </c>
      <c r="R286" s="22" t="e">
        <f t="shared" ca="1" si="48"/>
        <v>#N/A</v>
      </c>
      <c r="S286" s="89" t="e">
        <f t="shared" ca="1" si="49"/>
        <v>#N/A</v>
      </c>
      <c r="T286" s="22" t="e">
        <f t="shared" ca="1" si="50"/>
        <v>#N/A</v>
      </c>
      <c r="U286" s="89" t="e">
        <f t="shared" ca="1" si="51"/>
        <v>#N/A</v>
      </c>
      <c r="V286" s="22" t="e">
        <f t="shared" ca="1" si="52"/>
        <v>#N/A</v>
      </c>
      <c r="AM286" t="e">
        <f t="shared" si="53"/>
        <v>#N/A</v>
      </c>
      <c r="AN286" t="e">
        <f t="shared" ca="1" si="54"/>
        <v>#N/A</v>
      </c>
    </row>
    <row r="287" spans="1:40" x14ac:dyDescent="0.3">
      <c r="A287" s="87">
        <v>286</v>
      </c>
      <c r="B287" t="str">
        <f>IFERROR(INDEX('Mock Database'!$D$3:$D$152,MATCH($A287,'Mock Database'!$C$3:$C$152,0)),"")</f>
        <v/>
      </c>
      <c r="C287" s="88" t="str">
        <f>IFERROR(INDEX('Mock Database'!$I$3:$I$152,MATCH($A287,'Mock Database'!$C$3:$C$152,0)),"")</f>
        <v/>
      </c>
      <c r="D287" s="89" t="str">
        <f ca="1">IF(ISNA(MATCH($A287,'Mock Database'!$C$3:$C$152,0)),"",IF(ISBLANK(OFFSET('Mock Database'!$M$2,MATCH($A287,'Mock Database'!$C$3:$C$152,0),0)),"",INDEX('Mock Database'!$M$3:$M$152,MATCH($A287,'Mock Database'!$C$3:$C$152,0))))</f>
        <v/>
      </c>
      <c r="E287" s="22" t="str">
        <f ca="1">IF(ISNA(MATCH($A287,'Mock Database'!$C$3:$C$152,0)),"",IF(ISBLANK(OFFSET('Mock Database'!$N$2,MATCH($A287,'Mock Database'!$C$3:$C$152,0),0)),"",INDEX('Mock Database'!$N$3:$N$152,MATCH($A287,'Mock Database'!$C$3:$C$152,0))))</f>
        <v/>
      </c>
      <c r="F287" s="89" t="str">
        <f ca="1">IF(ISNA(MATCH($A287,'Mock Database'!$C$3:$C$152,0)),"",IF(ISBLANK(OFFSET('Mock Database'!$S$2,MATCH($A287,'Mock Database'!$C$3:$C$152,0),0)),"",INDEX('Mock Database'!$S$3:$S$152,MATCH($A287,'Mock Database'!$C$3:$C$152,0))))</f>
        <v/>
      </c>
      <c r="G287" s="22" t="str">
        <f ca="1">IF(ISNA(MATCH($A287,'Mock Database'!$C$3:$C$152,0)),"",IF(ISBLANK(OFFSET('Mock Database'!$T$2,MATCH($A287,'Mock Database'!$C$3:$C$152,0),0)),"",INDEX('Mock Database'!$T$3:$T$152,MATCH($A287,'Mock Database'!$C$3:$C$152,0))))</f>
        <v/>
      </c>
      <c r="H287" s="89" t="str">
        <f ca="1">IF(ISNA(MATCH($A287,'Mock Database'!$C$3:$C$152,0)),"",IF(ISBLANK(OFFSET('Mock Database'!$Y$2,MATCH($A287,'Mock Database'!$C$3:$C$152,0),0)),"",INDEX('Mock Database'!$Y$3:$Y$152,MATCH($A287,'Mock Database'!$C$3:$C$152,0))))</f>
        <v/>
      </c>
      <c r="I287" s="22" t="str">
        <f ca="1">IF(ISNA(MATCH($A287,'Mock Database'!$C$3:$C$152,0)),"",IF(ISBLANK(OFFSET('Mock Database'!$Z$2,MATCH($A287,'Mock Database'!$C$3:$C$152,0),0)),"",INDEX('Mock Database'!$Z$3:$Z$152,MATCH($A287,'Mock Database'!$C$3:$C$152,0))))</f>
        <v/>
      </c>
      <c r="J287" s="89" t="str">
        <f ca="1">IF(ISNA(MATCH($A287,'Mock Database'!$C$3:$C$152,0)),"",IF(ISBLANK(OFFSET('Mock Database'!$AE$2,MATCH($A287,'Mock Database'!$C$3:$C$152,0),0)),"",INDEX('Mock Database'!$AE$3:$AE$152,MATCH($A287,'Mock Database'!$C$3:$C$152,0))))</f>
        <v/>
      </c>
      <c r="K287" s="22" t="str">
        <f ca="1">IF(ISNA(MATCH($A287,'Mock Database'!$C$3:$C$152,0)),"",IF(ISBLANK(OFFSET('Mock Database'!$AF$2,MATCH($A287,'Mock Database'!$C$3:$C$152,0),0)),"",INDEX('Mock Database'!$AF$3:$AF$152,MATCH($A287,'Mock Database'!$C$3:$C$152,0))))</f>
        <v/>
      </c>
      <c r="N287" t="e">
        <f t="shared" si="44"/>
        <v>#N/A</v>
      </c>
      <c r="O287" s="89" t="e">
        <f t="shared" ca="1" si="45"/>
        <v>#N/A</v>
      </c>
      <c r="P287" s="22" t="e">
        <f t="shared" ca="1" si="46"/>
        <v>#N/A</v>
      </c>
      <c r="Q287" s="89" t="e">
        <f t="shared" ca="1" si="47"/>
        <v>#N/A</v>
      </c>
      <c r="R287" s="22" t="e">
        <f t="shared" ca="1" si="48"/>
        <v>#N/A</v>
      </c>
      <c r="S287" s="89" t="e">
        <f t="shared" ca="1" si="49"/>
        <v>#N/A</v>
      </c>
      <c r="T287" s="22" t="e">
        <f t="shared" ca="1" si="50"/>
        <v>#N/A</v>
      </c>
      <c r="U287" s="89" t="e">
        <f t="shared" ca="1" si="51"/>
        <v>#N/A</v>
      </c>
      <c r="V287" s="22" t="e">
        <f t="shared" ca="1" si="52"/>
        <v>#N/A</v>
      </c>
      <c r="AM287" t="e">
        <f t="shared" si="53"/>
        <v>#N/A</v>
      </c>
      <c r="AN287" t="e">
        <f t="shared" ca="1" si="54"/>
        <v>#N/A</v>
      </c>
    </row>
    <row r="288" spans="1:40" x14ac:dyDescent="0.3">
      <c r="A288" s="87">
        <v>287</v>
      </c>
      <c r="B288" t="str">
        <f>IFERROR(INDEX('Mock Database'!$D$3:$D$152,MATCH($A288,'Mock Database'!$C$3:$C$152,0)),"")</f>
        <v/>
      </c>
      <c r="C288" s="88" t="str">
        <f>IFERROR(INDEX('Mock Database'!$I$3:$I$152,MATCH($A288,'Mock Database'!$C$3:$C$152,0)),"")</f>
        <v/>
      </c>
      <c r="D288" s="89" t="str">
        <f ca="1">IF(ISNA(MATCH($A288,'Mock Database'!$C$3:$C$152,0)),"",IF(ISBLANK(OFFSET('Mock Database'!$M$2,MATCH($A288,'Mock Database'!$C$3:$C$152,0),0)),"",INDEX('Mock Database'!$M$3:$M$152,MATCH($A288,'Mock Database'!$C$3:$C$152,0))))</f>
        <v/>
      </c>
      <c r="E288" s="22" t="str">
        <f ca="1">IF(ISNA(MATCH($A288,'Mock Database'!$C$3:$C$152,0)),"",IF(ISBLANK(OFFSET('Mock Database'!$N$2,MATCH($A288,'Mock Database'!$C$3:$C$152,0),0)),"",INDEX('Mock Database'!$N$3:$N$152,MATCH($A288,'Mock Database'!$C$3:$C$152,0))))</f>
        <v/>
      </c>
      <c r="F288" s="89" t="str">
        <f ca="1">IF(ISNA(MATCH($A288,'Mock Database'!$C$3:$C$152,0)),"",IF(ISBLANK(OFFSET('Mock Database'!$S$2,MATCH($A288,'Mock Database'!$C$3:$C$152,0),0)),"",INDEX('Mock Database'!$S$3:$S$152,MATCH($A288,'Mock Database'!$C$3:$C$152,0))))</f>
        <v/>
      </c>
      <c r="G288" s="22" t="str">
        <f ca="1">IF(ISNA(MATCH($A288,'Mock Database'!$C$3:$C$152,0)),"",IF(ISBLANK(OFFSET('Mock Database'!$T$2,MATCH($A288,'Mock Database'!$C$3:$C$152,0),0)),"",INDEX('Mock Database'!$T$3:$T$152,MATCH($A288,'Mock Database'!$C$3:$C$152,0))))</f>
        <v/>
      </c>
      <c r="H288" s="89" t="str">
        <f ca="1">IF(ISNA(MATCH($A288,'Mock Database'!$C$3:$C$152,0)),"",IF(ISBLANK(OFFSET('Mock Database'!$Y$2,MATCH($A288,'Mock Database'!$C$3:$C$152,0),0)),"",INDEX('Mock Database'!$Y$3:$Y$152,MATCH($A288,'Mock Database'!$C$3:$C$152,0))))</f>
        <v/>
      </c>
      <c r="I288" s="22" t="str">
        <f ca="1">IF(ISNA(MATCH($A288,'Mock Database'!$C$3:$C$152,0)),"",IF(ISBLANK(OFFSET('Mock Database'!$Z$2,MATCH($A288,'Mock Database'!$C$3:$C$152,0),0)),"",INDEX('Mock Database'!$Z$3:$Z$152,MATCH($A288,'Mock Database'!$C$3:$C$152,0))))</f>
        <v/>
      </c>
      <c r="J288" s="89" t="str">
        <f ca="1">IF(ISNA(MATCH($A288,'Mock Database'!$C$3:$C$152,0)),"",IF(ISBLANK(OFFSET('Mock Database'!$AE$2,MATCH($A288,'Mock Database'!$C$3:$C$152,0),0)),"",INDEX('Mock Database'!$AE$3:$AE$152,MATCH($A288,'Mock Database'!$C$3:$C$152,0))))</f>
        <v/>
      </c>
      <c r="K288" s="22" t="str">
        <f ca="1">IF(ISNA(MATCH($A288,'Mock Database'!$C$3:$C$152,0)),"",IF(ISBLANK(OFFSET('Mock Database'!$AF$2,MATCH($A288,'Mock Database'!$C$3:$C$152,0),0)),"",INDEX('Mock Database'!$AF$3:$AF$152,MATCH($A288,'Mock Database'!$C$3:$C$152,0))))</f>
        <v/>
      </c>
      <c r="N288" t="e">
        <f t="shared" si="44"/>
        <v>#N/A</v>
      </c>
      <c r="O288" s="89" t="e">
        <f t="shared" ca="1" si="45"/>
        <v>#N/A</v>
      </c>
      <c r="P288" s="22" t="e">
        <f t="shared" ca="1" si="46"/>
        <v>#N/A</v>
      </c>
      <c r="Q288" s="89" t="e">
        <f t="shared" ca="1" si="47"/>
        <v>#N/A</v>
      </c>
      <c r="R288" s="22" t="e">
        <f t="shared" ca="1" si="48"/>
        <v>#N/A</v>
      </c>
      <c r="S288" s="89" t="e">
        <f t="shared" ca="1" si="49"/>
        <v>#N/A</v>
      </c>
      <c r="T288" s="22" t="e">
        <f t="shared" ca="1" si="50"/>
        <v>#N/A</v>
      </c>
      <c r="U288" s="89" t="e">
        <f t="shared" ca="1" si="51"/>
        <v>#N/A</v>
      </c>
      <c r="V288" s="22" t="e">
        <f t="shared" ca="1" si="52"/>
        <v>#N/A</v>
      </c>
      <c r="AM288" t="e">
        <f t="shared" si="53"/>
        <v>#N/A</v>
      </c>
      <c r="AN288" t="e">
        <f t="shared" ca="1" si="54"/>
        <v>#N/A</v>
      </c>
    </row>
    <row r="289" spans="1:40" x14ac:dyDescent="0.3">
      <c r="A289" s="87">
        <v>288</v>
      </c>
      <c r="B289" t="str">
        <f>IFERROR(INDEX('Mock Database'!$D$3:$D$152,MATCH($A289,'Mock Database'!$C$3:$C$152,0)),"")</f>
        <v/>
      </c>
      <c r="C289" s="88" t="str">
        <f>IFERROR(INDEX('Mock Database'!$I$3:$I$152,MATCH($A289,'Mock Database'!$C$3:$C$152,0)),"")</f>
        <v/>
      </c>
      <c r="D289" s="89" t="str">
        <f ca="1">IF(ISNA(MATCH($A289,'Mock Database'!$C$3:$C$152,0)),"",IF(ISBLANK(OFFSET('Mock Database'!$M$2,MATCH($A289,'Mock Database'!$C$3:$C$152,0),0)),"",INDEX('Mock Database'!$M$3:$M$152,MATCH($A289,'Mock Database'!$C$3:$C$152,0))))</f>
        <v/>
      </c>
      <c r="E289" s="22" t="str">
        <f ca="1">IF(ISNA(MATCH($A289,'Mock Database'!$C$3:$C$152,0)),"",IF(ISBLANK(OFFSET('Mock Database'!$N$2,MATCH($A289,'Mock Database'!$C$3:$C$152,0),0)),"",INDEX('Mock Database'!$N$3:$N$152,MATCH($A289,'Mock Database'!$C$3:$C$152,0))))</f>
        <v/>
      </c>
      <c r="F289" s="89" t="str">
        <f ca="1">IF(ISNA(MATCH($A289,'Mock Database'!$C$3:$C$152,0)),"",IF(ISBLANK(OFFSET('Mock Database'!$S$2,MATCH($A289,'Mock Database'!$C$3:$C$152,0),0)),"",INDEX('Mock Database'!$S$3:$S$152,MATCH($A289,'Mock Database'!$C$3:$C$152,0))))</f>
        <v/>
      </c>
      <c r="G289" s="22" t="str">
        <f ca="1">IF(ISNA(MATCH($A289,'Mock Database'!$C$3:$C$152,0)),"",IF(ISBLANK(OFFSET('Mock Database'!$T$2,MATCH($A289,'Mock Database'!$C$3:$C$152,0),0)),"",INDEX('Mock Database'!$T$3:$T$152,MATCH($A289,'Mock Database'!$C$3:$C$152,0))))</f>
        <v/>
      </c>
      <c r="H289" s="89" t="str">
        <f ca="1">IF(ISNA(MATCH($A289,'Mock Database'!$C$3:$C$152,0)),"",IF(ISBLANK(OFFSET('Mock Database'!$Y$2,MATCH($A289,'Mock Database'!$C$3:$C$152,0),0)),"",INDEX('Mock Database'!$Y$3:$Y$152,MATCH($A289,'Mock Database'!$C$3:$C$152,0))))</f>
        <v/>
      </c>
      <c r="I289" s="22" t="str">
        <f ca="1">IF(ISNA(MATCH($A289,'Mock Database'!$C$3:$C$152,0)),"",IF(ISBLANK(OFFSET('Mock Database'!$Z$2,MATCH($A289,'Mock Database'!$C$3:$C$152,0),0)),"",INDEX('Mock Database'!$Z$3:$Z$152,MATCH($A289,'Mock Database'!$C$3:$C$152,0))))</f>
        <v/>
      </c>
      <c r="J289" s="89" t="str">
        <f ca="1">IF(ISNA(MATCH($A289,'Mock Database'!$C$3:$C$152,0)),"",IF(ISBLANK(OFFSET('Mock Database'!$AE$2,MATCH($A289,'Mock Database'!$C$3:$C$152,0),0)),"",INDEX('Mock Database'!$AE$3:$AE$152,MATCH($A289,'Mock Database'!$C$3:$C$152,0))))</f>
        <v/>
      </c>
      <c r="K289" s="22" t="str">
        <f ca="1">IF(ISNA(MATCH($A289,'Mock Database'!$C$3:$C$152,0)),"",IF(ISBLANK(OFFSET('Mock Database'!$AF$2,MATCH($A289,'Mock Database'!$C$3:$C$152,0),0)),"",INDEX('Mock Database'!$AF$3:$AF$152,MATCH($A289,'Mock Database'!$C$3:$C$152,0))))</f>
        <v/>
      </c>
      <c r="N289" t="e">
        <f t="shared" si="44"/>
        <v>#N/A</v>
      </c>
      <c r="O289" s="89" t="e">
        <f t="shared" ca="1" si="45"/>
        <v>#N/A</v>
      </c>
      <c r="P289" s="22" t="e">
        <f t="shared" ca="1" si="46"/>
        <v>#N/A</v>
      </c>
      <c r="Q289" s="89" t="e">
        <f t="shared" ca="1" si="47"/>
        <v>#N/A</v>
      </c>
      <c r="R289" s="22" t="e">
        <f t="shared" ca="1" si="48"/>
        <v>#N/A</v>
      </c>
      <c r="S289" s="89" t="e">
        <f t="shared" ca="1" si="49"/>
        <v>#N/A</v>
      </c>
      <c r="T289" s="22" t="e">
        <f t="shared" ca="1" si="50"/>
        <v>#N/A</v>
      </c>
      <c r="U289" s="89" t="e">
        <f t="shared" ca="1" si="51"/>
        <v>#N/A</v>
      </c>
      <c r="V289" s="22" t="e">
        <f t="shared" ca="1" si="52"/>
        <v>#N/A</v>
      </c>
      <c r="AM289" t="e">
        <f t="shared" si="53"/>
        <v>#N/A</v>
      </c>
      <c r="AN289" t="e">
        <f t="shared" ca="1" si="54"/>
        <v>#N/A</v>
      </c>
    </row>
    <row r="290" spans="1:40" x14ac:dyDescent="0.3">
      <c r="A290" s="87">
        <v>289</v>
      </c>
      <c r="B290" t="str">
        <f>IFERROR(INDEX('Mock Database'!$D$3:$D$152,MATCH($A290,'Mock Database'!$C$3:$C$152,0)),"")</f>
        <v/>
      </c>
      <c r="C290" s="88" t="str">
        <f>IFERROR(INDEX('Mock Database'!$I$3:$I$152,MATCH($A290,'Mock Database'!$C$3:$C$152,0)),"")</f>
        <v/>
      </c>
      <c r="D290" s="89" t="str">
        <f ca="1">IF(ISNA(MATCH($A290,'Mock Database'!$C$3:$C$152,0)),"",IF(ISBLANK(OFFSET('Mock Database'!$M$2,MATCH($A290,'Mock Database'!$C$3:$C$152,0),0)),"",INDEX('Mock Database'!$M$3:$M$152,MATCH($A290,'Mock Database'!$C$3:$C$152,0))))</f>
        <v/>
      </c>
      <c r="E290" s="22" t="str">
        <f ca="1">IF(ISNA(MATCH($A290,'Mock Database'!$C$3:$C$152,0)),"",IF(ISBLANK(OFFSET('Mock Database'!$N$2,MATCH($A290,'Mock Database'!$C$3:$C$152,0),0)),"",INDEX('Mock Database'!$N$3:$N$152,MATCH($A290,'Mock Database'!$C$3:$C$152,0))))</f>
        <v/>
      </c>
      <c r="F290" s="89" t="str">
        <f ca="1">IF(ISNA(MATCH($A290,'Mock Database'!$C$3:$C$152,0)),"",IF(ISBLANK(OFFSET('Mock Database'!$S$2,MATCH($A290,'Mock Database'!$C$3:$C$152,0),0)),"",INDEX('Mock Database'!$S$3:$S$152,MATCH($A290,'Mock Database'!$C$3:$C$152,0))))</f>
        <v/>
      </c>
      <c r="G290" s="22" t="str">
        <f ca="1">IF(ISNA(MATCH($A290,'Mock Database'!$C$3:$C$152,0)),"",IF(ISBLANK(OFFSET('Mock Database'!$T$2,MATCH($A290,'Mock Database'!$C$3:$C$152,0),0)),"",INDEX('Mock Database'!$T$3:$T$152,MATCH($A290,'Mock Database'!$C$3:$C$152,0))))</f>
        <v/>
      </c>
      <c r="H290" s="89" t="str">
        <f ca="1">IF(ISNA(MATCH($A290,'Mock Database'!$C$3:$C$152,0)),"",IF(ISBLANK(OFFSET('Mock Database'!$Y$2,MATCH($A290,'Mock Database'!$C$3:$C$152,0),0)),"",INDEX('Mock Database'!$Y$3:$Y$152,MATCH($A290,'Mock Database'!$C$3:$C$152,0))))</f>
        <v/>
      </c>
      <c r="I290" s="22" t="str">
        <f ca="1">IF(ISNA(MATCH($A290,'Mock Database'!$C$3:$C$152,0)),"",IF(ISBLANK(OFFSET('Mock Database'!$Z$2,MATCH($A290,'Mock Database'!$C$3:$C$152,0),0)),"",INDEX('Mock Database'!$Z$3:$Z$152,MATCH($A290,'Mock Database'!$C$3:$C$152,0))))</f>
        <v/>
      </c>
      <c r="J290" s="89" t="str">
        <f ca="1">IF(ISNA(MATCH($A290,'Mock Database'!$C$3:$C$152,0)),"",IF(ISBLANK(OFFSET('Mock Database'!$AE$2,MATCH($A290,'Mock Database'!$C$3:$C$152,0),0)),"",INDEX('Mock Database'!$AE$3:$AE$152,MATCH($A290,'Mock Database'!$C$3:$C$152,0))))</f>
        <v/>
      </c>
      <c r="K290" s="22" t="str">
        <f ca="1">IF(ISNA(MATCH($A290,'Mock Database'!$C$3:$C$152,0)),"",IF(ISBLANK(OFFSET('Mock Database'!$AF$2,MATCH($A290,'Mock Database'!$C$3:$C$152,0),0)),"",INDEX('Mock Database'!$AF$3:$AF$152,MATCH($A290,'Mock Database'!$C$3:$C$152,0))))</f>
        <v/>
      </c>
      <c r="N290" t="e">
        <f t="shared" si="44"/>
        <v>#N/A</v>
      </c>
      <c r="O290" s="89" t="e">
        <f t="shared" ca="1" si="45"/>
        <v>#N/A</v>
      </c>
      <c r="P290" s="22" t="e">
        <f t="shared" ca="1" si="46"/>
        <v>#N/A</v>
      </c>
      <c r="Q290" s="89" t="e">
        <f t="shared" ca="1" si="47"/>
        <v>#N/A</v>
      </c>
      <c r="R290" s="22" t="e">
        <f t="shared" ca="1" si="48"/>
        <v>#N/A</v>
      </c>
      <c r="S290" s="89" t="e">
        <f t="shared" ca="1" si="49"/>
        <v>#N/A</v>
      </c>
      <c r="T290" s="22" t="e">
        <f t="shared" ca="1" si="50"/>
        <v>#N/A</v>
      </c>
      <c r="U290" s="89" t="e">
        <f t="shared" ca="1" si="51"/>
        <v>#N/A</v>
      </c>
      <c r="V290" s="22" t="e">
        <f t="shared" ca="1" si="52"/>
        <v>#N/A</v>
      </c>
      <c r="AM290" t="e">
        <f t="shared" si="53"/>
        <v>#N/A</v>
      </c>
      <c r="AN290" t="e">
        <f t="shared" ca="1" si="54"/>
        <v>#N/A</v>
      </c>
    </row>
    <row r="291" spans="1:40" x14ac:dyDescent="0.3">
      <c r="A291" s="87">
        <v>290</v>
      </c>
      <c r="B291" t="str">
        <f>IFERROR(INDEX('Mock Database'!$D$3:$D$152,MATCH($A291,'Mock Database'!$C$3:$C$152,0)),"")</f>
        <v/>
      </c>
      <c r="C291" s="88" t="str">
        <f>IFERROR(INDEX('Mock Database'!$I$3:$I$152,MATCH($A291,'Mock Database'!$C$3:$C$152,0)),"")</f>
        <v/>
      </c>
      <c r="D291" s="89" t="str">
        <f ca="1">IF(ISNA(MATCH($A291,'Mock Database'!$C$3:$C$152,0)),"",IF(ISBLANK(OFFSET('Mock Database'!$M$2,MATCH($A291,'Mock Database'!$C$3:$C$152,0),0)),"",INDEX('Mock Database'!$M$3:$M$152,MATCH($A291,'Mock Database'!$C$3:$C$152,0))))</f>
        <v/>
      </c>
      <c r="E291" s="22" t="str">
        <f ca="1">IF(ISNA(MATCH($A291,'Mock Database'!$C$3:$C$152,0)),"",IF(ISBLANK(OFFSET('Mock Database'!$N$2,MATCH($A291,'Mock Database'!$C$3:$C$152,0),0)),"",INDEX('Mock Database'!$N$3:$N$152,MATCH($A291,'Mock Database'!$C$3:$C$152,0))))</f>
        <v/>
      </c>
      <c r="F291" s="89" t="str">
        <f ca="1">IF(ISNA(MATCH($A291,'Mock Database'!$C$3:$C$152,0)),"",IF(ISBLANK(OFFSET('Mock Database'!$S$2,MATCH($A291,'Mock Database'!$C$3:$C$152,0),0)),"",INDEX('Mock Database'!$S$3:$S$152,MATCH($A291,'Mock Database'!$C$3:$C$152,0))))</f>
        <v/>
      </c>
      <c r="G291" s="22" t="str">
        <f ca="1">IF(ISNA(MATCH($A291,'Mock Database'!$C$3:$C$152,0)),"",IF(ISBLANK(OFFSET('Mock Database'!$T$2,MATCH($A291,'Mock Database'!$C$3:$C$152,0),0)),"",INDEX('Mock Database'!$T$3:$T$152,MATCH($A291,'Mock Database'!$C$3:$C$152,0))))</f>
        <v/>
      </c>
      <c r="H291" s="89" t="str">
        <f ca="1">IF(ISNA(MATCH($A291,'Mock Database'!$C$3:$C$152,0)),"",IF(ISBLANK(OFFSET('Mock Database'!$Y$2,MATCH($A291,'Mock Database'!$C$3:$C$152,0),0)),"",INDEX('Mock Database'!$Y$3:$Y$152,MATCH($A291,'Mock Database'!$C$3:$C$152,0))))</f>
        <v/>
      </c>
      <c r="I291" s="22" t="str">
        <f ca="1">IF(ISNA(MATCH($A291,'Mock Database'!$C$3:$C$152,0)),"",IF(ISBLANK(OFFSET('Mock Database'!$Z$2,MATCH($A291,'Mock Database'!$C$3:$C$152,0),0)),"",INDEX('Mock Database'!$Z$3:$Z$152,MATCH($A291,'Mock Database'!$C$3:$C$152,0))))</f>
        <v/>
      </c>
      <c r="J291" s="89" t="str">
        <f ca="1">IF(ISNA(MATCH($A291,'Mock Database'!$C$3:$C$152,0)),"",IF(ISBLANK(OFFSET('Mock Database'!$AE$2,MATCH($A291,'Mock Database'!$C$3:$C$152,0),0)),"",INDEX('Mock Database'!$AE$3:$AE$152,MATCH($A291,'Mock Database'!$C$3:$C$152,0))))</f>
        <v/>
      </c>
      <c r="K291" s="22" t="str">
        <f ca="1">IF(ISNA(MATCH($A291,'Mock Database'!$C$3:$C$152,0)),"",IF(ISBLANK(OFFSET('Mock Database'!$AF$2,MATCH($A291,'Mock Database'!$C$3:$C$152,0),0)),"",INDEX('Mock Database'!$AF$3:$AF$152,MATCH($A291,'Mock Database'!$C$3:$C$152,0))))</f>
        <v/>
      </c>
      <c r="N291" t="e">
        <f t="shared" si="44"/>
        <v>#N/A</v>
      </c>
      <c r="O291" s="89" t="e">
        <f t="shared" ca="1" si="45"/>
        <v>#N/A</v>
      </c>
      <c r="P291" s="22" t="e">
        <f t="shared" ca="1" si="46"/>
        <v>#N/A</v>
      </c>
      <c r="Q291" s="89" t="e">
        <f t="shared" ca="1" si="47"/>
        <v>#N/A</v>
      </c>
      <c r="R291" s="22" t="e">
        <f t="shared" ca="1" si="48"/>
        <v>#N/A</v>
      </c>
      <c r="S291" s="89" t="e">
        <f t="shared" ca="1" si="49"/>
        <v>#N/A</v>
      </c>
      <c r="T291" s="22" t="e">
        <f t="shared" ca="1" si="50"/>
        <v>#N/A</v>
      </c>
      <c r="U291" s="89" t="e">
        <f t="shared" ca="1" si="51"/>
        <v>#N/A</v>
      </c>
      <c r="V291" s="22" t="e">
        <f t="shared" ca="1" si="52"/>
        <v>#N/A</v>
      </c>
      <c r="AM291" t="e">
        <f t="shared" si="53"/>
        <v>#N/A</v>
      </c>
      <c r="AN291" t="e">
        <f t="shared" ca="1" si="54"/>
        <v>#N/A</v>
      </c>
    </row>
    <row r="292" spans="1:40" x14ac:dyDescent="0.3">
      <c r="A292" s="87">
        <v>291</v>
      </c>
      <c r="B292" t="str">
        <f>IFERROR(INDEX('Mock Database'!$D$3:$D$152,MATCH($A292,'Mock Database'!$C$3:$C$152,0)),"")</f>
        <v/>
      </c>
      <c r="C292" s="88" t="str">
        <f>IFERROR(INDEX('Mock Database'!$I$3:$I$152,MATCH($A292,'Mock Database'!$C$3:$C$152,0)),"")</f>
        <v/>
      </c>
      <c r="D292" s="89" t="str">
        <f ca="1">IF(ISNA(MATCH($A292,'Mock Database'!$C$3:$C$152,0)),"",IF(ISBLANK(OFFSET('Mock Database'!$M$2,MATCH($A292,'Mock Database'!$C$3:$C$152,0),0)),"",INDEX('Mock Database'!$M$3:$M$152,MATCH($A292,'Mock Database'!$C$3:$C$152,0))))</f>
        <v/>
      </c>
      <c r="E292" s="22" t="str">
        <f ca="1">IF(ISNA(MATCH($A292,'Mock Database'!$C$3:$C$152,0)),"",IF(ISBLANK(OFFSET('Mock Database'!$N$2,MATCH($A292,'Mock Database'!$C$3:$C$152,0),0)),"",INDEX('Mock Database'!$N$3:$N$152,MATCH($A292,'Mock Database'!$C$3:$C$152,0))))</f>
        <v/>
      </c>
      <c r="F292" s="89" t="str">
        <f ca="1">IF(ISNA(MATCH($A292,'Mock Database'!$C$3:$C$152,0)),"",IF(ISBLANK(OFFSET('Mock Database'!$S$2,MATCH($A292,'Mock Database'!$C$3:$C$152,0),0)),"",INDEX('Mock Database'!$S$3:$S$152,MATCH($A292,'Mock Database'!$C$3:$C$152,0))))</f>
        <v/>
      </c>
      <c r="G292" s="22" t="str">
        <f ca="1">IF(ISNA(MATCH($A292,'Mock Database'!$C$3:$C$152,0)),"",IF(ISBLANK(OFFSET('Mock Database'!$T$2,MATCH($A292,'Mock Database'!$C$3:$C$152,0),0)),"",INDEX('Mock Database'!$T$3:$T$152,MATCH($A292,'Mock Database'!$C$3:$C$152,0))))</f>
        <v/>
      </c>
      <c r="H292" s="89" t="str">
        <f ca="1">IF(ISNA(MATCH($A292,'Mock Database'!$C$3:$C$152,0)),"",IF(ISBLANK(OFFSET('Mock Database'!$Y$2,MATCH($A292,'Mock Database'!$C$3:$C$152,0),0)),"",INDEX('Mock Database'!$Y$3:$Y$152,MATCH($A292,'Mock Database'!$C$3:$C$152,0))))</f>
        <v/>
      </c>
      <c r="I292" s="22" t="str">
        <f ca="1">IF(ISNA(MATCH($A292,'Mock Database'!$C$3:$C$152,0)),"",IF(ISBLANK(OFFSET('Mock Database'!$Z$2,MATCH($A292,'Mock Database'!$C$3:$C$152,0),0)),"",INDEX('Mock Database'!$Z$3:$Z$152,MATCH($A292,'Mock Database'!$C$3:$C$152,0))))</f>
        <v/>
      </c>
      <c r="J292" s="89" t="str">
        <f ca="1">IF(ISNA(MATCH($A292,'Mock Database'!$C$3:$C$152,0)),"",IF(ISBLANK(OFFSET('Mock Database'!$AE$2,MATCH($A292,'Mock Database'!$C$3:$C$152,0),0)),"",INDEX('Mock Database'!$AE$3:$AE$152,MATCH($A292,'Mock Database'!$C$3:$C$152,0))))</f>
        <v/>
      </c>
      <c r="K292" s="22" t="str">
        <f ca="1">IF(ISNA(MATCH($A292,'Mock Database'!$C$3:$C$152,0)),"",IF(ISBLANK(OFFSET('Mock Database'!$AF$2,MATCH($A292,'Mock Database'!$C$3:$C$152,0),0)),"",INDEX('Mock Database'!$AF$3:$AF$152,MATCH($A292,'Mock Database'!$C$3:$C$152,0))))</f>
        <v/>
      </c>
      <c r="N292" t="e">
        <f t="shared" si="44"/>
        <v>#N/A</v>
      </c>
      <c r="O292" s="89" t="e">
        <f t="shared" ca="1" si="45"/>
        <v>#N/A</v>
      </c>
      <c r="P292" s="22" t="e">
        <f t="shared" ca="1" si="46"/>
        <v>#N/A</v>
      </c>
      <c r="Q292" s="89" t="e">
        <f t="shared" ca="1" si="47"/>
        <v>#N/A</v>
      </c>
      <c r="R292" s="22" t="e">
        <f t="shared" ca="1" si="48"/>
        <v>#N/A</v>
      </c>
      <c r="S292" s="89" t="e">
        <f t="shared" ca="1" si="49"/>
        <v>#N/A</v>
      </c>
      <c r="T292" s="22" t="e">
        <f t="shared" ca="1" si="50"/>
        <v>#N/A</v>
      </c>
      <c r="U292" s="89" t="e">
        <f t="shared" ca="1" si="51"/>
        <v>#N/A</v>
      </c>
      <c r="V292" s="22" t="e">
        <f t="shared" ca="1" si="52"/>
        <v>#N/A</v>
      </c>
      <c r="AM292" t="e">
        <f t="shared" si="53"/>
        <v>#N/A</v>
      </c>
      <c r="AN292" t="e">
        <f t="shared" ca="1" si="54"/>
        <v>#N/A</v>
      </c>
    </row>
    <row r="293" spans="1:40" x14ac:dyDescent="0.3">
      <c r="A293" s="87">
        <v>292</v>
      </c>
      <c r="B293" t="str">
        <f>IFERROR(INDEX('Mock Database'!$D$3:$D$152,MATCH($A293,'Mock Database'!$C$3:$C$152,0)),"")</f>
        <v/>
      </c>
      <c r="C293" s="88" t="str">
        <f>IFERROR(INDEX('Mock Database'!$I$3:$I$152,MATCH($A293,'Mock Database'!$C$3:$C$152,0)),"")</f>
        <v/>
      </c>
      <c r="D293" s="89" t="str">
        <f ca="1">IF(ISNA(MATCH($A293,'Mock Database'!$C$3:$C$152,0)),"",IF(ISBLANK(OFFSET('Mock Database'!$M$2,MATCH($A293,'Mock Database'!$C$3:$C$152,0),0)),"",INDEX('Mock Database'!$M$3:$M$152,MATCH($A293,'Mock Database'!$C$3:$C$152,0))))</f>
        <v/>
      </c>
      <c r="E293" s="22" t="str">
        <f ca="1">IF(ISNA(MATCH($A293,'Mock Database'!$C$3:$C$152,0)),"",IF(ISBLANK(OFFSET('Mock Database'!$N$2,MATCH($A293,'Mock Database'!$C$3:$C$152,0),0)),"",INDEX('Mock Database'!$N$3:$N$152,MATCH($A293,'Mock Database'!$C$3:$C$152,0))))</f>
        <v/>
      </c>
      <c r="F293" s="89" t="str">
        <f ca="1">IF(ISNA(MATCH($A293,'Mock Database'!$C$3:$C$152,0)),"",IF(ISBLANK(OFFSET('Mock Database'!$S$2,MATCH($A293,'Mock Database'!$C$3:$C$152,0),0)),"",INDEX('Mock Database'!$S$3:$S$152,MATCH($A293,'Mock Database'!$C$3:$C$152,0))))</f>
        <v/>
      </c>
      <c r="G293" s="22" t="str">
        <f ca="1">IF(ISNA(MATCH($A293,'Mock Database'!$C$3:$C$152,0)),"",IF(ISBLANK(OFFSET('Mock Database'!$T$2,MATCH($A293,'Mock Database'!$C$3:$C$152,0),0)),"",INDEX('Mock Database'!$T$3:$T$152,MATCH($A293,'Mock Database'!$C$3:$C$152,0))))</f>
        <v/>
      </c>
      <c r="H293" s="89" t="str">
        <f ca="1">IF(ISNA(MATCH($A293,'Mock Database'!$C$3:$C$152,0)),"",IF(ISBLANK(OFFSET('Mock Database'!$Y$2,MATCH($A293,'Mock Database'!$C$3:$C$152,0),0)),"",INDEX('Mock Database'!$Y$3:$Y$152,MATCH($A293,'Mock Database'!$C$3:$C$152,0))))</f>
        <v/>
      </c>
      <c r="I293" s="22" t="str">
        <f ca="1">IF(ISNA(MATCH($A293,'Mock Database'!$C$3:$C$152,0)),"",IF(ISBLANK(OFFSET('Mock Database'!$Z$2,MATCH($A293,'Mock Database'!$C$3:$C$152,0),0)),"",INDEX('Mock Database'!$Z$3:$Z$152,MATCH($A293,'Mock Database'!$C$3:$C$152,0))))</f>
        <v/>
      </c>
      <c r="J293" s="89" t="str">
        <f ca="1">IF(ISNA(MATCH($A293,'Mock Database'!$C$3:$C$152,0)),"",IF(ISBLANK(OFFSET('Mock Database'!$AE$2,MATCH($A293,'Mock Database'!$C$3:$C$152,0),0)),"",INDEX('Mock Database'!$AE$3:$AE$152,MATCH($A293,'Mock Database'!$C$3:$C$152,0))))</f>
        <v/>
      </c>
      <c r="K293" s="22" t="str">
        <f ca="1">IF(ISNA(MATCH($A293,'Mock Database'!$C$3:$C$152,0)),"",IF(ISBLANK(OFFSET('Mock Database'!$AF$2,MATCH($A293,'Mock Database'!$C$3:$C$152,0),0)),"",INDEX('Mock Database'!$AF$3:$AF$152,MATCH($A293,'Mock Database'!$C$3:$C$152,0))))</f>
        <v/>
      </c>
      <c r="N293" t="e">
        <f t="shared" si="44"/>
        <v>#N/A</v>
      </c>
      <c r="O293" s="89" t="e">
        <f t="shared" ca="1" si="45"/>
        <v>#N/A</v>
      </c>
      <c r="P293" s="22" t="e">
        <f t="shared" ca="1" si="46"/>
        <v>#N/A</v>
      </c>
      <c r="Q293" s="89" t="e">
        <f t="shared" ca="1" si="47"/>
        <v>#N/A</v>
      </c>
      <c r="R293" s="22" t="e">
        <f t="shared" ca="1" si="48"/>
        <v>#N/A</v>
      </c>
      <c r="S293" s="89" t="e">
        <f t="shared" ca="1" si="49"/>
        <v>#N/A</v>
      </c>
      <c r="T293" s="22" t="e">
        <f t="shared" ca="1" si="50"/>
        <v>#N/A</v>
      </c>
      <c r="U293" s="89" t="e">
        <f t="shared" ca="1" si="51"/>
        <v>#N/A</v>
      </c>
      <c r="V293" s="22" t="e">
        <f t="shared" ca="1" si="52"/>
        <v>#N/A</v>
      </c>
      <c r="AM293" t="e">
        <f t="shared" si="53"/>
        <v>#N/A</v>
      </c>
      <c r="AN293" t="e">
        <f t="shared" ca="1" si="54"/>
        <v>#N/A</v>
      </c>
    </row>
    <row r="294" spans="1:40" x14ac:dyDescent="0.3">
      <c r="A294" s="87">
        <v>293</v>
      </c>
      <c r="B294" t="str">
        <f>IFERROR(INDEX('Mock Database'!$D$3:$D$152,MATCH($A294,'Mock Database'!$C$3:$C$152,0)),"")</f>
        <v/>
      </c>
      <c r="C294" s="88" t="str">
        <f>IFERROR(INDEX('Mock Database'!$I$3:$I$152,MATCH($A294,'Mock Database'!$C$3:$C$152,0)),"")</f>
        <v/>
      </c>
      <c r="D294" s="89" t="str">
        <f ca="1">IF(ISNA(MATCH($A294,'Mock Database'!$C$3:$C$152,0)),"",IF(ISBLANK(OFFSET('Mock Database'!$M$2,MATCH($A294,'Mock Database'!$C$3:$C$152,0),0)),"",INDEX('Mock Database'!$M$3:$M$152,MATCH($A294,'Mock Database'!$C$3:$C$152,0))))</f>
        <v/>
      </c>
      <c r="E294" s="22" t="str">
        <f ca="1">IF(ISNA(MATCH($A294,'Mock Database'!$C$3:$C$152,0)),"",IF(ISBLANK(OFFSET('Mock Database'!$N$2,MATCH($A294,'Mock Database'!$C$3:$C$152,0),0)),"",INDEX('Mock Database'!$N$3:$N$152,MATCH($A294,'Mock Database'!$C$3:$C$152,0))))</f>
        <v/>
      </c>
      <c r="F294" s="89" t="str">
        <f ca="1">IF(ISNA(MATCH($A294,'Mock Database'!$C$3:$C$152,0)),"",IF(ISBLANK(OFFSET('Mock Database'!$S$2,MATCH($A294,'Mock Database'!$C$3:$C$152,0),0)),"",INDEX('Mock Database'!$S$3:$S$152,MATCH($A294,'Mock Database'!$C$3:$C$152,0))))</f>
        <v/>
      </c>
      <c r="G294" s="22" t="str">
        <f ca="1">IF(ISNA(MATCH($A294,'Mock Database'!$C$3:$C$152,0)),"",IF(ISBLANK(OFFSET('Mock Database'!$T$2,MATCH($A294,'Mock Database'!$C$3:$C$152,0),0)),"",INDEX('Mock Database'!$T$3:$T$152,MATCH($A294,'Mock Database'!$C$3:$C$152,0))))</f>
        <v/>
      </c>
      <c r="H294" s="89" t="str">
        <f ca="1">IF(ISNA(MATCH($A294,'Mock Database'!$C$3:$C$152,0)),"",IF(ISBLANK(OFFSET('Mock Database'!$Y$2,MATCH($A294,'Mock Database'!$C$3:$C$152,0),0)),"",INDEX('Mock Database'!$Y$3:$Y$152,MATCH($A294,'Mock Database'!$C$3:$C$152,0))))</f>
        <v/>
      </c>
      <c r="I294" s="22" t="str">
        <f ca="1">IF(ISNA(MATCH($A294,'Mock Database'!$C$3:$C$152,0)),"",IF(ISBLANK(OFFSET('Mock Database'!$Z$2,MATCH($A294,'Mock Database'!$C$3:$C$152,0),0)),"",INDEX('Mock Database'!$Z$3:$Z$152,MATCH($A294,'Mock Database'!$C$3:$C$152,0))))</f>
        <v/>
      </c>
      <c r="J294" s="89" t="str">
        <f ca="1">IF(ISNA(MATCH($A294,'Mock Database'!$C$3:$C$152,0)),"",IF(ISBLANK(OFFSET('Mock Database'!$AE$2,MATCH($A294,'Mock Database'!$C$3:$C$152,0),0)),"",INDEX('Mock Database'!$AE$3:$AE$152,MATCH($A294,'Mock Database'!$C$3:$C$152,0))))</f>
        <v/>
      </c>
      <c r="K294" s="22" t="str">
        <f ca="1">IF(ISNA(MATCH($A294,'Mock Database'!$C$3:$C$152,0)),"",IF(ISBLANK(OFFSET('Mock Database'!$AF$2,MATCH($A294,'Mock Database'!$C$3:$C$152,0),0)),"",INDEX('Mock Database'!$AF$3:$AF$152,MATCH($A294,'Mock Database'!$C$3:$C$152,0))))</f>
        <v/>
      </c>
      <c r="N294" t="e">
        <f t="shared" si="44"/>
        <v>#N/A</v>
      </c>
      <c r="O294" s="89" t="e">
        <f t="shared" ca="1" si="45"/>
        <v>#N/A</v>
      </c>
      <c r="P294" s="22" t="e">
        <f t="shared" ca="1" si="46"/>
        <v>#N/A</v>
      </c>
      <c r="Q294" s="89" t="e">
        <f t="shared" ca="1" si="47"/>
        <v>#N/A</v>
      </c>
      <c r="R294" s="22" t="e">
        <f t="shared" ca="1" si="48"/>
        <v>#N/A</v>
      </c>
      <c r="S294" s="89" t="e">
        <f t="shared" ca="1" si="49"/>
        <v>#N/A</v>
      </c>
      <c r="T294" s="22" t="e">
        <f t="shared" ca="1" si="50"/>
        <v>#N/A</v>
      </c>
      <c r="U294" s="89" t="e">
        <f t="shared" ca="1" si="51"/>
        <v>#N/A</v>
      </c>
      <c r="V294" s="22" t="e">
        <f t="shared" ca="1" si="52"/>
        <v>#N/A</v>
      </c>
      <c r="AM294" t="e">
        <f t="shared" si="53"/>
        <v>#N/A</v>
      </c>
      <c r="AN294" t="e">
        <f t="shared" ca="1" si="54"/>
        <v>#N/A</v>
      </c>
    </row>
    <row r="295" spans="1:40" x14ac:dyDescent="0.3">
      <c r="A295" s="87">
        <v>294</v>
      </c>
      <c r="B295" t="str">
        <f>IFERROR(INDEX('Mock Database'!$D$3:$D$152,MATCH($A295,'Mock Database'!$C$3:$C$152,0)),"")</f>
        <v/>
      </c>
      <c r="C295" s="88" t="str">
        <f>IFERROR(INDEX('Mock Database'!$I$3:$I$152,MATCH($A295,'Mock Database'!$C$3:$C$152,0)),"")</f>
        <v/>
      </c>
      <c r="D295" s="89" t="str">
        <f ca="1">IF(ISNA(MATCH($A295,'Mock Database'!$C$3:$C$152,0)),"",IF(ISBLANK(OFFSET('Mock Database'!$M$2,MATCH($A295,'Mock Database'!$C$3:$C$152,0),0)),"",INDEX('Mock Database'!$M$3:$M$152,MATCH($A295,'Mock Database'!$C$3:$C$152,0))))</f>
        <v/>
      </c>
      <c r="E295" s="22" t="str">
        <f ca="1">IF(ISNA(MATCH($A295,'Mock Database'!$C$3:$C$152,0)),"",IF(ISBLANK(OFFSET('Mock Database'!$N$2,MATCH($A295,'Mock Database'!$C$3:$C$152,0),0)),"",INDEX('Mock Database'!$N$3:$N$152,MATCH($A295,'Mock Database'!$C$3:$C$152,0))))</f>
        <v/>
      </c>
      <c r="F295" s="89" t="str">
        <f ca="1">IF(ISNA(MATCH($A295,'Mock Database'!$C$3:$C$152,0)),"",IF(ISBLANK(OFFSET('Mock Database'!$S$2,MATCH($A295,'Mock Database'!$C$3:$C$152,0),0)),"",INDEX('Mock Database'!$S$3:$S$152,MATCH($A295,'Mock Database'!$C$3:$C$152,0))))</f>
        <v/>
      </c>
      <c r="G295" s="22" t="str">
        <f ca="1">IF(ISNA(MATCH($A295,'Mock Database'!$C$3:$C$152,0)),"",IF(ISBLANK(OFFSET('Mock Database'!$T$2,MATCH($A295,'Mock Database'!$C$3:$C$152,0),0)),"",INDEX('Mock Database'!$T$3:$T$152,MATCH($A295,'Mock Database'!$C$3:$C$152,0))))</f>
        <v/>
      </c>
      <c r="H295" s="89" t="str">
        <f ca="1">IF(ISNA(MATCH($A295,'Mock Database'!$C$3:$C$152,0)),"",IF(ISBLANK(OFFSET('Mock Database'!$Y$2,MATCH($A295,'Mock Database'!$C$3:$C$152,0),0)),"",INDEX('Mock Database'!$Y$3:$Y$152,MATCH($A295,'Mock Database'!$C$3:$C$152,0))))</f>
        <v/>
      </c>
      <c r="I295" s="22" t="str">
        <f ca="1">IF(ISNA(MATCH($A295,'Mock Database'!$C$3:$C$152,0)),"",IF(ISBLANK(OFFSET('Mock Database'!$Z$2,MATCH($A295,'Mock Database'!$C$3:$C$152,0),0)),"",INDEX('Mock Database'!$Z$3:$Z$152,MATCH($A295,'Mock Database'!$C$3:$C$152,0))))</f>
        <v/>
      </c>
      <c r="J295" s="89" t="str">
        <f ca="1">IF(ISNA(MATCH($A295,'Mock Database'!$C$3:$C$152,0)),"",IF(ISBLANK(OFFSET('Mock Database'!$AE$2,MATCH($A295,'Mock Database'!$C$3:$C$152,0),0)),"",INDEX('Mock Database'!$AE$3:$AE$152,MATCH($A295,'Mock Database'!$C$3:$C$152,0))))</f>
        <v/>
      </c>
      <c r="K295" s="22" t="str">
        <f ca="1">IF(ISNA(MATCH($A295,'Mock Database'!$C$3:$C$152,0)),"",IF(ISBLANK(OFFSET('Mock Database'!$AF$2,MATCH($A295,'Mock Database'!$C$3:$C$152,0),0)),"",INDEX('Mock Database'!$AF$3:$AF$152,MATCH($A295,'Mock Database'!$C$3:$C$152,0))))</f>
        <v/>
      </c>
      <c r="N295" t="e">
        <f t="shared" si="44"/>
        <v>#N/A</v>
      </c>
      <c r="O295" s="89" t="e">
        <f t="shared" ca="1" si="45"/>
        <v>#N/A</v>
      </c>
      <c r="P295" s="22" t="e">
        <f t="shared" ca="1" si="46"/>
        <v>#N/A</v>
      </c>
      <c r="Q295" s="89" t="e">
        <f t="shared" ca="1" si="47"/>
        <v>#N/A</v>
      </c>
      <c r="R295" s="22" t="e">
        <f t="shared" ca="1" si="48"/>
        <v>#N/A</v>
      </c>
      <c r="S295" s="89" t="e">
        <f t="shared" ca="1" si="49"/>
        <v>#N/A</v>
      </c>
      <c r="T295" s="22" t="e">
        <f t="shared" ca="1" si="50"/>
        <v>#N/A</v>
      </c>
      <c r="U295" s="89" t="e">
        <f t="shared" ca="1" si="51"/>
        <v>#N/A</v>
      </c>
      <c r="V295" s="22" t="e">
        <f t="shared" ca="1" si="52"/>
        <v>#N/A</v>
      </c>
      <c r="AM295" t="e">
        <f t="shared" si="53"/>
        <v>#N/A</v>
      </c>
      <c r="AN295" t="e">
        <f t="shared" ca="1" si="54"/>
        <v>#N/A</v>
      </c>
    </row>
    <row r="296" spans="1:40" x14ac:dyDescent="0.3">
      <c r="A296" s="87">
        <v>295</v>
      </c>
      <c r="B296" t="str">
        <f>IFERROR(INDEX('Mock Database'!$D$3:$D$152,MATCH($A296,'Mock Database'!$C$3:$C$152,0)),"")</f>
        <v/>
      </c>
      <c r="C296" s="88" t="str">
        <f>IFERROR(INDEX('Mock Database'!$I$3:$I$152,MATCH($A296,'Mock Database'!$C$3:$C$152,0)),"")</f>
        <v/>
      </c>
      <c r="D296" s="89" t="str">
        <f ca="1">IF(ISNA(MATCH($A296,'Mock Database'!$C$3:$C$152,0)),"",IF(ISBLANK(OFFSET('Mock Database'!$M$2,MATCH($A296,'Mock Database'!$C$3:$C$152,0),0)),"",INDEX('Mock Database'!$M$3:$M$152,MATCH($A296,'Mock Database'!$C$3:$C$152,0))))</f>
        <v/>
      </c>
      <c r="E296" s="22" t="str">
        <f ca="1">IF(ISNA(MATCH($A296,'Mock Database'!$C$3:$C$152,0)),"",IF(ISBLANK(OFFSET('Mock Database'!$N$2,MATCH($A296,'Mock Database'!$C$3:$C$152,0),0)),"",INDEX('Mock Database'!$N$3:$N$152,MATCH($A296,'Mock Database'!$C$3:$C$152,0))))</f>
        <v/>
      </c>
      <c r="F296" s="89" t="str">
        <f ca="1">IF(ISNA(MATCH($A296,'Mock Database'!$C$3:$C$152,0)),"",IF(ISBLANK(OFFSET('Mock Database'!$S$2,MATCH($A296,'Mock Database'!$C$3:$C$152,0),0)),"",INDEX('Mock Database'!$S$3:$S$152,MATCH($A296,'Mock Database'!$C$3:$C$152,0))))</f>
        <v/>
      </c>
      <c r="G296" s="22" t="str">
        <f ca="1">IF(ISNA(MATCH($A296,'Mock Database'!$C$3:$C$152,0)),"",IF(ISBLANK(OFFSET('Mock Database'!$T$2,MATCH($A296,'Mock Database'!$C$3:$C$152,0),0)),"",INDEX('Mock Database'!$T$3:$T$152,MATCH($A296,'Mock Database'!$C$3:$C$152,0))))</f>
        <v/>
      </c>
      <c r="H296" s="89" t="str">
        <f ca="1">IF(ISNA(MATCH($A296,'Mock Database'!$C$3:$C$152,0)),"",IF(ISBLANK(OFFSET('Mock Database'!$Y$2,MATCH($A296,'Mock Database'!$C$3:$C$152,0),0)),"",INDEX('Mock Database'!$Y$3:$Y$152,MATCH($A296,'Mock Database'!$C$3:$C$152,0))))</f>
        <v/>
      </c>
      <c r="I296" s="22" t="str">
        <f ca="1">IF(ISNA(MATCH($A296,'Mock Database'!$C$3:$C$152,0)),"",IF(ISBLANK(OFFSET('Mock Database'!$Z$2,MATCH($A296,'Mock Database'!$C$3:$C$152,0),0)),"",INDEX('Mock Database'!$Z$3:$Z$152,MATCH($A296,'Mock Database'!$C$3:$C$152,0))))</f>
        <v/>
      </c>
      <c r="J296" s="89" t="str">
        <f ca="1">IF(ISNA(MATCH($A296,'Mock Database'!$C$3:$C$152,0)),"",IF(ISBLANK(OFFSET('Mock Database'!$AE$2,MATCH($A296,'Mock Database'!$C$3:$C$152,0),0)),"",INDEX('Mock Database'!$AE$3:$AE$152,MATCH($A296,'Mock Database'!$C$3:$C$152,0))))</f>
        <v/>
      </c>
      <c r="K296" s="22" t="str">
        <f ca="1">IF(ISNA(MATCH($A296,'Mock Database'!$C$3:$C$152,0)),"",IF(ISBLANK(OFFSET('Mock Database'!$AF$2,MATCH($A296,'Mock Database'!$C$3:$C$152,0),0)),"",INDEX('Mock Database'!$AF$3:$AF$152,MATCH($A296,'Mock Database'!$C$3:$C$152,0))))</f>
        <v/>
      </c>
      <c r="N296" t="e">
        <f t="shared" si="44"/>
        <v>#N/A</v>
      </c>
      <c r="O296" s="89" t="e">
        <f t="shared" ca="1" si="45"/>
        <v>#N/A</v>
      </c>
      <c r="P296" s="22" t="e">
        <f t="shared" ca="1" si="46"/>
        <v>#N/A</v>
      </c>
      <c r="Q296" s="89" t="e">
        <f t="shared" ca="1" si="47"/>
        <v>#N/A</v>
      </c>
      <c r="R296" s="22" t="e">
        <f t="shared" ca="1" si="48"/>
        <v>#N/A</v>
      </c>
      <c r="S296" s="89" t="e">
        <f t="shared" ca="1" si="49"/>
        <v>#N/A</v>
      </c>
      <c r="T296" s="22" t="e">
        <f t="shared" ca="1" si="50"/>
        <v>#N/A</v>
      </c>
      <c r="U296" s="89" t="e">
        <f t="shared" ca="1" si="51"/>
        <v>#N/A</v>
      </c>
      <c r="V296" s="22" t="e">
        <f t="shared" ca="1" si="52"/>
        <v>#N/A</v>
      </c>
      <c r="AM296" t="e">
        <f t="shared" si="53"/>
        <v>#N/A</v>
      </c>
      <c r="AN296" t="e">
        <f t="shared" ca="1" si="54"/>
        <v>#N/A</v>
      </c>
    </row>
    <row r="297" spans="1:40" x14ac:dyDescent="0.3">
      <c r="A297" s="87">
        <v>296</v>
      </c>
      <c r="B297" t="str">
        <f>IFERROR(INDEX('Mock Database'!$D$3:$D$152,MATCH($A297,'Mock Database'!$C$3:$C$152,0)),"")</f>
        <v/>
      </c>
      <c r="C297" s="88" t="str">
        <f>IFERROR(INDEX('Mock Database'!$I$3:$I$152,MATCH($A297,'Mock Database'!$C$3:$C$152,0)),"")</f>
        <v/>
      </c>
      <c r="D297" s="89" t="str">
        <f ca="1">IF(ISNA(MATCH($A297,'Mock Database'!$C$3:$C$152,0)),"",IF(ISBLANK(OFFSET('Mock Database'!$M$2,MATCH($A297,'Mock Database'!$C$3:$C$152,0),0)),"",INDEX('Mock Database'!$M$3:$M$152,MATCH($A297,'Mock Database'!$C$3:$C$152,0))))</f>
        <v/>
      </c>
      <c r="E297" s="22" t="str">
        <f ca="1">IF(ISNA(MATCH($A297,'Mock Database'!$C$3:$C$152,0)),"",IF(ISBLANK(OFFSET('Mock Database'!$N$2,MATCH($A297,'Mock Database'!$C$3:$C$152,0),0)),"",INDEX('Mock Database'!$N$3:$N$152,MATCH($A297,'Mock Database'!$C$3:$C$152,0))))</f>
        <v/>
      </c>
      <c r="F297" s="89" t="str">
        <f ca="1">IF(ISNA(MATCH($A297,'Mock Database'!$C$3:$C$152,0)),"",IF(ISBLANK(OFFSET('Mock Database'!$S$2,MATCH($A297,'Mock Database'!$C$3:$C$152,0),0)),"",INDEX('Mock Database'!$S$3:$S$152,MATCH($A297,'Mock Database'!$C$3:$C$152,0))))</f>
        <v/>
      </c>
      <c r="G297" s="22" t="str">
        <f ca="1">IF(ISNA(MATCH($A297,'Mock Database'!$C$3:$C$152,0)),"",IF(ISBLANK(OFFSET('Mock Database'!$T$2,MATCH($A297,'Mock Database'!$C$3:$C$152,0),0)),"",INDEX('Mock Database'!$T$3:$T$152,MATCH($A297,'Mock Database'!$C$3:$C$152,0))))</f>
        <v/>
      </c>
      <c r="H297" s="89" t="str">
        <f ca="1">IF(ISNA(MATCH($A297,'Mock Database'!$C$3:$C$152,0)),"",IF(ISBLANK(OFFSET('Mock Database'!$Y$2,MATCH($A297,'Mock Database'!$C$3:$C$152,0),0)),"",INDEX('Mock Database'!$Y$3:$Y$152,MATCH($A297,'Mock Database'!$C$3:$C$152,0))))</f>
        <v/>
      </c>
      <c r="I297" s="22" t="str">
        <f ca="1">IF(ISNA(MATCH($A297,'Mock Database'!$C$3:$C$152,0)),"",IF(ISBLANK(OFFSET('Mock Database'!$Z$2,MATCH($A297,'Mock Database'!$C$3:$C$152,0),0)),"",INDEX('Mock Database'!$Z$3:$Z$152,MATCH($A297,'Mock Database'!$C$3:$C$152,0))))</f>
        <v/>
      </c>
      <c r="J297" s="89" t="str">
        <f ca="1">IF(ISNA(MATCH($A297,'Mock Database'!$C$3:$C$152,0)),"",IF(ISBLANK(OFFSET('Mock Database'!$AE$2,MATCH($A297,'Mock Database'!$C$3:$C$152,0),0)),"",INDEX('Mock Database'!$AE$3:$AE$152,MATCH($A297,'Mock Database'!$C$3:$C$152,0))))</f>
        <v/>
      </c>
      <c r="K297" s="22" t="str">
        <f ca="1">IF(ISNA(MATCH($A297,'Mock Database'!$C$3:$C$152,0)),"",IF(ISBLANK(OFFSET('Mock Database'!$AF$2,MATCH($A297,'Mock Database'!$C$3:$C$152,0),0)),"",INDEX('Mock Database'!$AF$3:$AF$152,MATCH($A297,'Mock Database'!$C$3:$C$152,0))))</f>
        <v/>
      </c>
      <c r="N297" t="e">
        <f t="shared" si="44"/>
        <v>#N/A</v>
      </c>
      <c r="O297" s="89" t="e">
        <f t="shared" ca="1" si="45"/>
        <v>#N/A</v>
      </c>
      <c r="P297" s="22" t="e">
        <f t="shared" ca="1" si="46"/>
        <v>#N/A</v>
      </c>
      <c r="Q297" s="89" t="e">
        <f t="shared" ca="1" si="47"/>
        <v>#N/A</v>
      </c>
      <c r="R297" s="22" t="e">
        <f t="shared" ca="1" si="48"/>
        <v>#N/A</v>
      </c>
      <c r="S297" s="89" t="e">
        <f t="shared" ca="1" si="49"/>
        <v>#N/A</v>
      </c>
      <c r="T297" s="22" t="e">
        <f t="shared" ca="1" si="50"/>
        <v>#N/A</v>
      </c>
      <c r="U297" s="89" t="e">
        <f t="shared" ca="1" si="51"/>
        <v>#N/A</v>
      </c>
      <c r="V297" s="22" t="e">
        <f t="shared" ca="1" si="52"/>
        <v>#N/A</v>
      </c>
      <c r="AM297" t="e">
        <f t="shared" si="53"/>
        <v>#N/A</v>
      </c>
      <c r="AN297" t="e">
        <f t="shared" ca="1" si="54"/>
        <v>#N/A</v>
      </c>
    </row>
    <row r="298" spans="1:40" x14ac:dyDescent="0.3">
      <c r="A298" s="87">
        <v>297</v>
      </c>
      <c r="B298" t="str">
        <f>IFERROR(INDEX('Mock Database'!$D$3:$D$152,MATCH($A298,'Mock Database'!$C$3:$C$152,0)),"")</f>
        <v/>
      </c>
      <c r="C298" s="88" t="str">
        <f>IFERROR(INDEX('Mock Database'!$I$3:$I$152,MATCH($A298,'Mock Database'!$C$3:$C$152,0)),"")</f>
        <v/>
      </c>
      <c r="D298" s="89" t="str">
        <f ca="1">IF(ISNA(MATCH($A298,'Mock Database'!$C$3:$C$152,0)),"",IF(ISBLANK(OFFSET('Mock Database'!$M$2,MATCH($A298,'Mock Database'!$C$3:$C$152,0),0)),"",INDEX('Mock Database'!$M$3:$M$152,MATCH($A298,'Mock Database'!$C$3:$C$152,0))))</f>
        <v/>
      </c>
      <c r="E298" s="22" t="str">
        <f ca="1">IF(ISNA(MATCH($A298,'Mock Database'!$C$3:$C$152,0)),"",IF(ISBLANK(OFFSET('Mock Database'!$N$2,MATCH($A298,'Mock Database'!$C$3:$C$152,0),0)),"",INDEX('Mock Database'!$N$3:$N$152,MATCH($A298,'Mock Database'!$C$3:$C$152,0))))</f>
        <v/>
      </c>
      <c r="F298" s="89" t="str">
        <f ca="1">IF(ISNA(MATCH($A298,'Mock Database'!$C$3:$C$152,0)),"",IF(ISBLANK(OFFSET('Mock Database'!$S$2,MATCH($A298,'Mock Database'!$C$3:$C$152,0),0)),"",INDEX('Mock Database'!$S$3:$S$152,MATCH($A298,'Mock Database'!$C$3:$C$152,0))))</f>
        <v/>
      </c>
      <c r="G298" s="22" t="str">
        <f ca="1">IF(ISNA(MATCH($A298,'Mock Database'!$C$3:$C$152,0)),"",IF(ISBLANK(OFFSET('Mock Database'!$T$2,MATCH($A298,'Mock Database'!$C$3:$C$152,0),0)),"",INDEX('Mock Database'!$T$3:$T$152,MATCH($A298,'Mock Database'!$C$3:$C$152,0))))</f>
        <v/>
      </c>
      <c r="H298" s="89" t="str">
        <f ca="1">IF(ISNA(MATCH($A298,'Mock Database'!$C$3:$C$152,0)),"",IF(ISBLANK(OFFSET('Mock Database'!$Y$2,MATCH($A298,'Mock Database'!$C$3:$C$152,0),0)),"",INDEX('Mock Database'!$Y$3:$Y$152,MATCH($A298,'Mock Database'!$C$3:$C$152,0))))</f>
        <v/>
      </c>
      <c r="I298" s="22" t="str">
        <f ca="1">IF(ISNA(MATCH($A298,'Mock Database'!$C$3:$C$152,0)),"",IF(ISBLANK(OFFSET('Mock Database'!$Z$2,MATCH($A298,'Mock Database'!$C$3:$C$152,0),0)),"",INDEX('Mock Database'!$Z$3:$Z$152,MATCH($A298,'Mock Database'!$C$3:$C$152,0))))</f>
        <v/>
      </c>
      <c r="J298" s="89" t="str">
        <f ca="1">IF(ISNA(MATCH($A298,'Mock Database'!$C$3:$C$152,0)),"",IF(ISBLANK(OFFSET('Mock Database'!$AE$2,MATCH($A298,'Mock Database'!$C$3:$C$152,0),0)),"",INDEX('Mock Database'!$AE$3:$AE$152,MATCH($A298,'Mock Database'!$C$3:$C$152,0))))</f>
        <v/>
      </c>
      <c r="K298" s="22" t="str">
        <f ca="1">IF(ISNA(MATCH($A298,'Mock Database'!$C$3:$C$152,0)),"",IF(ISBLANK(OFFSET('Mock Database'!$AF$2,MATCH($A298,'Mock Database'!$C$3:$C$152,0),0)),"",INDEX('Mock Database'!$AF$3:$AF$152,MATCH($A298,'Mock Database'!$C$3:$C$152,0))))</f>
        <v/>
      </c>
      <c r="N298" t="e">
        <f t="shared" si="44"/>
        <v>#N/A</v>
      </c>
      <c r="O298" s="89" t="e">
        <f t="shared" ca="1" si="45"/>
        <v>#N/A</v>
      </c>
      <c r="P298" s="22" t="e">
        <f t="shared" ca="1" si="46"/>
        <v>#N/A</v>
      </c>
      <c r="Q298" s="89" t="e">
        <f t="shared" ca="1" si="47"/>
        <v>#N/A</v>
      </c>
      <c r="R298" s="22" t="e">
        <f t="shared" ca="1" si="48"/>
        <v>#N/A</v>
      </c>
      <c r="S298" s="89" t="e">
        <f t="shared" ca="1" si="49"/>
        <v>#N/A</v>
      </c>
      <c r="T298" s="22" t="e">
        <f t="shared" ca="1" si="50"/>
        <v>#N/A</v>
      </c>
      <c r="U298" s="89" t="e">
        <f t="shared" ca="1" si="51"/>
        <v>#N/A</v>
      </c>
      <c r="V298" s="22" t="e">
        <f t="shared" ca="1" si="52"/>
        <v>#N/A</v>
      </c>
      <c r="AM298" t="e">
        <f t="shared" si="53"/>
        <v>#N/A</v>
      </c>
      <c r="AN298" t="e">
        <f t="shared" ca="1" si="54"/>
        <v>#N/A</v>
      </c>
    </row>
    <row r="299" spans="1:40" x14ac:dyDescent="0.3">
      <c r="A299" s="87">
        <v>298</v>
      </c>
      <c r="B299" t="str">
        <f>IFERROR(INDEX('Mock Database'!$D$3:$D$152,MATCH($A299,'Mock Database'!$C$3:$C$152,0)),"")</f>
        <v/>
      </c>
      <c r="C299" s="88" t="str">
        <f>IFERROR(INDEX('Mock Database'!$I$3:$I$152,MATCH($A299,'Mock Database'!$C$3:$C$152,0)),"")</f>
        <v/>
      </c>
      <c r="D299" s="89" t="str">
        <f ca="1">IF(ISNA(MATCH($A299,'Mock Database'!$C$3:$C$152,0)),"",IF(ISBLANK(OFFSET('Mock Database'!$M$2,MATCH($A299,'Mock Database'!$C$3:$C$152,0),0)),"",INDEX('Mock Database'!$M$3:$M$152,MATCH($A299,'Mock Database'!$C$3:$C$152,0))))</f>
        <v/>
      </c>
      <c r="E299" s="22" t="str">
        <f ca="1">IF(ISNA(MATCH($A299,'Mock Database'!$C$3:$C$152,0)),"",IF(ISBLANK(OFFSET('Mock Database'!$N$2,MATCH($A299,'Mock Database'!$C$3:$C$152,0),0)),"",INDEX('Mock Database'!$N$3:$N$152,MATCH($A299,'Mock Database'!$C$3:$C$152,0))))</f>
        <v/>
      </c>
      <c r="F299" s="89" t="str">
        <f ca="1">IF(ISNA(MATCH($A299,'Mock Database'!$C$3:$C$152,0)),"",IF(ISBLANK(OFFSET('Mock Database'!$S$2,MATCH($A299,'Mock Database'!$C$3:$C$152,0),0)),"",INDEX('Mock Database'!$S$3:$S$152,MATCH($A299,'Mock Database'!$C$3:$C$152,0))))</f>
        <v/>
      </c>
      <c r="G299" s="22" t="str">
        <f ca="1">IF(ISNA(MATCH($A299,'Mock Database'!$C$3:$C$152,0)),"",IF(ISBLANK(OFFSET('Mock Database'!$T$2,MATCH($A299,'Mock Database'!$C$3:$C$152,0),0)),"",INDEX('Mock Database'!$T$3:$T$152,MATCH($A299,'Mock Database'!$C$3:$C$152,0))))</f>
        <v/>
      </c>
      <c r="H299" s="89" t="str">
        <f ca="1">IF(ISNA(MATCH($A299,'Mock Database'!$C$3:$C$152,0)),"",IF(ISBLANK(OFFSET('Mock Database'!$Y$2,MATCH($A299,'Mock Database'!$C$3:$C$152,0),0)),"",INDEX('Mock Database'!$Y$3:$Y$152,MATCH($A299,'Mock Database'!$C$3:$C$152,0))))</f>
        <v/>
      </c>
      <c r="I299" s="22" t="str">
        <f ca="1">IF(ISNA(MATCH($A299,'Mock Database'!$C$3:$C$152,0)),"",IF(ISBLANK(OFFSET('Mock Database'!$Z$2,MATCH($A299,'Mock Database'!$C$3:$C$152,0),0)),"",INDEX('Mock Database'!$Z$3:$Z$152,MATCH($A299,'Mock Database'!$C$3:$C$152,0))))</f>
        <v/>
      </c>
      <c r="J299" s="89" t="str">
        <f ca="1">IF(ISNA(MATCH($A299,'Mock Database'!$C$3:$C$152,0)),"",IF(ISBLANK(OFFSET('Mock Database'!$AE$2,MATCH($A299,'Mock Database'!$C$3:$C$152,0),0)),"",INDEX('Mock Database'!$AE$3:$AE$152,MATCH($A299,'Mock Database'!$C$3:$C$152,0))))</f>
        <v/>
      </c>
      <c r="K299" s="22" t="str">
        <f ca="1">IF(ISNA(MATCH($A299,'Mock Database'!$C$3:$C$152,0)),"",IF(ISBLANK(OFFSET('Mock Database'!$AF$2,MATCH($A299,'Mock Database'!$C$3:$C$152,0),0)),"",INDEX('Mock Database'!$AF$3:$AF$152,MATCH($A299,'Mock Database'!$C$3:$C$152,0))))</f>
        <v/>
      </c>
      <c r="N299" t="e">
        <f t="shared" si="44"/>
        <v>#N/A</v>
      </c>
      <c r="O299" s="89" t="e">
        <f t="shared" ca="1" si="45"/>
        <v>#N/A</v>
      </c>
      <c r="P299" s="22" t="e">
        <f t="shared" ca="1" si="46"/>
        <v>#N/A</v>
      </c>
      <c r="Q299" s="89" t="e">
        <f t="shared" ca="1" si="47"/>
        <v>#N/A</v>
      </c>
      <c r="R299" s="22" t="e">
        <f t="shared" ca="1" si="48"/>
        <v>#N/A</v>
      </c>
      <c r="S299" s="89" t="e">
        <f t="shared" ca="1" si="49"/>
        <v>#N/A</v>
      </c>
      <c r="T299" s="22" t="e">
        <f t="shared" ca="1" si="50"/>
        <v>#N/A</v>
      </c>
      <c r="U299" s="89" t="e">
        <f t="shared" ca="1" si="51"/>
        <v>#N/A</v>
      </c>
      <c r="V299" s="22" t="e">
        <f t="shared" ca="1" si="52"/>
        <v>#N/A</v>
      </c>
      <c r="AM299" t="e">
        <f t="shared" si="53"/>
        <v>#N/A</v>
      </c>
      <c r="AN299" t="e">
        <f t="shared" ca="1" si="54"/>
        <v>#N/A</v>
      </c>
    </row>
    <row r="300" spans="1:40" x14ac:dyDescent="0.3">
      <c r="A300" s="87">
        <v>299</v>
      </c>
      <c r="B300" t="str">
        <f>IFERROR(INDEX('Mock Database'!$D$3:$D$152,MATCH($A300,'Mock Database'!$C$3:$C$152,0)),"")</f>
        <v/>
      </c>
      <c r="C300" s="88" t="str">
        <f>IFERROR(INDEX('Mock Database'!$I$3:$I$152,MATCH($A300,'Mock Database'!$C$3:$C$152,0)),"")</f>
        <v/>
      </c>
      <c r="D300" s="89" t="str">
        <f ca="1">IF(ISNA(MATCH($A300,'Mock Database'!$C$3:$C$152,0)),"",IF(ISBLANK(OFFSET('Mock Database'!$M$2,MATCH($A300,'Mock Database'!$C$3:$C$152,0),0)),"",INDEX('Mock Database'!$M$3:$M$152,MATCH($A300,'Mock Database'!$C$3:$C$152,0))))</f>
        <v/>
      </c>
      <c r="E300" s="22" t="str">
        <f ca="1">IF(ISNA(MATCH($A300,'Mock Database'!$C$3:$C$152,0)),"",IF(ISBLANK(OFFSET('Mock Database'!$N$2,MATCH($A300,'Mock Database'!$C$3:$C$152,0),0)),"",INDEX('Mock Database'!$N$3:$N$152,MATCH($A300,'Mock Database'!$C$3:$C$152,0))))</f>
        <v/>
      </c>
      <c r="F300" s="89" t="str">
        <f ca="1">IF(ISNA(MATCH($A300,'Mock Database'!$C$3:$C$152,0)),"",IF(ISBLANK(OFFSET('Mock Database'!$S$2,MATCH($A300,'Mock Database'!$C$3:$C$152,0),0)),"",INDEX('Mock Database'!$S$3:$S$152,MATCH($A300,'Mock Database'!$C$3:$C$152,0))))</f>
        <v/>
      </c>
      <c r="G300" s="22" t="str">
        <f ca="1">IF(ISNA(MATCH($A300,'Mock Database'!$C$3:$C$152,0)),"",IF(ISBLANK(OFFSET('Mock Database'!$T$2,MATCH($A300,'Mock Database'!$C$3:$C$152,0),0)),"",INDEX('Mock Database'!$T$3:$T$152,MATCH($A300,'Mock Database'!$C$3:$C$152,0))))</f>
        <v/>
      </c>
      <c r="H300" s="89" t="str">
        <f ca="1">IF(ISNA(MATCH($A300,'Mock Database'!$C$3:$C$152,0)),"",IF(ISBLANK(OFFSET('Mock Database'!$Y$2,MATCH($A300,'Mock Database'!$C$3:$C$152,0),0)),"",INDEX('Mock Database'!$Y$3:$Y$152,MATCH($A300,'Mock Database'!$C$3:$C$152,0))))</f>
        <v/>
      </c>
      <c r="I300" s="22" t="str">
        <f ca="1">IF(ISNA(MATCH($A300,'Mock Database'!$C$3:$C$152,0)),"",IF(ISBLANK(OFFSET('Mock Database'!$Z$2,MATCH($A300,'Mock Database'!$C$3:$C$152,0),0)),"",INDEX('Mock Database'!$Z$3:$Z$152,MATCH($A300,'Mock Database'!$C$3:$C$152,0))))</f>
        <v/>
      </c>
      <c r="J300" s="89" t="str">
        <f ca="1">IF(ISNA(MATCH($A300,'Mock Database'!$C$3:$C$152,0)),"",IF(ISBLANK(OFFSET('Mock Database'!$AE$2,MATCH($A300,'Mock Database'!$C$3:$C$152,0),0)),"",INDEX('Mock Database'!$AE$3:$AE$152,MATCH($A300,'Mock Database'!$C$3:$C$152,0))))</f>
        <v/>
      </c>
      <c r="K300" s="22" t="str">
        <f ca="1">IF(ISNA(MATCH($A300,'Mock Database'!$C$3:$C$152,0)),"",IF(ISBLANK(OFFSET('Mock Database'!$AF$2,MATCH($A300,'Mock Database'!$C$3:$C$152,0),0)),"",INDEX('Mock Database'!$AF$3:$AF$152,MATCH($A300,'Mock Database'!$C$3:$C$152,0))))</f>
        <v/>
      </c>
      <c r="N300" t="e">
        <f t="shared" si="44"/>
        <v>#N/A</v>
      </c>
      <c r="O300" s="89" t="e">
        <f t="shared" ca="1" si="45"/>
        <v>#N/A</v>
      </c>
      <c r="P300" s="22" t="e">
        <f t="shared" ca="1" si="46"/>
        <v>#N/A</v>
      </c>
      <c r="Q300" s="89" t="e">
        <f t="shared" ca="1" si="47"/>
        <v>#N/A</v>
      </c>
      <c r="R300" s="22" t="e">
        <f t="shared" ca="1" si="48"/>
        <v>#N/A</v>
      </c>
      <c r="S300" s="89" t="e">
        <f t="shared" ca="1" si="49"/>
        <v>#N/A</v>
      </c>
      <c r="T300" s="22" t="e">
        <f t="shared" ca="1" si="50"/>
        <v>#N/A</v>
      </c>
      <c r="U300" s="89" t="e">
        <f t="shared" ca="1" si="51"/>
        <v>#N/A</v>
      </c>
      <c r="V300" s="22" t="e">
        <f t="shared" ca="1" si="52"/>
        <v>#N/A</v>
      </c>
      <c r="AM300" t="e">
        <f t="shared" si="53"/>
        <v>#N/A</v>
      </c>
      <c r="AN300" t="e">
        <f t="shared" ca="1" si="54"/>
        <v>#N/A</v>
      </c>
    </row>
    <row r="301" spans="1:40" x14ac:dyDescent="0.3">
      <c r="A301" s="87">
        <v>300</v>
      </c>
      <c r="B301" t="str">
        <f>IFERROR(INDEX('Mock Database'!$D$3:$D$152,MATCH($A301,'Mock Database'!$C$3:$C$152,0)),"")</f>
        <v/>
      </c>
      <c r="C301" s="88" t="str">
        <f>IFERROR(INDEX('Mock Database'!$I$3:$I$152,MATCH($A301,'Mock Database'!$C$3:$C$152,0)),"")</f>
        <v/>
      </c>
      <c r="D301" s="89" t="str">
        <f ca="1">IF(ISNA(MATCH($A301,'Mock Database'!$C$3:$C$152,0)),"",IF(ISBLANK(OFFSET('Mock Database'!$M$2,MATCH($A301,'Mock Database'!$C$3:$C$152,0),0)),"",INDEX('Mock Database'!$M$3:$M$152,MATCH($A301,'Mock Database'!$C$3:$C$152,0))))</f>
        <v/>
      </c>
      <c r="E301" s="22" t="str">
        <f ca="1">IF(ISNA(MATCH($A301,'Mock Database'!$C$3:$C$152,0)),"",IF(ISBLANK(OFFSET('Mock Database'!$N$2,MATCH($A301,'Mock Database'!$C$3:$C$152,0),0)),"",INDEX('Mock Database'!$N$3:$N$152,MATCH($A301,'Mock Database'!$C$3:$C$152,0))))</f>
        <v/>
      </c>
      <c r="F301" s="89" t="str">
        <f ca="1">IF(ISNA(MATCH($A301,'Mock Database'!$C$3:$C$152,0)),"",IF(ISBLANK(OFFSET('Mock Database'!$S$2,MATCH($A301,'Mock Database'!$C$3:$C$152,0),0)),"",INDEX('Mock Database'!$S$3:$S$152,MATCH($A301,'Mock Database'!$C$3:$C$152,0))))</f>
        <v/>
      </c>
      <c r="G301" s="22" t="str">
        <f ca="1">IF(ISNA(MATCH($A301,'Mock Database'!$C$3:$C$152,0)),"",IF(ISBLANK(OFFSET('Mock Database'!$T$2,MATCH($A301,'Mock Database'!$C$3:$C$152,0),0)),"",INDEX('Mock Database'!$T$3:$T$152,MATCH($A301,'Mock Database'!$C$3:$C$152,0))))</f>
        <v/>
      </c>
      <c r="H301" s="89" t="str">
        <f ca="1">IF(ISNA(MATCH($A301,'Mock Database'!$C$3:$C$152,0)),"",IF(ISBLANK(OFFSET('Mock Database'!$Y$2,MATCH($A301,'Mock Database'!$C$3:$C$152,0),0)),"",INDEX('Mock Database'!$Y$3:$Y$152,MATCH($A301,'Mock Database'!$C$3:$C$152,0))))</f>
        <v/>
      </c>
      <c r="I301" s="22" t="str">
        <f ca="1">IF(ISNA(MATCH($A301,'Mock Database'!$C$3:$C$152,0)),"",IF(ISBLANK(OFFSET('Mock Database'!$Z$2,MATCH($A301,'Mock Database'!$C$3:$C$152,0),0)),"",INDEX('Mock Database'!$Z$3:$Z$152,MATCH($A301,'Mock Database'!$C$3:$C$152,0))))</f>
        <v/>
      </c>
      <c r="J301" s="89" t="str">
        <f ca="1">IF(ISNA(MATCH($A301,'Mock Database'!$C$3:$C$152,0)),"",IF(ISBLANK(OFFSET('Mock Database'!$AE$2,MATCH($A301,'Mock Database'!$C$3:$C$152,0),0)),"",INDEX('Mock Database'!$AE$3:$AE$152,MATCH($A301,'Mock Database'!$C$3:$C$152,0))))</f>
        <v/>
      </c>
      <c r="K301" s="22" t="str">
        <f ca="1">IF(ISNA(MATCH($A301,'Mock Database'!$C$3:$C$152,0)),"",IF(ISBLANK(OFFSET('Mock Database'!$AF$2,MATCH($A301,'Mock Database'!$C$3:$C$152,0),0)),"",INDEX('Mock Database'!$AF$3:$AF$152,MATCH($A301,'Mock Database'!$C$3:$C$152,0))))</f>
        <v/>
      </c>
      <c r="N301" t="e">
        <f t="shared" si="44"/>
        <v>#N/A</v>
      </c>
      <c r="O301" s="89" t="e">
        <f t="shared" ca="1" si="45"/>
        <v>#N/A</v>
      </c>
      <c r="P301" s="22" t="e">
        <f t="shared" ca="1" si="46"/>
        <v>#N/A</v>
      </c>
      <c r="Q301" s="89" t="e">
        <f t="shared" ca="1" si="47"/>
        <v>#N/A</v>
      </c>
      <c r="R301" s="22" t="e">
        <f t="shared" ca="1" si="48"/>
        <v>#N/A</v>
      </c>
      <c r="S301" s="89" t="e">
        <f t="shared" ca="1" si="49"/>
        <v>#N/A</v>
      </c>
      <c r="T301" s="22" t="e">
        <f t="shared" ca="1" si="50"/>
        <v>#N/A</v>
      </c>
      <c r="U301" s="89" t="e">
        <f t="shared" ca="1" si="51"/>
        <v>#N/A</v>
      </c>
      <c r="V301" s="22" t="e">
        <f t="shared" ca="1" si="52"/>
        <v>#N/A</v>
      </c>
      <c r="AM301" t="e">
        <f t="shared" si="53"/>
        <v>#N/A</v>
      </c>
      <c r="AN301" t="e">
        <f t="shared" ca="1" si="54"/>
        <v>#N/A</v>
      </c>
    </row>
    <row r="302" spans="1:40" x14ac:dyDescent="0.3">
      <c r="A302" s="87">
        <v>301</v>
      </c>
      <c r="B302" t="str">
        <f>IFERROR(INDEX('Mock Database'!$D$3:$D$152,MATCH($A302,'Mock Database'!$C$3:$C$152,0)),"")</f>
        <v/>
      </c>
      <c r="C302" s="88" t="str">
        <f>IFERROR(INDEX('Mock Database'!$I$3:$I$152,MATCH($A302,'Mock Database'!$C$3:$C$152,0)),"")</f>
        <v/>
      </c>
      <c r="D302" s="89" t="str">
        <f ca="1">IF(ISNA(MATCH($A302,'Mock Database'!$C$3:$C$152,0)),"",IF(ISBLANK(OFFSET('Mock Database'!$M$2,MATCH($A302,'Mock Database'!$C$3:$C$152,0),0)),"",INDEX('Mock Database'!$M$3:$M$152,MATCH($A302,'Mock Database'!$C$3:$C$152,0))))</f>
        <v/>
      </c>
      <c r="E302" s="22" t="str">
        <f ca="1">IF(ISNA(MATCH($A302,'Mock Database'!$C$3:$C$152,0)),"",IF(ISBLANK(OFFSET('Mock Database'!$N$2,MATCH($A302,'Mock Database'!$C$3:$C$152,0),0)),"",INDEX('Mock Database'!$N$3:$N$152,MATCH($A302,'Mock Database'!$C$3:$C$152,0))))</f>
        <v/>
      </c>
      <c r="F302" s="89" t="str">
        <f ca="1">IF(ISNA(MATCH($A302,'Mock Database'!$C$3:$C$152,0)),"",IF(ISBLANK(OFFSET('Mock Database'!$S$2,MATCH($A302,'Mock Database'!$C$3:$C$152,0),0)),"",INDEX('Mock Database'!$S$3:$S$152,MATCH($A302,'Mock Database'!$C$3:$C$152,0))))</f>
        <v/>
      </c>
      <c r="G302" s="22" t="str">
        <f ca="1">IF(ISNA(MATCH($A302,'Mock Database'!$C$3:$C$152,0)),"",IF(ISBLANK(OFFSET('Mock Database'!$T$2,MATCH($A302,'Mock Database'!$C$3:$C$152,0),0)),"",INDEX('Mock Database'!$T$3:$T$152,MATCH($A302,'Mock Database'!$C$3:$C$152,0))))</f>
        <v/>
      </c>
      <c r="H302" s="89" t="str">
        <f ca="1">IF(ISNA(MATCH($A302,'Mock Database'!$C$3:$C$152,0)),"",IF(ISBLANK(OFFSET('Mock Database'!$Y$2,MATCH($A302,'Mock Database'!$C$3:$C$152,0),0)),"",INDEX('Mock Database'!$Y$3:$Y$152,MATCH($A302,'Mock Database'!$C$3:$C$152,0))))</f>
        <v/>
      </c>
      <c r="I302" s="22" t="str">
        <f ca="1">IF(ISNA(MATCH($A302,'Mock Database'!$C$3:$C$152,0)),"",IF(ISBLANK(OFFSET('Mock Database'!$Z$2,MATCH($A302,'Mock Database'!$C$3:$C$152,0),0)),"",INDEX('Mock Database'!$Z$3:$Z$152,MATCH($A302,'Mock Database'!$C$3:$C$152,0))))</f>
        <v/>
      </c>
      <c r="J302" s="89" t="str">
        <f ca="1">IF(ISNA(MATCH($A302,'Mock Database'!$C$3:$C$152,0)),"",IF(ISBLANK(OFFSET('Mock Database'!$AE$2,MATCH($A302,'Mock Database'!$C$3:$C$152,0),0)),"",INDEX('Mock Database'!$AE$3:$AE$152,MATCH($A302,'Mock Database'!$C$3:$C$152,0))))</f>
        <v/>
      </c>
      <c r="K302" s="22" t="str">
        <f ca="1">IF(ISNA(MATCH($A302,'Mock Database'!$C$3:$C$152,0)),"",IF(ISBLANK(OFFSET('Mock Database'!$AF$2,MATCH($A302,'Mock Database'!$C$3:$C$152,0),0)),"",INDEX('Mock Database'!$AF$3:$AF$152,MATCH($A302,'Mock Database'!$C$3:$C$152,0))))</f>
        <v/>
      </c>
      <c r="N302" t="e">
        <f t="shared" si="44"/>
        <v>#N/A</v>
      </c>
      <c r="O302" s="89" t="e">
        <f t="shared" ca="1" si="45"/>
        <v>#N/A</v>
      </c>
      <c r="P302" s="22" t="e">
        <f t="shared" ca="1" si="46"/>
        <v>#N/A</v>
      </c>
      <c r="Q302" s="89" t="e">
        <f t="shared" ca="1" si="47"/>
        <v>#N/A</v>
      </c>
      <c r="R302" s="22" t="e">
        <f t="shared" ca="1" si="48"/>
        <v>#N/A</v>
      </c>
      <c r="S302" s="89" t="e">
        <f t="shared" ca="1" si="49"/>
        <v>#N/A</v>
      </c>
      <c r="T302" s="22" t="e">
        <f t="shared" ca="1" si="50"/>
        <v>#N/A</v>
      </c>
      <c r="U302" s="89" t="e">
        <f t="shared" ca="1" si="51"/>
        <v>#N/A</v>
      </c>
      <c r="V302" s="22" t="e">
        <f t="shared" ca="1" si="52"/>
        <v>#N/A</v>
      </c>
      <c r="AM302" t="e">
        <f t="shared" si="53"/>
        <v>#N/A</v>
      </c>
      <c r="AN302" t="e">
        <f t="shared" ca="1" si="54"/>
        <v>#N/A</v>
      </c>
    </row>
    <row r="303" spans="1:40" x14ac:dyDescent="0.3">
      <c r="A303" s="87">
        <v>302</v>
      </c>
      <c r="B303" t="str">
        <f>IFERROR(INDEX('Mock Database'!$D$3:$D$152,MATCH($A303,'Mock Database'!$C$3:$C$152,0)),"")</f>
        <v/>
      </c>
      <c r="C303" s="88" t="str">
        <f>IFERROR(INDEX('Mock Database'!$I$3:$I$152,MATCH($A303,'Mock Database'!$C$3:$C$152,0)),"")</f>
        <v/>
      </c>
      <c r="D303" s="89" t="str">
        <f ca="1">IF(ISNA(MATCH($A303,'Mock Database'!$C$3:$C$152,0)),"",IF(ISBLANK(OFFSET('Mock Database'!$M$2,MATCH($A303,'Mock Database'!$C$3:$C$152,0),0)),"",INDEX('Mock Database'!$M$3:$M$152,MATCH($A303,'Mock Database'!$C$3:$C$152,0))))</f>
        <v/>
      </c>
      <c r="E303" s="22" t="str">
        <f ca="1">IF(ISNA(MATCH($A303,'Mock Database'!$C$3:$C$152,0)),"",IF(ISBLANK(OFFSET('Mock Database'!$N$2,MATCH($A303,'Mock Database'!$C$3:$C$152,0),0)),"",INDEX('Mock Database'!$N$3:$N$152,MATCH($A303,'Mock Database'!$C$3:$C$152,0))))</f>
        <v/>
      </c>
      <c r="F303" s="89" t="str">
        <f ca="1">IF(ISNA(MATCH($A303,'Mock Database'!$C$3:$C$152,0)),"",IF(ISBLANK(OFFSET('Mock Database'!$S$2,MATCH($A303,'Mock Database'!$C$3:$C$152,0),0)),"",INDEX('Mock Database'!$S$3:$S$152,MATCH($A303,'Mock Database'!$C$3:$C$152,0))))</f>
        <v/>
      </c>
      <c r="G303" s="22" t="str">
        <f ca="1">IF(ISNA(MATCH($A303,'Mock Database'!$C$3:$C$152,0)),"",IF(ISBLANK(OFFSET('Mock Database'!$T$2,MATCH($A303,'Mock Database'!$C$3:$C$152,0),0)),"",INDEX('Mock Database'!$T$3:$T$152,MATCH($A303,'Mock Database'!$C$3:$C$152,0))))</f>
        <v/>
      </c>
      <c r="H303" s="89" t="str">
        <f ca="1">IF(ISNA(MATCH($A303,'Mock Database'!$C$3:$C$152,0)),"",IF(ISBLANK(OFFSET('Mock Database'!$Y$2,MATCH($A303,'Mock Database'!$C$3:$C$152,0),0)),"",INDEX('Mock Database'!$Y$3:$Y$152,MATCH($A303,'Mock Database'!$C$3:$C$152,0))))</f>
        <v/>
      </c>
      <c r="I303" s="22" t="str">
        <f ca="1">IF(ISNA(MATCH($A303,'Mock Database'!$C$3:$C$152,0)),"",IF(ISBLANK(OFFSET('Mock Database'!$Z$2,MATCH($A303,'Mock Database'!$C$3:$C$152,0),0)),"",INDEX('Mock Database'!$Z$3:$Z$152,MATCH($A303,'Mock Database'!$C$3:$C$152,0))))</f>
        <v/>
      </c>
      <c r="J303" s="89" t="str">
        <f ca="1">IF(ISNA(MATCH($A303,'Mock Database'!$C$3:$C$152,0)),"",IF(ISBLANK(OFFSET('Mock Database'!$AE$2,MATCH($A303,'Mock Database'!$C$3:$C$152,0),0)),"",INDEX('Mock Database'!$AE$3:$AE$152,MATCH($A303,'Mock Database'!$C$3:$C$152,0))))</f>
        <v/>
      </c>
      <c r="K303" s="22" t="str">
        <f ca="1">IF(ISNA(MATCH($A303,'Mock Database'!$C$3:$C$152,0)),"",IF(ISBLANK(OFFSET('Mock Database'!$AF$2,MATCH($A303,'Mock Database'!$C$3:$C$152,0),0)),"",INDEX('Mock Database'!$AF$3:$AF$152,MATCH($A303,'Mock Database'!$C$3:$C$152,0))))</f>
        <v/>
      </c>
      <c r="N303" t="e">
        <f t="shared" si="44"/>
        <v>#N/A</v>
      </c>
      <c r="O303" s="89" t="e">
        <f t="shared" ca="1" si="45"/>
        <v>#N/A</v>
      </c>
      <c r="P303" s="22" t="e">
        <f t="shared" ca="1" si="46"/>
        <v>#N/A</v>
      </c>
      <c r="Q303" s="89" t="e">
        <f t="shared" ca="1" si="47"/>
        <v>#N/A</v>
      </c>
      <c r="R303" s="22" t="e">
        <f t="shared" ca="1" si="48"/>
        <v>#N/A</v>
      </c>
      <c r="S303" s="89" t="e">
        <f t="shared" ca="1" si="49"/>
        <v>#N/A</v>
      </c>
      <c r="T303" s="22" t="e">
        <f t="shared" ca="1" si="50"/>
        <v>#N/A</v>
      </c>
      <c r="U303" s="89" t="e">
        <f t="shared" ca="1" si="51"/>
        <v>#N/A</v>
      </c>
      <c r="V303" s="22" t="e">
        <f t="shared" ca="1" si="52"/>
        <v>#N/A</v>
      </c>
      <c r="AM303" t="e">
        <f t="shared" si="53"/>
        <v>#N/A</v>
      </c>
      <c r="AN303" t="e">
        <f t="shared" ca="1" si="54"/>
        <v>#N/A</v>
      </c>
    </row>
    <row r="304" spans="1:40" x14ac:dyDescent="0.3">
      <c r="A304" s="87">
        <v>303</v>
      </c>
      <c r="B304" t="str">
        <f>IFERROR(INDEX('Mock Database'!$D$3:$D$152,MATCH($A304,'Mock Database'!$C$3:$C$152,0)),"")</f>
        <v/>
      </c>
      <c r="C304" s="88" t="str">
        <f>IFERROR(INDEX('Mock Database'!$I$3:$I$152,MATCH($A304,'Mock Database'!$C$3:$C$152,0)),"")</f>
        <v/>
      </c>
      <c r="D304" s="89" t="str">
        <f ca="1">IF(ISNA(MATCH($A304,'Mock Database'!$C$3:$C$152,0)),"",IF(ISBLANK(OFFSET('Mock Database'!$M$2,MATCH($A304,'Mock Database'!$C$3:$C$152,0),0)),"",INDEX('Mock Database'!$M$3:$M$152,MATCH($A304,'Mock Database'!$C$3:$C$152,0))))</f>
        <v/>
      </c>
      <c r="E304" s="22" t="str">
        <f ca="1">IF(ISNA(MATCH($A304,'Mock Database'!$C$3:$C$152,0)),"",IF(ISBLANK(OFFSET('Mock Database'!$N$2,MATCH($A304,'Mock Database'!$C$3:$C$152,0),0)),"",INDEX('Mock Database'!$N$3:$N$152,MATCH($A304,'Mock Database'!$C$3:$C$152,0))))</f>
        <v/>
      </c>
      <c r="F304" s="89" t="str">
        <f ca="1">IF(ISNA(MATCH($A304,'Mock Database'!$C$3:$C$152,0)),"",IF(ISBLANK(OFFSET('Mock Database'!$S$2,MATCH($A304,'Mock Database'!$C$3:$C$152,0),0)),"",INDEX('Mock Database'!$S$3:$S$152,MATCH($A304,'Mock Database'!$C$3:$C$152,0))))</f>
        <v/>
      </c>
      <c r="G304" s="22" t="str">
        <f ca="1">IF(ISNA(MATCH($A304,'Mock Database'!$C$3:$C$152,0)),"",IF(ISBLANK(OFFSET('Mock Database'!$T$2,MATCH($A304,'Mock Database'!$C$3:$C$152,0),0)),"",INDEX('Mock Database'!$T$3:$T$152,MATCH($A304,'Mock Database'!$C$3:$C$152,0))))</f>
        <v/>
      </c>
      <c r="H304" s="89" t="str">
        <f ca="1">IF(ISNA(MATCH($A304,'Mock Database'!$C$3:$C$152,0)),"",IF(ISBLANK(OFFSET('Mock Database'!$Y$2,MATCH($A304,'Mock Database'!$C$3:$C$152,0),0)),"",INDEX('Mock Database'!$Y$3:$Y$152,MATCH($A304,'Mock Database'!$C$3:$C$152,0))))</f>
        <v/>
      </c>
      <c r="I304" s="22" t="str">
        <f ca="1">IF(ISNA(MATCH($A304,'Mock Database'!$C$3:$C$152,0)),"",IF(ISBLANK(OFFSET('Mock Database'!$Z$2,MATCH($A304,'Mock Database'!$C$3:$C$152,0),0)),"",INDEX('Mock Database'!$Z$3:$Z$152,MATCH($A304,'Mock Database'!$C$3:$C$152,0))))</f>
        <v/>
      </c>
      <c r="J304" s="89" t="str">
        <f ca="1">IF(ISNA(MATCH($A304,'Mock Database'!$C$3:$C$152,0)),"",IF(ISBLANK(OFFSET('Mock Database'!$AE$2,MATCH($A304,'Mock Database'!$C$3:$C$152,0),0)),"",INDEX('Mock Database'!$AE$3:$AE$152,MATCH($A304,'Mock Database'!$C$3:$C$152,0))))</f>
        <v/>
      </c>
      <c r="K304" s="22" t="str">
        <f ca="1">IF(ISNA(MATCH($A304,'Mock Database'!$C$3:$C$152,0)),"",IF(ISBLANK(OFFSET('Mock Database'!$AF$2,MATCH($A304,'Mock Database'!$C$3:$C$152,0),0)),"",INDEX('Mock Database'!$AF$3:$AF$152,MATCH($A304,'Mock Database'!$C$3:$C$152,0))))</f>
        <v/>
      </c>
      <c r="N304" t="e">
        <f t="shared" si="44"/>
        <v>#N/A</v>
      </c>
      <c r="O304" s="89" t="e">
        <f t="shared" ca="1" si="45"/>
        <v>#N/A</v>
      </c>
      <c r="P304" s="22" t="e">
        <f t="shared" ca="1" si="46"/>
        <v>#N/A</v>
      </c>
      <c r="Q304" s="89" t="e">
        <f t="shared" ca="1" si="47"/>
        <v>#N/A</v>
      </c>
      <c r="R304" s="22" t="e">
        <f t="shared" ca="1" si="48"/>
        <v>#N/A</v>
      </c>
      <c r="S304" s="89" t="e">
        <f t="shared" ca="1" si="49"/>
        <v>#N/A</v>
      </c>
      <c r="T304" s="22" t="e">
        <f t="shared" ca="1" si="50"/>
        <v>#N/A</v>
      </c>
      <c r="U304" s="89" t="e">
        <f t="shared" ca="1" si="51"/>
        <v>#N/A</v>
      </c>
      <c r="V304" s="22" t="e">
        <f t="shared" ca="1" si="52"/>
        <v>#N/A</v>
      </c>
      <c r="AM304" t="e">
        <f t="shared" si="53"/>
        <v>#N/A</v>
      </c>
      <c r="AN304" t="e">
        <f t="shared" ca="1" si="54"/>
        <v>#N/A</v>
      </c>
    </row>
    <row r="305" spans="1:40" x14ac:dyDescent="0.3">
      <c r="A305" s="87">
        <v>304</v>
      </c>
      <c r="B305" t="str">
        <f>IFERROR(INDEX('Mock Database'!$D$3:$D$152,MATCH($A305,'Mock Database'!$C$3:$C$152,0)),"")</f>
        <v/>
      </c>
      <c r="C305" s="88" t="str">
        <f>IFERROR(INDEX('Mock Database'!$I$3:$I$152,MATCH($A305,'Mock Database'!$C$3:$C$152,0)),"")</f>
        <v/>
      </c>
      <c r="D305" s="89" t="str">
        <f ca="1">IF(ISNA(MATCH($A305,'Mock Database'!$C$3:$C$152,0)),"",IF(ISBLANK(OFFSET('Mock Database'!$M$2,MATCH($A305,'Mock Database'!$C$3:$C$152,0),0)),"",INDEX('Mock Database'!$M$3:$M$152,MATCH($A305,'Mock Database'!$C$3:$C$152,0))))</f>
        <v/>
      </c>
      <c r="E305" s="22" t="str">
        <f ca="1">IF(ISNA(MATCH($A305,'Mock Database'!$C$3:$C$152,0)),"",IF(ISBLANK(OFFSET('Mock Database'!$N$2,MATCH($A305,'Mock Database'!$C$3:$C$152,0),0)),"",INDEX('Mock Database'!$N$3:$N$152,MATCH($A305,'Mock Database'!$C$3:$C$152,0))))</f>
        <v/>
      </c>
      <c r="F305" s="89" t="str">
        <f ca="1">IF(ISNA(MATCH($A305,'Mock Database'!$C$3:$C$152,0)),"",IF(ISBLANK(OFFSET('Mock Database'!$S$2,MATCH($A305,'Mock Database'!$C$3:$C$152,0),0)),"",INDEX('Mock Database'!$S$3:$S$152,MATCH($A305,'Mock Database'!$C$3:$C$152,0))))</f>
        <v/>
      </c>
      <c r="G305" s="22" t="str">
        <f ca="1">IF(ISNA(MATCH($A305,'Mock Database'!$C$3:$C$152,0)),"",IF(ISBLANK(OFFSET('Mock Database'!$T$2,MATCH($A305,'Mock Database'!$C$3:$C$152,0),0)),"",INDEX('Mock Database'!$T$3:$T$152,MATCH($A305,'Mock Database'!$C$3:$C$152,0))))</f>
        <v/>
      </c>
      <c r="H305" s="89" t="str">
        <f ca="1">IF(ISNA(MATCH($A305,'Mock Database'!$C$3:$C$152,0)),"",IF(ISBLANK(OFFSET('Mock Database'!$Y$2,MATCH($A305,'Mock Database'!$C$3:$C$152,0),0)),"",INDEX('Mock Database'!$Y$3:$Y$152,MATCH($A305,'Mock Database'!$C$3:$C$152,0))))</f>
        <v/>
      </c>
      <c r="I305" s="22" t="str">
        <f ca="1">IF(ISNA(MATCH($A305,'Mock Database'!$C$3:$C$152,0)),"",IF(ISBLANK(OFFSET('Mock Database'!$Z$2,MATCH($A305,'Mock Database'!$C$3:$C$152,0),0)),"",INDEX('Mock Database'!$Z$3:$Z$152,MATCH($A305,'Mock Database'!$C$3:$C$152,0))))</f>
        <v/>
      </c>
      <c r="J305" s="89" t="str">
        <f ca="1">IF(ISNA(MATCH($A305,'Mock Database'!$C$3:$C$152,0)),"",IF(ISBLANK(OFFSET('Mock Database'!$AE$2,MATCH($A305,'Mock Database'!$C$3:$C$152,0),0)),"",INDEX('Mock Database'!$AE$3:$AE$152,MATCH($A305,'Mock Database'!$C$3:$C$152,0))))</f>
        <v/>
      </c>
      <c r="K305" s="22" t="str">
        <f ca="1">IF(ISNA(MATCH($A305,'Mock Database'!$C$3:$C$152,0)),"",IF(ISBLANK(OFFSET('Mock Database'!$AF$2,MATCH($A305,'Mock Database'!$C$3:$C$152,0),0)),"",INDEX('Mock Database'!$AF$3:$AF$152,MATCH($A305,'Mock Database'!$C$3:$C$152,0))))</f>
        <v/>
      </c>
      <c r="N305" t="e">
        <f t="shared" si="44"/>
        <v>#N/A</v>
      </c>
      <c r="O305" s="89" t="e">
        <f t="shared" ca="1" si="45"/>
        <v>#N/A</v>
      </c>
      <c r="P305" s="22" t="e">
        <f t="shared" ca="1" si="46"/>
        <v>#N/A</v>
      </c>
      <c r="Q305" s="89" t="e">
        <f t="shared" ca="1" si="47"/>
        <v>#N/A</v>
      </c>
      <c r="R305" s="22" t="e">
        <f t="shared" ca="1" si="48"/>
        <v>#N/A</v>
      </c>
      <c r="S305" s="89" t="e">
        <f t="shared" ca="1" si="49"/>
        <v>#N/A</v>
      </c>
      <c r="T305" s="22" t="e">
        <f t="shared" ca="1" si="50"/>
        <v>#N/A</v>
      </c>
      <c r="U305" s="89" t="e">
        <f t="shared" ca="1" si="51"/>
        <v>#N/A</v>
      </c>
      <c r="V305" s="22" t="e">
        <f t="shared" ca="1" si="52"/>
        <v>#N/A</v>
      </c>
      <c r="AM305" t="e">
        <f t="shared" si="53"/>
        <v>#N/A</v>
      </c>
      <c r="AN305" t="e">
        <f t="shared" ca="1" si="54"/>
        <v>#N/A</v>
      </c>
    </row>
    <row r="306" spans="1:40" x14ac:dyDescent="0.3">
      <c r="A306" s="87">
        <v>305</v>
      </c>
      <c r="B306" t="str">
        <f>IFERROR(INDEX('Mock Database'!$D$3:$D$152,MATCH($A306,'Mock Database'!$C$3:$C$152,0)),"")</f>
        <v/>
      </c>
      <c r="C306" s="88" t="str">
        <f>IFERROR(INDEX('Mock Database'!$I$3:$I$152,MATCH($A306,'Mock Database'!$C$3:$C$152,0)),"")</f>
        <v/>
      </c>
      <c r="D306" s="89" t="str">
        <f ca="1">IF(ISNA(MATCH($A306,'Mock Database'!$C$3:$C$152,0)),"",IF(ISBLANK(OFFSET('Mock Database'!$M$2,MATCH($A306,'Mock Database'!$C$3:$C$152,0),0)),"",INDEX('Mock Database'!$M$3:$M$152,MATCH($A306,'Mock Database'!$C$3:$C$152,0))))</f>
        <v/>
      </c>
      <c r="E306" s="22" t="str">
        <f ca="1">IF(ISNA(MATCH($A306,'Mock Database'!$C$3:$C$152,0)),"",IF(ISBLANK(OFFSET('Mock Database'!$N$2,MATCH($A306,'Mock Database'!$C$3:$C$152,0),0)),"",INDEX('Mock Database'!$N$3:$N$152,MATCH($A306,'Mock Database'!$C$3:$C$152,0))))</f>
        <v/>
      </c>
      <c r="F306" s="89" t="str">
        <f ca="1">IF(ISNA(MATCH($A306,'Mock Database'!$C$3:$C$152,0)),"",IF(ISBLANK(OFFSET('Mock Database'!$S$2,MATCH($A306,'Mock Database'!$C$3:$C$152,0),0)),"",INDEX('Mock Database'!$S$3:$S$152,MATCH($A306,'Mock Database'!$C$3:$C$152,0))))</f>
        <v/>
      </c>
      <c r="G306" s="22" t="str">
        <f ca="1">IF(ISNA(MATCH($A306,'Mock Database'!$C$3:$C$152,0)),"",IF(ISBLANK(OFFSET('Mock Database'!$T$2,MATCH($A306,'Mock Database'!$C$3:$C$152,0),0)),"",INDEX('Mock Database'!$T$3:$T$152,MATCH($A306,'Mock Database'!$C$3:$C$152,0))))</f>
        <v/>
      </c>
      <c r="H306" s="89" t="str">
        <f ca="1">IF(ISNA(MATCH($A306,'Mock Database'!$C$3:$C$152,0)),"",IF(ISBLANK(OFFSET('Mock Database'!$Y$2,MATCH($A306,'Mock Database'!$C$3:$C$152,0),0)),"",INDEX('Mock Database'!$Y$3:$Y$152,MATCH($A306,'Mock Database'!$C$3:$C$152,0))))</f>
        <v/>
      </c>
      <c r="I306" s="22" t="str">
        <f ca="1">IF(ISNA(MATCH($A306,'Mock Database'!$C$3:$C$152,0)),"",IF(ISBLANK(OFFSET('Mock Database'!$Z$2,MATCH($A306,'Mock Database'!$C$3:$C$152,0),0)),"",INDEX('Mock Database'!$Z$3:$Z$152,MATCH($A306,'Mock Database'!$C$3:$C$152,0))))</f>
        <v/>
      </c>
      <c r="J306" s="89" t="str">
        <f ca="1">IF(ISNA(MATCH($A306,'Mock Database'!$C$3:$C$152,0)),"",IF(ISBLANK(OFFSET('Mock Database'!$AE$2,MATCH($A306,'Mock Database'!$C$3:$C$152,0),0)),"",INDEX('Mock Database'!$AE$3:$AE$152,MATCH($A306,'Mock Database'!$C$3:$C$152,0))))</f>
        <v/>
      </c>
      <c r="K306" s="22" t="str">
        <f ca="1">IF(ISNA(MATCH($A306,'Mock Database'!$C$3:$C$152,0)),"",IF(ISBLANK(OFFSET('Mock Database'!$AF$2,MATCH($A306,'Mock Database'!$C$3:$C$152,0),0)),"",INDEX('Mock Database'!$AF$3:$AF$152,MATCH($A306,'Mock Database'!$C$3:$C$152,0))))</f>
        <v/>
      </c>
      <c r="N306" t="e">
        <f t="shared" si="44"/>
        <v>#N/A</v>
      </c>
      <c r="O306" s="89" t="e">
        <f t="shared" ca="1" si="45"/>
        <v>#N/A</v>
      </c>
      <c r="P306" s="22" t="e">
        <f t="shared" ca="1" si="46"/>
        <v>#N/A</v>
      </c>
      <c r="Q306" s="89" t="e">
        <f t="shared" ca="1" si="47"/>
        <v>#N/A</v>
      </c>
      <c r="R306" s="22" t="e">
        <f t="shared" ca="1" si="48"/>
        <v>#N/A</v>
      </c>
      <c r="S306" s="89" t="e">
        <f t="shared" ca="1" si="49"/>
        <v>#N/A</v>
      </c>
      <c r="T306" s="22" t="e">
        <f t="shared" ca="1" si="50"/>
        <v>#N/A</v>
      </c>
      <c r="U306" s="89" t="e">
        <f t="shared" ca="1" si="51"/>
        <v>#N/A</v>
      </c>
      <c r="V306" s="22" t="e">
        <f t="shared" ca="1" si="52"/>
        <v>#N/A</v>
      </c>
      <c r="AM306" t="e">
        <f t="shared" si="53"/>
        <v>#N/A</v>
      </c>
      <c r="AN306" t="e">
        <f t="shared" ca="1" si="54"/>
        <v>#N/A</v>
      </c>
    </row>
    <row r="307" spans="1:40" x14ac:dyDescent="0.3">
      <c r="A307" s="87">
        <v>306</v>
      </c>
      <c r="B307" t="str">
        <f>IFERROR(INDEX('Mock Database'!$D$3:$D$152,MATCH($A307,'Mock Database'!$C$3:$C$152,0)),"")</f>
        <v/>
      </c>
      <c r="C307" s="88" t="str">
        <f>IFERROR(INDEX('Mock Database'!$I$3:$I$152,MATCH($A307,'Mock Database'!$C$3:$C$152,0)),"")</f>
        <v/>
      </c>
      <c r="D307" s="89" t="str">
        <f ca="1">IF(ISNA(MATCH($A307,'Mock Database'!$C$3:$C$152,0)),"",IF(ISBLANK(OFFSET('Mock Database'!$M$2,MATCH($A307,'Mock Database'!$C$3:$C$152,0),0)),"",INDEX('Mock Database'!$M$3:$M$152,MATCH($A307,'Mock Database'!$C$3:$C$152,0))))</f>
        <v/>
      </c>
      <c r="E307" s="22" t="str">
        <f ca="1">IF(ISNA(MATCH($A307,'Mock Database'!$C$3:$C$152,0)),"",IF(ISBLANK(OFFSET('Mock Database'!$N$2,MATCH($A307,'Mock Database'!$C$3:$C$152,0),0)),"",INDEX('Mock Database'!$N$3:$N$152,MATCH($A307,'Mock Database'!$C$3:$C$152,0))))</f>
        <v/>
      </c>
      <c r="F307" s="89" t="str">
        <f ca="1">IF(ISNA(MATCH($A307,'Mock Database'!$C$3:$C$152,0)),"",IF(ISBLANK(OFFSET('Mock Database'!$S$2,MATCH($A307,'Mock Database'!$C$3:$C$152,0),0)),"",INDEX('Mock Database'!$S$3:$S$152,MATCH($A307,'Mock Database'!$C$3:$C$152,0))))</f>
        <v/>
      </c>
      <c r="G307" s="22" t="str">
        <f ca="1">IF(ISNA(MATCH($A307,'Mock Database'!$C$3:$C$152,0)),"",IF(ISBLANK(OFFSET('Mock Database'!$T$2,MATCH($A307,'Mock Database'!$C$3:$C$152,0),0)),"",INDEX('Mock Database'!$T$3:$T$152,MATCH($A307,'Mock Database'!$C$3:$C$152,0))))</f>
        <v/>
      </c>
      <c r="H307" s="89" t="str">
        <f ca="1">IF(ISNA(MATCH($A307,'Mock Database'!$C$3:$C$152,0)),"",IF(ISBLANK(OFFSET('Mock Database'!$Y$2,MATCH($A307,'Mock Database'!$C$3:$C$152,0),0)),"",INDEX('Mock Database'!$Y$3:$Y$152,MATCH($A307,'Mock Database'!$C$3:$C$152,0))))</f>
        <v/>
      </c>
      <c r="I307" s="22" t="str">
        <f ca="1">IF(ISNA(MATCH($A307,'Mock Database'!$C$3:$C$152,0)),"",IF(ISBLANK(OFFSET('Mock Database'!$Z$2,MATCH($A307,'Mock Database'!$C$3:$C$152,0),0)),"",INDEX('Mock Database'!$Z$3:$Z$152,MATCH($A307,'Mock Database'!$C$3:$C$152,0))))</f>
        <v/>
      </c>
      <c r="J307" s="89" t="str">
        <f ca="1">IF(ISNA(MATCH($A307,'Mock Database'!$C$3:$C$152,0)),"",IF(ISBLANK(OFFSET('Mock Database'!$AE$2,MATCH($A307,'Mock Database'!$C$3:$C$152,0),0)),"",INDEX('Mock Database'!$AE$3:$AE$152,MATCH($A307,'Mock Database'!$C$3:$C$152,0))))</f>
        <v/>
      </c>
      <c r="K307" s="22" t="str">
        <f ca="1">IF(ISNA(MATCH($A307,'Mock Database'!$C$3:$C$152,0)),"",IF(ISBLANK(OFFSET('Mock Database'!$AF$2,MATCH($A307,'Mock Database'!$C$3:$C$152,0),0)),"",INDEX('Mock Database'!$AF$3:$AF$152,MATCH($A307,'Mock Database'!$C$3:$C$152,0))))</f>
        <v/>
      </c>
      <c r="N307" t="e">
        <f t="shared" si="44"/>
        <v>#N/A</v>
      </c>
      <c r="O307" s="89" t="e">
        <f t="shared" ca="1" si="45"/>
        <v>#N/A</v>
      </c>
      <c r="P307" s="22" t="e">
        <f t="shared" ca="1" si="46"/>
        <v>#N/A</v>
      </c>
      <c r="Q307" s="89" t="e">
        <f t="shared" ca="1" si="47"/>
        <v>#N/A</v>
      </c>
      <c r="R307" s="22" t="e">
        <f t="shared" ca="1" si="48"/>
        <v>#N/A</v>
      </c>
      <c r="S307" s="89" t="e">
        <f t="shared" ca="1" si="49"/>
        <v>#N/A</v>
      </c>
      <c r="T307" s="22" t="e">
        <f t="shared" ca="1" si="50"/>
        <v>#N/A</v>
      </c>
      <c r="U307" s="89" t="e">
        <f t="shared" ca="1" si="51"/>
        <v>#N/A</v>
      </c>
      <c r="V307" s="22" t="e">
        <f t="shared" ca="1" si="52"/>
        <v>#N/A</v>
      </c>
      <c r="AM307" t="e">
        <f t="shared" si="53"/>
        <v>#N/A</v>
      </c>
      <c r="AN307" t="e">
        <f t="shared" ca="1" si="54"/>
        <v>#N/A</v>
      </c>
    </row>
    <row r="308" spans="1:40" x14ac:dyDescent="0.3">
      <c r="A308" s="87">
        <v>307</v>
      </c>
      <c r="B308" t="str">
        <f>IFERROR(INDEX('Mock Database'!$D$3:$D$152,MATCH($A308,'Mock Database'!$C$3:$C$152,0)),"")</f>
        <v/>
      </c>
      <c r="C308" s="88" t="str">
        <f>IFERROR(INDEX('Mock Database'!$I$3:$I$152,MATCH($A308,'Mock Database'!$C$3:$C$152,0)),"")</f>
        <v/>
      </c>
      <c r="D308" s="89" t="str">
        <f ca="1">IF(ISNA(MATCH($A308,'Mock Database'!$C$3:$C$152,0)),"",IF(ISBLANK(OFFSET('Mock Database'!$M$2,MATCH($A308,'Mock Database'!$C$3:$C$152,0),0)),"",INDEX('Mock Database'!$M$3:$M$152,MATCH($A308,'Mock Database'!$C$3:$C$152,0))))</f>
        <v/>
      </c>
      <c r="E308" s="22" t="str">
        <f ca="1">IF(ISNA(MATCH($A308,'Mock Database'!$C$3:$C$152,0)),"",IF(ISBLANK(OFFSET('Mock Database'!$N$2,MATCH($A308,'Mock Database'!$C$3:$C$152,0),0)),"",INDEX('Mock Database'!$N$3:$N$152,MATCH($A308,'Mock Database'!$C$3:$C$152,0))))</f>
        <v/>
      </c>
      <c r="F308" s="89" t="str">
        <f ca="1">IF(ISNA(MATCH($A308,'Mock Database'!$C$3:$C$152,0)),"",IF(ISBLANK(OFFSET('Mock Database'!$S$2,MATCH($A308,'Mock Database'!$C$3:$C$152,0),0)),"",INDEX('Mock Database'!$S$3:$S$152,MATCH($A308,'Mock Database'!$C$3:$C$152,0))))</f>
        <v/>
      </c>
      <c r="G308" s="22" t="str">
        <f ca="1">IF(ISNA(MATCH($A308,'Mock Database'!$C$3:$C$152,0)),"",IF(ISBLANK(OFFSET('Mock Database'!$T$2,MATCH($A308,'Mock Database'!$C$3:$C$152,0),0)),"",INDEX('Mock Database'!$T$3:$T$152,MATCH($A308,'Mock Database'!$C$3:$C$152,0))))</f>
        <v/>
      </c>
      <c r="H308" s="89" t="str">
        <f ca="1">IF(ISNA(MATCH($A308,'Mock Database'!$C$3:$C$152,0)),"",IF(ISBLANK(OFFSET('Mock Database'!$Y$2,MATCH($A308,'Mock Database'!$C$3:$C$152,0),0)),"",INDEX('Mock Database'!$Y$3:$Y$152,MATCH($A308,'Mock Database'!$C$3:$C$152,0))))</f>
        <v/>
      </c>
      <c r="I308" s="22" t="str">
        <f ca="1">IF(ISNA(MATCH($A308,'Mock Database'!$C$3:$C$152,0)),"",IF(ISBLANK(OFFSET('Mock Database'!$Z$2,MATCH($A308,'Mock Database'!$C$3:$C$152,0),0)),"",INDEX('Mock Database'!$Z$3:$Z$152,MATCH($A308,'Mock Database'!$C$3:$C$152,0))))</f>
        <v/>
      </c>
      <c r="J308" s="89" t="str">
        <f ca="1">IF(ISNA(MATCH($A308,'Mock Database'!$C$3:$C$152,0)),"",IF(ISBLANK(OFFSET('Mock Database'!$AE$2,MATCH($A308,'Mock Database'!$C$3:$C$152,0),0)),"",INDEX('Mock Database'!$AE$3:$AE$152,MATCH($A308,'Mock Database'!$C$3:$C$152,0))))</f>
        <v/>
      </c>
      <c r="K308" s="22" t="str">
        <f ca="1">IF(ISNA(MATCH($A308,'Mock Database'!$C$3:$C$152,0)),"",IF(ISBLANK(OFFSET('Mock Database'!$AF$2,MATCH($A308,'Mock Database'!$C$3:$C$152,0),0)),"",INDEX('Mock Database'!$AF$3:$AF$152,MATCH($A308,'Mock Database'!$C$3:$C$152,0))))</f>
        <v/>
      </c>
      <c r="N308" t="e">
        <f t="shared" si="44"/>
        <v>#N/A</v>
      </c>
      <c r="O308" s="89" t="e">
        <f t="shared" ca="1" si="45"/>
        <v>#N/A</v>
      </c>
      <c r="P308" s="22" t="e">
        <f t="shared" ca="1" si="46"/>
        <v>#N/A</v>
      </c>
      <c r="Q308" s="89" t="e">
        <f t="shared" ca="1" si="47"/>
        <v>#N/A</v>
      </c>
      <c r="R308" s="22" t="e">
        <f t="shared" ca="1" si="48"/>
        <v>#N/A</v>
      </c>
      <c r="S308" s="89" t="e">
        <f t="shared" ca="1" si="49"/>
        <v>#N/A</v>
      </c>
      <c r="T308" s="22" t="e">
        <f t="shared" ca="1" si="50"/>
        <v>#N/A</v>
      </c>
      <c r="U308" s="89" t="e">
        <f t="shared" ca="1" si="51"/>
        <v>#N/A</v>
      </c>
      <c r="V308" s="22" t="e">
        <f t="shared" ca="1" si="52"/>
        <v>#N/A</v>
      </c>
      <c r="AM308" t="e">
        <f t="shared" si="53"/>
        <v>#N/A</v>
      </c>
      <c r="AN308" t="e">
        <f t="shared" ca="1" si="54"/>
        <v>#N/A</v>
      </c>
    </row>
    <row r="309" spans="1:40" x14ac:dyDescent="0.3">
      <c r="A309" s="87">
        <v>308</v>
      </c>
      <c r="B309" t="str">
        <f>IFERROR(INDEX('Mock Database'!$D$3:$D$152,MATCH($A309,'Mock Database'!$C$3:$C$152,0)),"")</f>
        <v/>
      </c>
      <c r="C309" s="88" t="str">
        <f>IFERROR(INDEX('Mock Database'!$I$3:$I$152,MATCH($A309,'Mock Database'!$C$3:$C$152,0)),"")</f>
        <v/>
      </c>
      <c r="D309" s="89" t="str">
        <f ca="1">IF(ISNA(MATCH($A309,'Mock Database'!$C$3:$C$152,0)),"",IF(ISBLANK(OFFSET('Mock Database'!$M$2,MATCH($A309,'Mock Database'!$C$3:$C$152,0),0)),"",INDEX('Mock Database'!$M$3:$M$152,MATCH($A309,'Mock Database'!$C$3:$C$152,0))))</f>
        <v/>
      </c>
      <c r="E309" s="22" t="str">
        <f ca="1">IF(ISNA(MATCH($A309,'Mock Database'!$C$3:$C$152,0)),"",IF(ISBLANK(OFFSET('Mock Database'!$N$2,MATCH($A309,'Mock Database'!$C$3:$C$152,0),0)),"",INDEX('Mock Database'!$N$3:$N$152,MATCH($A309,'Mock Database'!$C$3:$C$152,0))))</f>
        <v/>
      </c>
      <c r="F309" s="89" t="str">
        <f ca="1">IF(ISNA(MATCH($A309,'Mock Database'!$C$3:$C$152,0)),"",IF(ISBLANK(OFFSET('Mock Database'!$S$2,MATCH($A309,'Mock Database'!$C$3:$C$152,0),0)),"",INDEX('Mock Database'!$S$3:$S$152,MATCH($A309,'Mock Database'!$C$3:$C$152,0))))</f>
        <v/>
      </c>
      <c r="G309" s="22" t="str">
        <f ca="1">IF(ISNA(MATCH($A309,'Mock Database'!$C$3:$C$152,0)),"",IF(ISBLANK(OFFSET('Mock Database'!$T$2,MATCH($A309,'Mock Database'!$C$3:$C$152,0),0)),"",INDEX('Mock Database'!$T$3:$T$152,MATCH($A309,'Mock Database'!$C$3:$C$152,0))))</f>
        <v/>
      </c>
      <c r="H309" s="89" t="str">
        <f ca="1">IF(ISNA(MATCH($A309,'Mock Database'!$C$3:$C$152,0)),"",IF(ISBLANK(OFFSET('Mock Database'!$Y$2,MATCH($A309,'Mock Database'!$C$3:$C$152,0),0)),"",INDEX('Mock Database'!$Y$3:$Y$152,MATCH($A309,'Mock Database'!$C$3:$C$152,0))))</f>
        <v/>
      </c>
      <c r="I309" s="22" t="str">
        <f ca="1">IF(ISNA(MATCH($A309,'Mock Database'!$C$3:$C$152,0)),"",IF(ISBLANK(OFFSET('Mock Database'!$Z$2,MATCH($A309,'Mock Database'!$C$3:$C$152,0),0)),"",INDEX('Mock Database'!$Z$3:$Z$152,MATCH($A309,'Mock Database'!$C$3:$C$152,0))))</f>
        <v/>
      </c>
      <c r="J309" s="89" t="str">
        <f ca="1">IF(ISNA(MATCH($A309,'Mock Database'!$C$3:$C$152,0)),"",IF(ISBLANK(OFFSET('Mock Database'!$AE$2,MATCH($A309,'Mock Database'!$C$3:$C$152,0),0)),"",INDEX('Mock Database'!$AE$3:$AE$152,MATCH($A309,'Mock Database'!$C$3:$C$152,0))))</f>
        <v/>
      </c>
      <c r="K309" s="22" t="str">
        <f ca="1">IF(ISNA(MATCH($A309,'Mock Database'!$C$3:$C$152,0)),"",IF(ISBLANK(OFFSET('Mock Database'!$AF$2,MATCH($A309,'Mock Database'!$C$3:$C$152,0),0)),"",INDEX('Mock Database'!$AF$3:$AF$152,MATCH($A309,'Mock Database'!$C$3:$C$152,0))))</f>
        <v/>
      </c>
      <c r="N309" t="e">
        <f t="shared" si="44"/>
        <v>#N/A</v>
      </c>
      <c r="O309" s="89" t="e">
        <f t="shared" ca="1" si="45"/>
        <v>#N/A</v>
      </c>
      <c r="P309" s="22" t="e">
        <f t="shared" ca="1" si="46"/>
        <v>#N/A</v>
      </c>
      <c r="Q309" s="89" t="e">
        <f t="shared" ca="1" si="47"/>
        <v>#N/A</v>
      </c>
      <c r="R309" s="22" t="e">
        <f t="shared" ca="1" si="48"/>
        <v>#N/A</v>
      </c>
      <c r="S309" s="89" t="e">
        <f t="shared" ca="1" si="49"/>
        <v>#N/A</v>
      </c>
      <c r="T309" s="22" t="e">
        <f t="shared" ca="1" si="50"/>
        <v>#N/A</v>
      </c>
      <c r="U309" s="89" t="e">
        <f t="shared" ca="1" si="51"/>
        <v>#N/A</v>
      </c>
      <c r="V309" s="22" t="e">
        <f t="shared" ca="1" si="52"/>
        <v>#N/A</v>
      </c>
      <c r="AM309" t="e">
        <f t="shared" si="53"/>
        <v>#N/A</v>
      </c>
      <c r="AN309" t="e">
        <f t="shared" ca="1" si="54"/>
        <v>#N/A</v>
      </c>
    </row>
    <row r="310" spans="1:40" x14ac:dyDescent="0.3">
      <c r="A310" s="87">
        <v>309</v>
      </c>
      <c r="B310" t="str">
        <f>IFERROR(INDEX('Mock Database'!$D$3:$D$152,MATCH($A310,'Mock Database'!$C$3:$C$152,0)),"")</f>
        <v/>
      </c>
      <c r="C310" s="88" t="str">
        <f>IFERROR(INDEX('Mock Database'!$I$3:$I$152,MATCH($A310,'Mock Database'!$C$3:$C$152,0)),"")</f>
        <v/>
      </c>
      <c r="D310" s="89" t="str">
        <f ca="1">IF(ISNA(MATCH($A310,'Mock Database'!$C$3:$C$152,0)),"",IF(ISBLANK(OFFSET('Mock Database'!$M$2,MATCH($A310,'Mock Database'!$C$3:$C$152,0),0)),"",INDEX('Mock Database'!$M$3:$M$152,MATCH($A310,'Mock Database'!$C$3:$C$152,0))))</f>
        <v/>
      </c>
      <c r="E310" s="22" t="str">
        <f ca="1">IF(ISNA(MATCH($A310,'Mock Database'!$C$3:$C$152,0)),"",IF(ISBLANK(OFFSET('Mock Database'!$N$2,MATCH($A310,'Mock Database'!$C$3:$C$152,0),0)),"",INDEX('Mock Database'!$N$3:$N$152,MATCH($A310,'Mock Database'!$C$3:$C$152,0))))</f>
        <v/>
      </c>
      <c r="F310" s="89" t="str">
        <f ca="1">IF(ISNA(MATCH($A310,'Mock Database'!$C$3:$C$152,0)),"",IF(ISBLANK(OFFSET('Mock Database'!$S$2,MATCH($A310,'Mock Database'!$C$3:$C$152,0),0)),"",INDEX('Mock Database'!$S$3:$S$152,MATCH($A310,'Mock Database'!$C$3:$C$152,0))))</f>
        <v/>
      </c>
      <c r="G310" s="22" t="str">
        <f ca="1">IF(ISNA(MATCH($A310,'Mock Database'!$C$3:$C$152,0)),"",IF(ISBLANK(OFFSET('Mock Database'!$T$2,MATCH($A310,'Mock Database'!$C$3:$C$152,0),0)),"",INDEX('Mock Database'!$T$3:$T$152,MATCH($A310,'Mock Database'!$C$3:$C$152,0))))</f>
        <v/>
      </c>
      <c r="H310" s="89" t="str">
        <f ca="1">IF(ISNA(MATCH($A310,'Mock Database'!$C$3:$C$152,0)),"",IF(ISBLANK(OFFSET('Mock Database'!$Y$2,MATCH($A310,'Mock Database'!$C$3:$C$152,0),0)),"",INDEX('Mock Database'!$Y$3:$Y$152,MATCH($A310,'Mock Database'!$C$3:$C$152,0))))</f>
        <v/>
      </c>
      <c r="I310" s="22" t="str">
        <f ca="1">IF(ISNA(MATCH($A310,'Mock Database'!$C$3:$C$152,0)),"",IF(ISBLANK(OFFSET('Mock Database'!$Z$2,MATCH($A310,'Mock Database'!$C$3:$C$152,0),0)),"",INDEX('Mock Database'!$Z$3:$Z$152,MATCH($A310,'Mock Database'!$C$3:$C$152,0))))</f>
        <v/>
      </c>
      <c r="J310" s="89" t="str">
        <f ca="1">IF(ISNA(MATCH($A310,'Mock Database'!$C$3:$C$152,0)),"",IF(ISBLANK(OFFSET('Mock Database'!$AE$2,MATCH($A310,'Mock Database'!$C$3:$C$152,0),0)),"",INDEX('Mock Database'!$AE$3:$AE$152,MATCH($A310,'Mock Database'!$C$3:$C$152,0))))</f>
        <v/>
      </c>
      <c r="K310" s="22" t="str">
        <f ca="1">IF(ISNA(MATCH($A310,'Mock Database'!$C$3:$C$152,0)),"",IF(ISBLANK(OFFSET('Mock Database'!$AF$2,MATCH($A310,'Mock Database'!$C$3:$C$152,0),0)),"",INDEX('Mock Database'!$AF$3:$AF$152,MATCH($A310,'Mock Database'!$C$3:$C$152,0))))</f>
        <v/>
      </c>
      <c r="N310" t="e">
        <f t="shared" si="44"/>
        <v>#N/A</v>
      </c>
      <c r="O310" s="89" t="e">
        <f t="shared" ca="1" si="45"/>
        <v>#N/A</v>
      </c>
      <c r="P310" s="22" t="e">
        <f t="shared" ca="1" si="46"/>
        <v>#N/A</v>
      </c>
      <c r="Q310" s="89" t="e">
        <f t="shared" ca="1" si="47"/>
        <v>#N/A</v>
      </c>
      <c r="R310" s="22" t="e">
        <f t="shared" ca="1" si="48"/>
        <v>#N/A</v>
      </c>
      <c r="S310" s="89" t="e">
        <f t="shared" ca="1" si="49"/>
        <v>#N/A</v>
      </c>
      <c r="T310" s="22" t="e">
        <f t="shared" ca="1" si="50"/>
        <v>#N/A</v>
      </c>
      <c r="U310" s="89" t="e">
        <f t="shared" ca="1" si="51"/>
        <v>#N/A</v>
      </c>
      <c r="V310" s="22" t="e">
        <f t="shared" ca="1" si="52"/>
        <v>#N/A</v>
      </c>
      <c r="AM310" t="e">
        <f t="shared" si="53"/>
        <v>#N/A</v>
      </c>
      <c r="AN310" t="e">
        <f t="shared" ca="1" si="54"/>
        <v>#N/A</v>
      </c>
    </row>
    <row r="311" spans="1:40" x14ac:dyDescent="0.3">
      <c r="A311" s="87">
        <v>310</v>
      </c>
      <c r="B311" t="str">
        <f>IFERROR(INDEX('Mock Database'!$D$3:$D$152,MATCH($A311,'Mock Database'!$C$3:$C$152,0)),"")</f>
        <v/>
      </c>
      <c r="C311" s="88" t="str">
        <f>IFERROR(INDEX('Mock Database'!$I$3:$I$152,MATCH($A311,'Mock Database'!$C$3:$C$152,0)),"")</f>
        <v/>
      </c>
      <c r="D311" s="89" t="str">
        <f ca="1">IF(ISNA(MATCH($A311,'Mock Database'!$C$3:$C$152,0)),"",IF(ISBLANK(OFFSET('Mock Database'!$M$2,MATCH($A311,'Mock Database'!$C$3:$C$152,0),0)),"",INDEX('Mock Database'!$M$3:$M$152,MATCH($A311,'Mock Database'!$C$3:$C$152,0))))</f>
        <v/>
      </c>
      <c r="E311" s="22" t="str">
        <f ca="1">IF(ISNA(MATCH($A311,'Mock Database'!$C$3:$C$152,0)),"",IF(ISBLANK(OFFSET('Mock Database'!$N$2,MATCH($A311,'Mock Database'!$C$3:$C$152,0),0)),"",INDEX('Mock Database'!$N$3:$N$152,MATCH($A311,'Mock Database'!$C$3:$C$152,0))))</f>
        <v/>
      </c>
      <c r="F311" s="89" t="str">
        <f ca="1">IF(ISNA(MATCH($A311,'Mock Database'!$C$3:$C$152,0)),"",IF(ISBLANK(OFFSET('Mock Database'!$S$2,MATCH($A311,'Mock Database'!$C$3:$C$152,0),0)),"",INDEX('Mock Database'!$S$3:$S$152,MATCH($A311,'Mock Database'!$C$3:$C$152,0))))</f>
        <v/>
      </c>
      <c r="G311" s="22" t="str">
        <f ca="1">IF(ISNA(MATCH($A311,'Mock Database'!$C$3:$C$152,0)),"",IF(ISBLANK(OFFSET('Mock Database'!$T$2,MATCH($A311,'Mock Database'!$C$3:$C$152,0),0)),"",INDEX('Mock Database'!$T$3:$T$152,MATCH($A311,'Mock Database'!$C$3:$C$152,0))))</f>
        <v/>
      </c>
      <c r="H311" s="89" t="str">
        <f ca="1">IF(ISNA(MATCH($A311,'Mock Database'!$C$3:$C$152,0)),"",IF(ISBLANK(OFFSET('Mock Database'!$Y$2,MATCH($A311,'Mock Database'!$C$3:$C$152,0),0)),"",INDEX('Mock Database'!$Y$3:$Y$152,MATCH($A311,'Mock Database'!$C$3:$C$152,0))))</f>
        <v/>
      </c>
      <c r="I311" s="22" t="str">
        <f ca="1">IF(ISNA(MATCH($A311,'Mock Database'!$C$3:$C$152,0)),"",IF(ISBLANK(OFFSET('Mock Database'!$Z$2,MATCH($A311,'Mock Database'!$C$3:$C$152,0),0)),"",INDEX('Mock Database'!$Z$3:$Z$152,MATCH($A311,'Mock Database'!$C$3:$C$152,0))))</f>
        <v/>
      </c>
      <c r="J311" s="89" t="str">
        <f ca="1">IF(ISNA(MATCH($A311,'Mock Database'!$C$3:$C$152,0)),"",IF(ISBLANK(OFFSET('Mock Database'!$AE$2,MATCH($A311,'Mock Database'!$C$3:$C$152,0),0)),"",INDEX('Mock Database'!$AE$3:$AE$152,MATCH($A311,'Mock Database'!$C$3:$C$152,0))))</f>
        <v/>
      </c>
      <c r="K311" s="22" t="str">
        <f ca="1">IF(ISNA(MATCH($A311,'Mock Database'!$C$3:$C$152,0)),"",IF(ISBLANK(OFFSET('Mock Database'!$AF$2,MATCH($A311,'Mock Database'!$C$3:$C$152,0),0)),"",INDEX('Mock Database'!$AF$3:$AF$152,MATCH($A311,'Mock Database'!$C$3:$C$152,0))))</f>
        <v/>
      </c>
      <c r="N311" t="e">
        <f t="shared" si="44"/>
        <v>#N/A</v>
      </c>
      <c r="O311" s="89" t="e">
        <f t="shared" ca="1" si="45"/>
        <v>#N/A</v>
      </c>
      <c r="P311" s="22" t="e">
        <f t="shared" ca="1" si="46"/>
        <v>#N/A</v>
      </c>
      <c r="Q311" s="89" t="e">
        <f t="shared" ca="1" si="47"/>
        <v>#N/A</v>
      </c>
      <c r="R311" s="22" t="e">
        <f t="shared" ca="1" si="48"/>
        <v>#N/A</v>
      </c>
      <c r="S311" s="89" t="e">
        <f t="shared" ca="1" si="49"/>
        <v>#N/A</v>
      </c>
      <c r="T311" s="22" t="e">
        <f t="shared" ca="1" si="50"/>
        <v>#N/A</v>
      </c>
      <c r="U311" s="89" t="e">
        <f t="shared" ca="1" si="51"/>
        <v>#N/A</v>
      </c>
      <c r="V311" s="22" t="e">
        <f t="shared" ca="1" si="52"/>
        <v>#N/A</v>
      </c>
      <c r="AM311" t="e">
        <f t="shared" si="53"/>
        <v>#N/A</v>
      </c>
      <c r="AN311" t="e">
        <f t="shared" ca="1" si="54"/>
        <v>#N/A</v>
      </c>
    </row>
    <row r="312" spans="1:40" x14ac:dyDescent="0.3">
      <c r="A312" s="87">
        <v>311</v>
      </c>
      <c r="B312" t="str">
        <f>IFERROR(INDEX('Mock Database'!$D$3:$D$152,MATCH($A312,'Mock Database'!$C$3:$C$152,0)),"")</f>
        <v/>
      </c>
      <c r="C312" s="88" t="str">
        <f>IFERROR(INDEX('Mock Database'!$I$3:$I$152,MATCH($A312,'Mock Database'!$C$3:$C$152,0)),"")</f>
        <v/>
      </c>
      <c r="D312" s="89" t="str">
        <f ca="1">IF(ISNA(MATCH($A312,'Mock Database'!$C$3:$C$152,0)),"",IF(ISBLANK(OFFSET('Mock Database'!$M$2,MATCH($A312,'Mock Database'!$C$3:$C$152,0),0)),"",INDEX('Mock Database'!$M$3:$M$152,MATCH($A312,'Mock Database'!$C$3:$C$152,0))))</f>
        <v/>
      </c>
      <c r="E312" s="22" t="str">
        <f ca="1">IF(ISNA(MATCH($A312,'Mock Database'!$C$3:$C$152,0)),"",IF(ISBLANK(OFFSET('Mock Database'!$N$2,MATCH($A312,'Mock Database'!$C$3:$C$152,0),0)),"",INDEX('Mock Database'!$N$3:$N$152,MATCH($A312,'Mock Database'!$C$3:$C$152,0))))</f>
        <v/>
      </c>
      <c r="F312" s="89" t="str">
        <f ca="1">IF(ISNA(MATCH($A312,'Mock Database'!$C$3:$C$152,0)),"",IF(ISBLANK(OFFSET('Mock Database'!$S$2,MATCH($A312,'Mock Database'!$C$3:$C$152,0),0)),"",INDEX('Mock Database'!$S$3:$S$152,MATCH($A312,'Mock Database'!$C$3:$C$152,0))))</f>
        <v/>
      </c>
      <c r="G312" s="22" t="str">
        <f ca="1">IF(ISNA(MATCH($A312,'Mock Database'!$C$3:$C$152,0)),"",IF(ISBLANK(OFFSET('Mock Database'!$T$2,MATCH($A312,'Mock Database'!$C$3:$C$152,0),0)),"",INDEX('Mock Database'!$T$3:$T$152,MATCH($A312,'Mock Database'!$C$3:$C$152,0))))</f>
        <v/>
      </c>
      <c r="H312" s="89" t="str">
        <f ca="1">IF(ISNA(MATCH($A312,'Mock Database'!$C$3:$C$152,0)),"",IF(ISBLANK(OFFSET('Mock Database'!$Y$2,MATCH($A312,'Mock Database'!$C$3:$C$152,0),0)),"",INDEX('Mock Database'!$Y$3:$Y$152,MATCH($A312,'Mock Database'!$C$3:$C$152,0))))</f>
        <v/>
      </c>
      <c r="I312" s="22" t="str">
        <f ca="1">IF(ISNA(MATCH($A312,'Mock Database'!$C$3:$C$152,0)),"",IF(ISBLANK(OFFSET('Mock Database'!$Z$2,MATCH($A312,'Mock Database'!$C$3:$C$152,0),0)),"",INDEX('Mock Database'!$Z$3:$Z$152,MATCH($A312,'Mock Database'!$C$3:$C$152,0))))</f>
        <v/>
      </c>
      <c r="J312" s="89" t="str">
        <f ca="1">IF(ISNA(MATCH($A312,'Mock Database'!$C$3:$C$152,0)),"",IF(ISBLANK(OFFSET('Mock Database'!$AE$2,MATCH($A312,'Mock Database'!$C$3:$C$152,0),0)),"",INDEX('Mock Database'!$AE$3:$AE$152,MATCH($A312,'Mock Database'!$C$3:$C$152,0))))</f>
        <v/>
      </c>
      <c r="K312" s="22" t="str">
        <f ca="1">IF(ISNA(MATCH($A312,'Mock Database'!$C$3:$C$152,0)),"",IF(ISBLANK(OFFSET('Mock Database'!$AF$2,MATCH($A312,'Mock Database'!$C$3:$C$152,0),0)),"",INDEX('Mock Database'!$AF$3:$AF$152,MATCH($A312,'Mock Database'!$C$3:$C$152,0))))</f>
        <v/>
      </c>
      <c r="N312" t="e">
        <f t="shared" si="44"/>
        <v>#N/A</v>
      </c>
      <c r="O312" s="89" t="e">
        <f t="shared" ca="1" si="45"/>
        <v>#N/A</v>
      </c>
      <c r="P312" s="22" t="e">
        <f t="shared" ca="1" si="46"/>
        <v>#N/A</v>
      </c>
      <c r="Q312" s="89" t="e">
        <f t="shared" ca="1" si="47"/>
        <v>#N/A</v>
      </c>
      <c r="R312" s="22" t="e">
        <f t="shared" ca="1" si="48"/>
        <v>#N/A</v>
      </c>
      <c r="S312" s="89" t="e">
        <f t="shared" ca="1" si="49"/>
        <v>#N/A</v>
      </c>
      <c r="T312" s="22" t="e">
        <f t="shared" ca="1" si="50"/>
        <v>#N/A</v>
      </c>
      <c r="U312" s="89" t="e">
        <f t="shared" ca="1" si="51"/>
        <v>#N/A</v>
      </c>
      <c r="V312" s="22" t="e">
        <f t="shared" ca="1" si="52"/>
        <v>#N/A</v>
      </c>
      <c r="AM312" t="e">
        <f t="shared" si="53"/>
        <v>#N/A</v>
      </c>
      <c r="AN312" t="e">
        <f t="shared" ca="1" si="54"/>
        <v>#N/A</v>
      </c>
    </row>
    <row r="313" spans="1:40" x14ac:dyDescent="0.3">
      <c r="A313" s="87">
        <v>312</v>
      </c>
      <c r="B313" t="str">
        <f>IFERROR(INDEX('Mock Database'!$D$3:$D$152,MATCH($A313,'Mock Database'!$C$3:$C$152,0)),"")</f>
        <v/>
      </c>
      <c r="C313" s="88" t="str">
        <f>IFERROR(INDEX('Mock Database'!$I$3:$I$152,MATCH($A313,'Mock Database'!$C$3:$C$152,0)),"")</f>
        <v/>
      </c>
      <c r="D313" s="89" t="str">
        <f ca="1">IF(ISNA(MATCH($A313,'Mock Database'!$C$3:$C$152,0)),"",IF(ISBLANK(OFFSET('Mock Database'!$M$2,MATCH($A313,'Mock Database'!$C$3:$C$152,0),0)),"",INDEX('Mock Database'!$M$3:$M$152,MATCH($A313,'Mock Database'!$C$3:$C$152,0))))</f>
        <v/>
      </c>
      <c r="E313" s="22" t="str">
        <f ca="1">IF(ISNA(MATCH($A313,'Mock Database'!$C$3:$C$152,0)),"",IF(ISBLANK(OFFSET('Mock Database'!$N$2,MATCH($A313,'Mock Database'!$C$3:$C$152,0),0)),"",INDEX('Mock Database'!$N$3:$N$152,MATCH($A313,'Mock Database'!$C$3:$C$152,0))))</f>
        <v/>
      </c>
      <c r="F313" s="89" t="str">
        <f ca="1">IF(ISNA(MATCH($A313,'Mock Database'!$C$3:$C$152,0)),"",IF(ISBLANK(OFFSET('Mock Database'!$S$2,MATCH($A313,'Mock Database'!$C$3:$C$152,0),0)),"",INDEX('Mock Database'!$S$3:$S$152,MATCH($A313,'Mock Database'!$C$3:$C$152,0))))</f>
        <v/>
      </c>
      <c r="G313" s="22" t="str">
        <f ca="1">IF(ISNA(MATCH($A313,'Mock Database'!$C$3:$C$152,0)),"",IF(ISBLANK(OFFSET('Mock Database'!$T$2,MATCH($A313,'Mock Database'!$C$3:$C$152,0),0)),"",INDEX('Mock Database'!$T$3:$T$152,MATCH($A313,'Mock Database'!$C$3:$C$152,0))))</f>
        <v/>
      </c>
      <c r="H313" s="89" t="str">
        <f ca="1">IF(ISNA(MATCH($A313,'Mock Database'!$C$3:$C$152,0)),"",IF(ISBLANK(OFFSET('Mock Database'!$Y$2,MATCH($A313,'Mock Database'!$C$3:$C$152,0),0)),"",INDEX('Mock Database'!$Y$3:$Y$152,MATCH($A313,'Mock Database'!$C$3:$C$152,0))))</f>
        <v/>
      </c>
      <c r="I313" s="22" t="str">
        <f ca="1">IF(ISNA(MATCH($A313,'Mock Database'!$C$3:$C$152,0)),"",IF(ISBLANK(OFFSET('Mock Database'!$Z$2,MATCH($A313,'Mock Database'!$C$3:$C$152,0),0)),"",INDEX('Mock Database'!$Z$3:$Z$152,MATCH($A313,'Mock Database'!$C$3:$C$152,0))))</f>
        <v/>
      </c>
      <c r="J313" s="89" t="str">
        <f ca="1">IF(ISNA(MATCH($A313,'Mock Database'!$C$3:$C$152,0)),"",IF(ISBLANK(OFFSET('Mock Database'!$AE$2,MATCH($A313,'Mock Database'!$C$3:$C$152,0),0)),"",INDEX('Mock Database'!$AE$3:$AE$152,MATCH($A313,'Mock Database'!$C$3:$C$152,0))))</f>
        <v/>
      </c>
      <c r="K313" s="22" t="str">
        <f ca="1">IF(ISNA(MATCH($A313,'Mock Database'!$C$3:$C$152,0)),"",IF(ISBLANK(OFFSET('Mock Database'!$AF$2,MATCH($A313,'Mock Database'!$C$3:$C$152,0),0)),"",INDEX('Mock Database'!$AF$3:$AF$152,MATCH($A313,'Mock Database'!$C$3:$C$152,0))))</f>
        <v/>
      </c>
      <c r="N313" t="e">
        <f t="shared" si="44"/>
        <v>#N/A</v>
      </c>
      <c r="O313" s="89" t="e">
        <f t="shared" ca="1" si="45"/>
        <v>#N/A</v>
      </c>
      <c r="P313" s="22" t="e">
        <f t="shared" ca="1" si="46"/>
        <v>#N/A</v>
      </c>
      <c r="Q313" s="89" t="e">
        <f t="shared" ca="1" si="47"/>
        <v>#N/A</v>
      </c>
      <c r="R313" s="22" t="e">
        <f t="shared" ca="1" si="48"/>
        <v>#N/A</v>
      </c>
      <c r="S313" s="89" t="e">
        <f t="shared" ca="1" si="49"/>
        <v>#N/A</v>
      </c>
      <c r="T313" s="22" t="e">
        <f t="shared" ca="1" si="50"/>
        <v>#N/A</v>
      </c>
      <c r="U313" s="89" t="e">
        <f t="shared" ca="1" si="51"/>
        <v>#N/A</v>
      </c>
      <c r="V313" s="22" t="e">
        <f t="shared" ca="1" si="52"/>
        <v>#N/A</v>
      </c>
      <c r="AM313" t="e">
        <f t="shared" si="53"/>
        <v>#N/A</v>
      </c>
      <c r="AN313" t="e">
        <f t="shared" ca="1" si="54"/>
        <v>#N/A</v>
      </c>
    </row>
    <row r="314" spans="1:40" x14ac:dyDescent="0.3">
      <c r="A314" s="87">
        <v>313</v>
      </c>
      <c r="B314" t="str">
        <f>IFERROR(INDEX('Mock Database'!$D$3:$D$152,MATCH($A314,'Mock Database'!$C$3:$C$152,0)),"")</f>
        <v/>
      </c>
      <c r="C314" s="88" t="str">
        <f>IFERROR(INDEX('Mock Database'!$I$3:$I$152,MATCH($A314,'Mock Database'!$C$3:$C$152,0)),"")</f>
        <v/>
      </c>
      <c r="D314" s="89" t="str">
        <f ca="1">IF(ISNA(MATCH($A314,'Mock Database'!$C$3:$C$152,0)),"",IF(ISBLANK(OFFSET('Mock Database'!$M$2,MATCH($A314,'Mock Database'!$C$3:$C$152,0),0)),"",INDEX('Mock Database'!$M$3:$M$152,MATCH($A314,'Mock Database'!$C$3:$C$152,0))))</f>
        <v/>
      </c>
      <c r="E314" s="22" t="str">
        <f ca="1">IF(ISNA(MATCH($A314,'Mock Database'!$C$3:$C$152,0)),"",IF(ISBLANK(OFFSET('Mock Database'!$N$2,MATCH($A314,'Mock Database'!$C$3:$C$152,0),0)),"",INDEX('Mock Database'!$N$3:$N$152,MATCH($A314,'Mock Database'!$C$3:$C$152,0))))</f>
        <v/>
      </c>
      <c r="F314" s="89" t="str">
        <f ca="1">IF(ISNA(MATCH($A314,'Mock Database'!$C$3:$C$152,0)),"",IF(ISBLANK(OFFSET('Mock Database'!$S$2,MATCH($A314,'Mock Database'!$C$3:$C$152,0),0)),"",INDEX('Mock Database'!$S$3:$S$152,MATCH($A314,'Mock Database'!$C$3:$C$152,0))))</f>
        <v/>
      </c>
      <c r="G314" s="22" t="str">
        <f ca="1">IF(ISNA(MATCH($A314,'Mock Database'!$C$3:$C$152,0)),"",IF(ISBLANK(OFFSET('Mock Database'!$T$2,MATCH($A314,'Mock Database'!$C$3:$C$152,0),0)),"",INDEX('Mock Database'!$T$3:$T$152,MATCH($A314,'Mock Database'!$C$3:$C$152,0))))</f>
        <v/>
      </c>
      <c r="H314" s="89" t="str">
        <f ca="1">IF(ISNA(MATCH($A314,'Mock Database'!$C$3:$C$152,0)),"",IF(ISBLANK(OFFSET('Mock Database'!$Y$2,MATCH($A314,'Mock Database'!$C$3:$C$152,0),0)),"",INDEX('Mock Database'!$Y$3:$Y$152,MATCH($A314,'Mock Database'!$C$3:$C$152,0))))</f>
        <v/>
      </c>
      <c r="I314" s="22" t="str">
        <f ca="1">IF(ISNA(MATCH($A314,'Mock Database'!$C$3:$C$152,0)),"",IF(ISBLANK(OFFSET('Mock Database'!$Z$2,MATCH($A314,'Mock Database'!$C$3:$C$152,0),0)),"",INDEX('Mock Database'!$Z$3:$Z$152,MATCH($A314,'Mock Database'!$C$3:$C$152,0))))</f>
        <v/>
      </c>
      <c r="J314" s="89" t="str">
        <f ca="1">IF(ISNA(MATCH($A314,'Mock Database'!$C$3:$C$152,0)),"",IF(ISBLANK(OFFSET('Mock Database'!$AE$2,MATCH($A314,'Mock Database'!$C$3:$C$152,0),0)),"",INDEX('Mock Database'!$AE$3:$AE$152,MATCH($A314,'Mock Database'!$C$3:$C$152,0))))</f>
        <v/>
      </c>
      <c r="K314" s="22" t="str">
        <f ca="1">IF(ISNA(MATCH($A314,'Mock Database'!$C$3:$C$152,0)),"",IF(ISBLANK(OFFSET('Mock Database'!$AF$2,MATCH($A314,'Mock Database'!$C$3:$C$152,0),0)),"",INDEX('Mock Database'!$AF$3:$AF$152,MATCH($A314,'Mock Database'!$C$3:$C$152,0))))</f>
        <v/>
      </c>
      <c r="N314" t="e">
        <f t="shared" si="44"/>
        <v>#N/A</v>
      </c>
      <c r="O314" s="89" t="e">
        <f t="shared" ca="1" si="45"/>
        <v>#N/A</v>
      </c>
      <c r="P314" s="22" t="e">
        <f t="shared" ca="1" si="46"/>
        <v>#N/A</v>
      </c>
      <c r="Q314" s="89" t="e">
        <f t="shared" ca="1" si="47"/>
        <v>#N/A</v>
      </c>
      <c r="R314" s="22" t="e">
        <f t="shared" ca="1" si="48"/>
        <v>#N/A</v>
      </c>
      <c r="S314" s="89" t="e">
        <f t="shared" ca="1" si="49"/>
        <v>#N/A</v>
      </c>
      <c r="T314" s="22" t="e">
        <f t="shared" ca="1" si="50"/>
        <v>#N/A</v>
      </c>
      <c r="U314" s="89" t="e">
        <f t="shared" ca="1" si="51"/>
        <v>#N/A</v>
      </c>
      <c r="V314" s="22" t="e">
        <f t="shared" ca="1" si="52"/>
        <v>#N/A</v>
      </c>
      <c r="AM314" t="e">
        <f t="shared" si="53"/>
        <v>#N/A</v>
      </c>
      <c r="AN314" t="e">
        <f t="shared" ca="1" si="54"/>
        <v>#N/A</v>
      </c>
    </row>
    <row r="315" spans="1:40" x14ac:dyDescent="0.3">
      <c r="A315" s="87">
        <v>314</v>
      </c>
      <c r="B315" t="str">
        <f>IFERROR(INDEX('Mock Database'!$D$3:$D$152,MATCH($A315,'Mock Database'!$C$3:$C$152,0)),"")</f>
        <v/>
      </c>
      <c r="C315" s="88" t="str">
        <f>IFERROR(INDEX('Mock Database'!$I$3:$I$152,MATCH($A315,'Mock Database'!$C$3:$C$152,0)),"")</f>
        <v/>
      </c>
      <c r="D315" s="89" t="str">
        <f ca="1">IF(ISNA(MATCH($A315,'Mock Database'!$C$3:$C$152,0)),"",IF(ISBLANK(OFFSET('Mock Database'!$M$2,MATCH($A315,'Mock Database'!$C$3:$C$152,0),0)),"",INDEX('Mock Database'!$M$3:$M$152,MATCH($A315,'Mock Database'!$C$3:$C$152,0))))</f>
        <v/>
      </c>
      <c r="E315" s="22" t="str">
        <f ca="1">IF(ISNA(MATCH($A315,'Mock Database'!$C$3:$C$152,0)),"",IF(ISBLANK(OFFSET('Mock Database'!$N$2,MATCH($A315,'Mock Database'!$C$3:$C$152,0),0)),"",INDEX('Mock Database'!$N$3:$N$152,MATCH($A315,'Mock Database'!$C$3:$C$152,0))))</f>
        <v/>
      </c>
      <c r="F315" s="89" t="str">
        <f ca="1">IF(ISNA(MATCH($A315,'Mock Database'!$C$3:$C$152,0)),"",IF(ISBLANK(OFFSET('Mock Database'!$S$2,MATCH($A315,'Mock Database'!$C$3:$C$152,0),0)),"",INDEX('Mock Database'!$S$3:$S$152,MATCH($A315,'Mock Database'!$C$3:$C$152,0))))</f>
        <v/>
      </c>
      <c r="G315" s="22" t="str">
        <f ca="1">IF(ISNA(MATCH($A315,'Mock Database'!$C$3:$C$152,0)),"",IF(ISBLANK(OFFSET('Mock Database'!$T$2,MATCH($A315,'Mock Database'!$C$3:$C$152,0),0)),"",INDEX('Mock Database'!$T$3:$T$152,MATCH($A315,'Mock Database'!$C$3:$C$152,0))))</f>
        <v/>
      </c>
      <c r="H315" s="89" t="str">
        <f ca="1">IF(ISNA(MATCH($A315,'Mock Database'!$C$3:$C$152,0)),"",IF(ISBLANK(OFFSET('Mock Database'!$Y$2,MATCH($A315,'Mock Database'!$C$3:$C$152,0),0)),"",INDEX('Mock Database'!$Y$3:$Y$152,MATCH($A315,'Mock Database'!$C$3:$C$152,0))))</f>
        <v/>
      </c>
      <c r="I315" s="22" t="str">
        <f ca="1">IF(ISNA(MATCH($A315,'Mock Database'!$C$3:$C$152,0)),"",IF(ISBLANK(OFFSET('Mock Database'!$Z$2,MATCH($A315,'Mock Database'!$C$3:$C$152,0),0)),"",INDEX('Mock Database'!$Z$3:$Z$152,MATCH($A315,'Mock Database'!$C$3:$C$152,0))))</f>
        <v/>
      </c>
      <c r="J315" s="89" t="str">
        <f ca="1">IF(ISNA(MATCH($A315,'Mock Database'!$C$3:$C$152,0)),"",IF(ISBLANK(OFFSET('Mock Database'!$AE$2,MATCH($A315,'Mock Database'!$C$3:$C$152,0),0)),"",INDEX('Mock Database'!$AE$3:$AE$152,MATCH($A315,'Mock Database'!$C$3:$C$152,0))))</f>
        <v/>
      </c>
      <c r="K315" s="22" t="str">
        <f ca="1">IF(ISNA(MATCH($A315,'Mock Database'!$C$3:$C$152,0)),"",IF(ISBLANK(OFFSET('Mock Database'!$AF$2,MATCH($A315,'Mock Database'!$C$3:$C$152,0),0)),"",INDEX('Mock Database'!$AF$3:$AF$152,MATCH($A315,'Mock Database'!$C$3:$C$152,0))))</f>
        <v/>
      </c>
      <c r="N315" t="e">
        <f t="shared" si="44"/>
        <v>#N/A</v>
      </c>
      <c r="O315" s="89" t="e">
        <f t="shared" ca="1" si="45"/>
        <v>#N/A</v>
      </c>
      <c r="P315" s="22" t="e">
        <f t="shared" ca="1" si="46"/>
        <v>#N/A</v>
      </c>
      <c r="Q315" s="89" t="e">
        <f t="shared" ca="1" si="47"/>
        <v>#N/A</v>
      </c>
      <c r="R315" s="22" t="e">
        <f t="shared" ca="1" si="48"/>
        <v>#N/A</v>
      </c>
      <c r="S315" s="89" t="e">
        <f t="shared" ca="1" si="49"/>
        <v>#N/A</v>
      </c>
      <c r="T315" s="22" t="e">
        <f t="shared" ca="1" si="50"/>
        <v>#N/A</v>
      </c>
      <c r="U315" s="89" t="e">
        <f t="shared" ca="1" si="51"/>
        <v>#N/A</v>
      </c>
      <c r="V315" s="22" t="e">
        <f t="shared" ca="1" si="52"/>
        <v>#N/A</v>
      </c>
      <c r="AM315" t="e">
        <f t="shared" si="53"/>
        <v>#N/A</v>
      </c>
      <c r="AN315" t="e">
        <f t="shared" ca="1" si="54"/>
        <v>#N/A</v>
      </c>
    </row>
    <row r="316" spans="1:40" x14ac:dyDescent="0.3">
      <c r="A316" s="87">
        <v>315</v>
      </c>
      <c r="B316" t="str">
        <f>IFERROR(INDEX('Mock Database'!$D$3:$D$152,MATCH($A316,'Mock Database'!$C$3:$C$152,0)),"")</f>
        <v/>
      </c>
      <c r="C316" s="88" t="str">
        <f>IFERROR(INDEX('Mock Database'!$I$3:$I$152,MATCH($A316,'Mock Database'!$C$3:$C$152,0)),"")</f>
        <v/>
      </c>
      <c r="D316" s="89" t="str">
        <f ca="1">IF(ISNA(MATCH($A316,'Mock Database'!$C$3:$C$152,0)),"",IF(ISBLANK(OFFSET('Mock Database'!$M$2,MATCH($A316,'Mock Database'!$C$3:$C$152,0),0)),"",INDEX('Mock Database'!$M$3:$M$152,MATCH($A316,'Mock Database'!$C$3:$C$152,0))))</f>
        <v/>
      </c>
      <c r="E316" s="22" t="str">
        <f ca="1">IF(ISNA(MATCH($A316,'Mock Database'!$C$3:$C$152,0)),"",IF(ISBLANK(OFFSET('Mock Database'!$N$2,MATCH($A316,'Mock Database'!$C$3:$C$152,0),0)),"",INDEX('Mock Database'!$N$3:$N$152,MATCH($A316,'Mock Database'!$C$3:$C$152,0))))</f>
        <v/>
      </c>
      <c r="F316" s="89" t="str">
        <f ca="1">IF(ISNA(MATCH($A316,'Mock Database'!$C$3:$C$152,0)),"",IF(ISBLANK(OFFSET('Mock Database'!$S$2,MATCH($A316,'Mock Database'!$C$3:$C$152,0),0)),"",INDEX('Mock Database'!$S$3:$S$152,MATCH($A316,'Mock Database'!$C$3:$C$152,0))))</f>
        <v/>
      </c>
      <c r="G316" s="22" t="str">
        <f ca="1">IF(ISNA(MATCH($A316,'Mock Database'!$C$3:$C$152,0)),"",IF(ISBLANK(OFFSET('Mock Database'!$T$2,MATCH($A316,'Mock Database'!$C$3:$C$152,0),0)),"",INDEX('Mock Database'!$T$3:$T$152,MATCH($A316,'Mock Database'!$C$3:$C$152,0))))</f>
        <v/>
      </c>
      <c r="H316" s="89" t="str">
        <f ca="1">IF(ISNA(MATCH($A316,'Mock Database'!$C$3:$C$152,0)),"",IF(ISBLANK(OFFSET('Mock Database'!$Y$2,MATCH($A316,'Mock Database'!$C$3:$C$152,0),0)),"",INDEX('Mock Database'!$Y$3:$Y$152,MATCH($A316,'Mock Database'!$C$3:$C$152,0))))</f>
        <v/>
      </c>
      <c r="I316" s="22" t="str">
        <f ca="1">IF(ISNA(MATCH($A316,'Mock Database'!$C$3:$C$152,0)),"",IF(ISBLANK(OFFSET('Mock Database'!$Z$2,MATCH($A316,'Mock Database'!$C$3:$C$152,0),0)),"",INDEX('Mock Database'!$Z$3:$Z$152,MATCH($A316,'Mock Database'!$C$3:$C$152,0))))</f>
        <v/>
      </c>
      <c r="J316" s="89" t="str">
        <f ca="1">IF(ISNA(MATCH($A316,'Mock Database'!$C$3:$C$152,0)),"",IF(ISBLANK(OFFSET('Mock Database'!$AE$2,MATCH($A316,'Mock Database'!$C$3:$C$152,0),0)),"",INDEX('Mock Database'!$AE$3:$AE$152,MATCH($A316,'Mock Database'!$C$3:$C$152,0))))</f>
        <v/>
      </c>
      <c r="K316" s="22" t="str">
        <f ca="1">IF(ISNA(MATCH($A316,'Mock Database'!$C$3:$C$152,0)),"",IF(ISBLANK(OFFSET('Mock Database'!$AF$2,MATCH($A316,'Mock Database'!$C$3:$C$152,0),0)),"",INDEX('Mock Database'!$AF$3:$AF$152,MATCH($A316,'Mock Database'!$C$3:$C$152,0))))</f>
        <v/>
      </c>
      <c r="N316" t="e">
        <f t="shared" si="44"/>
        <v>#N/A</v>
      </c>
      <c r="O316" s="89" t="e">
        <f t="shared" ca="1" si="45"/>
        <v>#N/A</v>
      </c>
      <c r="P316" s="22" t="e">
        <f t="shared" ca="1" si="46"/>
        <v>#N/A</v>
      </c>
      <c r="Q316" s="89" t="e">
        <f t="shared" ca="1" si="47"/>
        <v>#N/A</v>
      </c>
      <c r="R316" s="22" t="e">
        <f t="shared" ca="1" si="48"/>
        <v>#N/A</v>
      </c>
      <c r="S316" s="89" t="e">
        <f t="shared" ca="1" si="49"/>
        <v>#N/A</v>
      </c>
      <c r="T316" s="22" t="e">
        <f t="shared" ca="1" si="50"/>
        <v>#N/A</v>
      </c>
      <c r="U316" s="89" t="e">
        <f t="shared" ca="1" si="51"/>
        <v>#N/A</v>
      </c>
      <c r="V316" s="22" t="e">
        <f t="shared" ca="1" si="52"/>
        <v>#N/A</v>
      </c>
      <c r="AM316" t="e">
        <f t="shared" si="53"/>
        <v>#N/A</v>
      </c>
      <c r="AN316" t="e">
        <f t="shared" ca="1" si="54"/>
        <v>#N/A</v>
      </c>
    </row>
    <row r="317" spans="1:40" x14ac:dyDescent="0.3">
      <c r="A317" s="87">
        <v>316</v>
      </c>
      <c r="B317" t="str">
        <f>IFERROR(INDEX('Mock Database'!$D$3:$D$152,MATCH($A317,'Mock Database'!$C$3:$C$152,0)),"")</f>
        <v/>
      </c>
      <c r="C317" s="88" t="str">
        <f>IFERROR(INDEX('Mock Database'!$I$3:$I$152,MATCH($A317,'Mock Database'!$C$3:$C$152,0)),"")</f>
        <v/>
      </c>
      <c r="D317" s="89" t="str">
        <f ca="1">IF(ISNA(MATCH($A317,'Mock Database'!$C$3:$C$152,0)),"",IF(ISBLANK(OFFSET('Mock Database'!$M$2,MATCH($A317,'Mock Database'!$C$3:$C$152,0),0)),"",INDEX('Mock Database'!$M$3:$M$152,MATCH($A317,'Mock Database'!$C$3:$C$152,0))))</f>
        <v/>
      </c>
      <c r="E317" s="22" t="str">
        <f ca="1">IF(ISNA(MATCH($A317,'Mock Database'!$C$3:$C$152,0)),"",IF(ISBLANK(OFFSET('Mock Database'!$N$2,MATCH($A317,'Mock Database'!$C$3:$C$152,0),0)),"",INDEX('Mock Database'!$N$3:$N$152,MATCH($A317,'Mock Database'!$C$3:$C$152,0))))</f>
        <v/>
      </c>
      <c r="F317" s="89" t="str">
        <f ca="1">IF(ISNA(MATCH($A317,'Mock Database'!$C$3:$C$152,0)),"",IF(ISBLANK(OFFSET('Mock Database'!$S$2,MATCH($A317,'Mock Database'!$C$3:$C$152,0),0)),"",INDEX('Mock Database'!$S$3:$S$152,MATCH($A317,'Mock Database'!$C$3:$C$152,0))))</f>
        <v/>
      </c>
      <c r="G317" s="22" t="str">
        <f ca="1">IF(ISNA(MATCH($A317,'Mock Database'!$C$3:$C$152,0)),"",IF(ISBLANK(OFFSET('Mock Database'!$T$2,MATCH($A317,'Mock Database'!$C$3:$C$152,0),0)),"",INDEX('Mock Database'!$T$3:$T$152,MATCH($A317,'Mock Database'!$C$3:$C$152,0))))</f>
        <v/>
      </c>
      <c r="H317" s="89" t="str">
        <f ca="1">IF(ISNA(MATCH($A317,'Mock Database'!$C$3:$C$152,0)),"",IF(ISBLANK(OFFSET('Mock Database'!$Y$2,MATCH($A317,'Mock Database'!$C$3:$C$152,0),0)),"",INDEX('Mock Database'!$Y$3:$Y$152,MATCH($A317,'Mock Database'!$C$3:$C$152,0))))</f>
        <v/>
      </c>
      <c r="I317" s="22" t="str">
        <f ca="1">IF(ISNA(MATCH($A317,'Mock Database'!$C$3:$C$152,0)),"",IF(ISBLANK(OFFSET('Mock Database'!$Z$2,MATCH($A317,'Mock Database'!$C$3:$C$152,0),0)),"",INDEX('Mock Database'!$Z$3:$Z$152,MATCH($A317,'Mock Database'!$C$3:$C$152,0))))</f>
        <v/>
      </c>
      <c r="J317" s="89" t="str">
        <f ca="1">IF(ISNA(MATCH($A317,'Mock Database'!$C$3:$C$152,0)),"",IF(ISBLANK(OFFSET('Mock Database'!$AE$2,MATCH($A317,'Mock Database'!$C$3:$C$152,0),0)),"",INDEX('Mock Database'!$AE$3:$AE$152,MATCH($A317,'Mock Database'!$C$3:$C$152,0))))</f>
        <v/>
      </c>
      <c r="K317" s="22" t="str">
        <f ca="1">IF(ISNA(MATCH($A317,'Mock Database'!$C$3:$C$152,0)),"",IF(ISBLANK(OFFSET('Mock Database'!$AF$2,MATCH($A317,'Mock Database'!$C$3:$C$152,0),0)),"",INDEX('Mock Database'!$AF$3:$AF$152,MATCH($A317,'Mock Database'!$C$3:$C$152,0))))</f>
        <v/>
      </c>
      <c r="N317" t="e">
        <f t="shared" si="44"/>
        <v>#N/A</v>
      </c>
      <c r="O317" s="89" t="e">
        <f t="shared" ca="1" si="45"/>
        <v>#N/A</v>
      </c>
      <c r="P317" s="22" t="e">
        <f t="shared" ca="1" si="46"/>
        <v>#N/A</v>
      </c>
      <c r="Q317" s="89" t="e">
        <f t="shared" ca="1" si="47"/>
        <v>#N/A</v>
      </c>
      <c r="R317" s="22" t="e">
        <f t="shared" ca="1" si="48"/>
        <v>#N/A</v>
      </c>
      <c r="S317" s="89" t="e">
        <f t="shared" ca="1" si="49"/>
        <v>#N/A</v>
      </c>
      <c r="T317" s="22" t="e">
        <f t="shared" ca="1" si="50"/>
        <v>#N/A</v>
      </c>
      <c r="U317" s="89" t="e">
        <f t="shared" ca="1" si="51"/>
        <v>#N/A</v>
      </c>
      <c r="V317" s="22" t="e">
        <f t="shared" ca="1" si="52"/>
        <v>#N/A</v>
      </c>
      <c r="AM317" t="e">
        <f t="shared" si="53"/>
        <v>#N/A</v>
      </c>
      <c r="AN317" t="e">
        <f t="shared" ca="1" si="54"/>
        <v>#N/A</v>
      </c>
    </row>
    <row r="318" spans="1:40" x14ac:dyDescent="0.3">
      <c r="A318" s="87">
        <v>317</v>
      </c>
      <c r="B318" t="str">
        <f>IFERROR(INDEX('Mock Database'!$D$3:$D$152,MATCH($A318,'Mock Database'!$C$3:$C$152,0)),"")</f>
        <v/>
      </c>
      <c r="C318" s="88" t="str">
        <f>IFERROR(INDEX('Mock Database'!$I$3:$I$152,MATCH($A318,'Mock Database'!$C$3:$C$152,0)),"")</f>
        <v/>
      </c>
      <c r="D318" s="89" t="str">
        <f ca="1">IF(ISNA(MATCH($A318,'Mock Database'!$C$3:$C$152,0)),"",IF(ISBLANK(OFFSET('Mock Database'!$M$2,MATCH($A318,'Mock Database'!$C$3:$C$152,0),0)),"",INDEX('Mock Database'!$M$3:$M$152,MATCH($A318,'Mock Database'!$C$3:$C$152,0))))</f>
        <v/>
      </c>
      <c r="E318" s="22" t="str">
        <f ca="1">IF(ISNA(MATCH($A318,'Mock Database'!$C$3:$C$152,0)),"",IF(ISBLANK(OFFSET('Mock Database'!$N$2,MATCH($A318,'Mock Database'!$C$3:$C$152,0),0)),"",INDEX('Mock Database'!$N$3:$N$152,MATCH($A318,'Mock Database'!$C$3:$C$152,0))))</f>
        <v/>
      </c>
      <c r="F318" s="89" t="str">
        <f ca="1">IF(ISNA(MATCH($A318,'Mock Database'!$C$3:$C$152,0)),"",IF(ISBLANK(OFFSET('Mock Database'!$S$2,MATCH($A318,'Mock Database'!$C$3:$C$152,0),0)),"",INDEX('Mock Database'!$S$3:$S$152,MATCH($A318,'Mock Database'!$C$3:$C$152,0))))</f>
        <v/>
      </c>
      <c r="G318" s="22" t="str">
        <f ca="1">IF(ISNA(MATCH($A318,'Mock Database'!$C$3:$C$152,0)),"",IF(ISBLANK(OFFSET('Mock Database'!$T$2,MATCH($A318,'Mock Database'!$C$3:$C$152,0),0)),"",INDEX('Mock Database'!$T$3:$T$152,MATCH($A318,'Mock Database'!$C$3:$C$152,0))))</f>
        <v/>
      </c>
      <c r="H318" s="89" t="str">
        <f ca="1">IF(ISNA(MATCH($A318,'Mock Database'!$C$3:$C$152,0)),"",IF(ISBLANK(OFFSET('Mock Database'!$Y$2,MATCH($A318,'Mock Database'!$C$3:$C$152,0),0)),"",INDEX('Mock Database'!$Y$3:$Y$152,MATCH($A318,'Mock Database'!$C$3:$C$152,0))))</f>
        <v/>
      </c>
      <c r="I318" s="22" t="str">
        <f ca="1">IF(ISNA(MATCH($A318,'Mock Database'!$C$3:$C$152,0)),"",IF(ISBLANK(OFFSET('Mock Database'!$Z$2,MATCH($A318,'Mock Database'!$C$3:$C$152,0),0)),"",INDEX('Mock Database'!$Z$3:$Z$152,MATCH($A318,'Mock Database'!$C$3:$C$152,0))))</f>
        <v/>
      </c>
      <c r="J318" s="89" t="str">
        <f ca="1">IF(ISNA(MATCH($A318,'Mock Database'!$C$3:$C$152,0)),"",IF(ISBLANK(OFFSET('Mock Database'!$AE$2,MATCH($A318,'Mock Database'!$C$3:$C$152,0),0)),"",INDEX('Mock Database'!$AE$3:$AE$152,MATCH($A318,'Mock Database'!$C$3:$C$152,0))))</f>
        <v/>
      </c>
      <c r="K318" s="22" t="str">
        <f ca="1">IF(ISNA(MATCH($A318,'Mock Database'!$C$3:$C$152,0)),"",IF(ISBLANK(OFFSET('Mock Database'!$AF$2,MATCH($A318,'Mock Database'!$C$3:$C$152,0),0)),"",INDEX('Mock Database'!$AF$3:$AF$152,MATCH($A318,'Mock Database'!$C$3:$C$152,0))))</f>
        <v/>
      </c>
      <c r="N318" t="e">
        <f t="shared" si="44"/>
        <v>#N/A</v>
      </c>
      <c r="O318" s="89" t="e">
        <f t="shared" ca="1" si="45"/>
        <v>#N/A</v>
      </c>
      <c r="P318" s="22" t="e">
        <f t="shared" ca="1" si="46"/>
        <v>#N/A</v>
      </c>
      <c r="Q318" s="89" t="e">
        <f t="shared" ca="1" si="47"/>
        <v>#N/A</v>
      </c>
      <c r="R318" s="22" t="e">
        <f t="shared" ca="1" si="48"/>
        <v>#N/A</v>
      </c>
      <c r="S318" s="89" t="e">
        <f t="shared" ca="1" si="49"/>
        <v>#N/A</v>
      </c>
      <c r="T318" s="22" t="e">
        <f t="shared" ca="1" si="50"/>
        <v>#N/A</v>
      </c>
      <c r="U318" s="89" t="e">
        <f t="shared" ca="1" si="51"/>
        <v>#N/A</v>
      </c>
      <c r="V318" s="22" t="e">
        <f t="shared" ca="1" si="52"/>
        <v>#N/A</v>
      </c>
      <c r="AM318" t="e">
        <f t="shared" si="53"/>
        <v>#N/A</v>
      </c>
      <c r="AN318" t="e">
        <f t="shared" ca="1" si="54"/>
        <v>#N/A</v>
      </c>
    </row>
    <row r="319" spans="1:40" x14ac:dyDescent="0.3">
      <c r="A319" s="87">
        <v>318</v>
      </c>
      <c r="B319" t="str">
        <f>IFERROR(INDEX('Mock Database'!$D$3:$D$152,MATCH($A319,'Mock Database'!$C$3:$C$152,0)),"")</f>
        <v/>
      </c>
      <c r="C319" s="88" t="str">
        <f>IFERROR(INDEX('Mock Database'!$I$3:$I$152,MATCH($A319,'Mock Database'!$C$3:$C$152,0)),"")</f>
        <v/>
      </c>
      <c r="D319" s="89" t="str">
        <f ca="1">IF(ISNA(MATCH($A319,'Mock Database'!$C$3:$C$152,0)),"",IF(ISBLANK(OFFSET('Mock Database'!$M$2,MATCH($A319,'Mock Database'!$C$3:$C$152,0),0)),"",INDEX('Mock Database'!$M$3:$M$152,MATCH($A319,'Mock Database'!$C$3:$C$152,0))))</f>
        <v/>
      </c>
      <c r="E319" s="22" t="str">
        <f ca="1">IF(ISNA(MATCH($A319,'Mock Database'!$C$3:$C$152,0)),"",IF(ISBLANK(OFFSET('Mock Database'!$N$2,MATCH($A319,'Mock Database'!$C$3:$C$152,0),0)),"",INDEX('Mock Database'!$N$3:$N$152,MATCH($A319,'Mock Database'!$C$3:$C$152,0))))</f>
        <v/>
      </c>
      <c r="F319" s="89" t="str">
        <f ca="1">IF(ISNA(MATCH($A319,'Mock Database'!$C$3:$C$152,0)),"",IF(ISBLANK(OFFSET('Mock Database'!$S$2,MATCH($A319,'Mock Database'!$C$3:$C$152,0),0)),"",INDEX('Mock Database'!$S$3:$S$152,MATCH($A319,'Mock Database'!$C$3:$C$152,0))))</f>
        <v/>
      </c>
      <c r="G319" s="22" t="str">
        <f ca="1">IF(ISNA(MATCH($A319,'Mock Database'!$C$3:$C$152,0)),"",IF(ISBLANK(OFFSET('Mock Database'!$T$2,MATCH($A319,'Mock Database'!$C$3:$C$152,0),0)),"",INDEX('Mock Database'!$T$3:$T$152,MATCH($A319,'Mock Database'!$C$3:$C$152,0))))</f>
        <v/>
      </c>
      <c r="H319" s="89" t="str">
        <f ca="1">IF(ISNA(MATCH($A319,'Mock Database'!$C$3:$C$152,0)),"",IF(ISBLANK(OFFSET('Mock Database'!$Y$2,MATCH($A319,'Mock Database'!$C$3:$C$152,0),0)),"",INDEX('Mock Database'!$Y$3:$Y$152,MATCH($A319,'Mock Database'!$C$3:$C$152,0))))</f>
        <v/>
      </c>
      <c r="I319" s="22" t="str">
        <f ca="1">IF(ISNA(MATCH($A319,'Mock Database'!$C$3:$C$152,0)),"",IF(ISBLANK(OFFSET('Mock Database'!$Z$2,MATCH($A319,'Mock Database'!$C$3:$C$152,0),0)),"",INDEX('Mock Database'!$Z$3:$Z$152,MATCH($A319,'Mock Database'!$C$3:$C$152,0))))</f>
        <v/>
      </c>
      <c r="J319" s="89" t="str">
        <f ca="1">IF(ISNA(MATCH($A319,'Mock Database'!$C$3:$C$152,0)),"",IF(ISBLANK(OFFSET('Mock Database'!$AE$2,MATCH($A319,'Mock Database'!$C$3:$C$152,0),0)),"",INDEX('Mock Database'!$AE$3:$AE$152,MATCH($A319,'Mock Database'!$C$3:$C$152,0))))</f>
        <v/>
      </c>
      <c r="K319" s="22" t="str">
        <f ca="1">IF(ISNA(MATCH($A319,'Mock Database'!$C$3:$C$152,0)),"",IF(ISBLANK(OFFSET('Mock Database'!$AF$2,MATCH($A319,'Mock Database'!$C$3:$C$152,0),0)),"",INDEX('Mock Database'!$AF$3:$AF$152,MATCH($A319,'Mock Database'!$C$3:$C$152,0))))</f>
        <v/>
      </c>
      <c r="N319" t="e">
        <f t="shared" si="44"/>
        <v>#N/A</v>
      </c>
      <c r="O319" s="89" t="e">
        <f t="shared" ca="1" si="45"/>
        <v>#N/A</v>
      </c>
      <c r="P319" s="22" t="e">
        <f t="shared" ca="1" si="46"/>
        <v>#N/A</v>
      </c>
      <c r="Q319" s="89" t="e">
        <f t="shared" ca="1" si="47"/>
        <v>#N/A</v>
      </c>
      <c r="R319" s="22" t="e">
        <f t="shared" ca="1" si="48"/>
        <v>#N/A</v>
      </c>
      <c r="S319" s="89" t="e">
        <f t="shared" ca="1" si="49"/>
        <v>#N/A</v>
      </c>
      <c r="T319" s="22" t="e">
        <f t="shared" ca="1" si="50"/>
        <v>#N/A</v>
      </c>
      <c r="U319" s="89" t="e">
        <f t="shared" ca="1" si="51"/>
        <v>#N/A</v>
      </c>
      <c r="V319" s="22" t="e">
        <f t="shared" ca="1" si="52"/>
        <v>#N/A</v>
      </c>
      <c r="AM319" t="e">
        <f t="shared" si="53"/>
        <v>#N/A</v>
      </c>
      <c r="AN319" t="e">
        <f t="shared" ca="1" si="54"/>
        <v>#N/A</v>
      </c>
    </row>
    <row r="320" spans="1:40" x14ac:dyDescent="0.3">
      <c r="A320" s="87">
        <v>319</v>
      </c>
      <c r="B320" t="str">
        <f>IFERROR(INDEX('Mock Database'!$D$3:$D$152,MATCH($A320,'Mock Database'!$C$3:$C$152,0)),"")</f>
        <v/>
      </c>
      <c r="C320" s="88" t="str">
        <f>IFERROR(INDEX('Mock Database'!$I$3:$I$152,MATCH($A320,'Mock Database'!$C$3:$C$152,0)),"")</f>
        <v/>
      </c>
      <c r="D320" s="89" t="str">
        <f ca="1">IF(ISNA(MATCH($A320,'Mock Database'!$C$3:$C$152,0)),"",IF(ISBLANK(OFFSET('Mock Database'!$M$2,MATCH($A320,'Mock Database'!$C$3:$C$152,0),0)),"",INDEX('Mock Database'!$M$3:$M$152,MATCH($A320,'Mock Database'!$C$3:$C$152,0))))</f>
        <v/>
      </c>
      <c r="E320" s="22" t="str">
        <f ca="1">IF(ISNA(MATCH($A320,'Mock Database'!$C$3:$C$152,0)),"",IF(ISBLANK(OFFSET('Mock Database'!$N$2,MATCH($A320,'Mock Database'!$C$3:$C$152,0),0)),"",INDEX('Mock Database'!$N$3:$N$152,MATCH($A320,'Mock Database'!$C$3:$C$152,0))))</f>
        <v/>
      </c>
      <c r="F320" s="89" t="str">
        <f ca="1">IF(ISNA(MATCH($A320,'Mock Database'!$C$3:$C$152,0)),"",IF(ISBLANK(OFFSET('Mock Database'!$S$2,MATCH($A320,'Mock Database'!$C$3:$C$152,0),0)),"",INDEX('Mock Database'!$S$3:$S$152,MATCH($A320,'Mock Database'!$C$3:$C$152,0))))</f>
        <v/>
      </c>
      <c r="G320" s="22" t="str">
        <f ca="1">IF(ISNA(MATCH($A320,'Mock Database'!$C$3:$C$152,0)),"",IF(ISBLANK(OFFSET('Mock Database'!$T$2,MATCH($A320,'Mock Database'!$C$3:$C$152,0),0)),"",INDEX('Mock Database'!$T$3:$T$152,MATCH($A320,'Mock Database'!$C$3:$C$152,0))))</f>
        <v/>
      </c>
      <c r="H320" s="89" t="str">
        <f ca="1">IF(ISNA(MATCH($A320,'Mock Database'!$C$3:$C$152,0)),"",IF(ISBLANK(OFFSET('Mock Database'!$Y$2,MATCH($A320,'Mock Database'!$C$3:$C$152,0),0)),"",INDEX('Mock Database'!$Y$3:$Y$152,MATCH($A320,'Mock Database'!$C$3:$C$152,0))))</f>
        <v/>
      </c>
      <c r="I320" s="22" t="str">
        <f ca="1">IF(ISNA(MATCH($A320,'Mock Database'!$C$3:$C$152,0)),"",IF(ISBLANK(OFFSET('Mock Database'!$Z$2,MATCH($A320,'Mock Database'!$C$3:$C$152,0),0)),"",INDEX('Mock Database'!$Z$3:$Z$152,MATCH($A320,'Mock Database'!$C$3:$C$152,0))))</f>
        <v/>
      </c>
      <c r="J320" s="89" t="str">
        <f ca="1">IF(ISNA(MATCH($A320,'Mock Database'!$C$3:$C$152,0)),"",IF(ISBLANK(OFFSET('Mock Database'!$AE$2,MATCH($A320,'Mock Database'!$C$3:$C$152,0),0)),"",INDEX('Mock Database'!$AE$3:$AE$152,MATCH($A320,'Mock Database'!$C$3:$C$152,0))))</f>
        <v/>
      </c>
      <c r="K320" s="22" t="str">
        <f ca="1">IF(ISNA(MATCH($A320,'Mock Database'!$C$3:$C$152,0)),"",IF(ISBLANK(OFFSET('Mock Database'!$AF$2,MATCH($A320,'Mock Database'!$C$3:$C$152,0),0)),"",INDEX('Mock Database'!$AF$3:$AF$152,MATCH($A320,'Mock Database'!$C$3:$C$152,0))))</f>
        <v/>
      </c>
      <c r="N320" t="e">
        <f t="shared" si="44"/>
        <v>#N/A</v>
      </c>
      <c r="O320" s="89" t="e">
        <f t="shared" ca="1" si="45"/>
        <v>#N/A</v>
      </c>
      <c r="P320" s="22" t="e">
        <f t="shared" ca="1" si="46"/>
        <v>#N/A</v>
      </c>
      <c r="Q320" s="89" t="e">
        <f t="shared" ca="1" si="47"/>
        <v>#N/A</v>
      </c>
      <c r="R320" s="22" t="e">
        <f t="shared" ca="1" si="48"/>
        <v>#N/A</v>
      </c>
      <c r="S320" s="89" t="e">
        <f t="shared" ca="1" si="49"/>
        <v>#N/A</v>
      </c>
      <c r="T320" s="22" t="e">
        <f t="shared" ca="1" si="50"/>
        <v>#N/A</v>
      </c>
      <c r="U320" s="89" t="e">
        <f t="shared" ca="1" si="51"/>
        <v>#N/A</v>
      </c>
      <c r="V320" s="22" t="e">
        <f t="shared" ca="1" si="52"/>
        <v>#N/A</v>
      </c>
      <c r="AM320" t="e">
        <f t="shared" si="53"/>
        <v>#N/A</v>
      </c>
      <c r="AN320" t="e">
        <f t="shared" ca="1" si="54"/>
        <v>#N/A</v>
      </c>
    </row>
    <row r="321" spans="1:40" x14ac:dyDescent="0.3">
      <c r="A321" s="87">
        <v>320</v>
      </c>
      <c r="B321" t="str">
        <f>IFERROR(INDEX('Mock Database'!$D$3:$D$152,MATCH($A321,'Mock Database'!$C$3:$C$152,0)),"")</f>
        <v/>
      </c>
      <c r="C321" s="88" t="str">
        <f>IFERROR(INDEX('Mock Database'!$I$3:$I$152,MATCH($A321,'Mock Database'!$C$3:$C$152,0)),"")</f>
        <v/>
      </c>
      <c r="D321" s="89" t="str">
        <f ca="1">IF(ISNA(MATCH($A321,'Mock Database'!$C$3:$C$152,0)),"",IF(ISBLANK(OFFSET('Mock Database'!$M$2,MATCH($A321,'Mock Database'!$C$3:$C$152,0),0)),"",INDEX('Mock Database'!$M$3:$M$152,MATCH($A321,'Mock Database'!$C$3:$C$152,0))))</f>
        <v/>
      </c>
      <c r="E321" s="22" t="str">
        <f ca="1">IF(ISNA(MATCH($A321,'Mock Database'!$C$3:$C$152,0)),"",IF(ISBLANK(OFFSET('Mock Database'!$N$2,MATCH($A321,'Mock Database'!$C$3:$C$152,0),0)),"",INDEX('Mock Database'!$N$3:$N$152,MATCH($A321,'Mock Database'!$C$3:$C$152,0))))</f>
        <v/>
      </c>
      <c r="F321" s="89" t="str">
        <f ca="1">IF(ISNA(MATCH($A321,'Mock Database'!$C$3:$C$152,0)),"",IF(ISBLANK(OFFSET('Mock Database'!$S$2,MATCH($A321,'Mock Database'!$C$3:$C$152,0),0)),"",INDEX('Mock Database'!$S$3:$S$152,MATCH($A321,'Mock Database'!$C$3:$C$152,0))))</f>
        <v/>
      </c>
      <c r="G321" s="22" t="str">
        <f ca="1">IF(ISNA(MATCH($A321,'Mock Database'!$C$3:$C$152,0)),"",IF(ISBLANK(OFFSET('Mock Database'!$T$2,MATCH($A321,'Mock Database'!$C$3:$C$152,0),0)),"",INDEX('Mock Database'!$T$3:$T$152,MATCH($A321,'Mock Database'!$C$3:$C$152,0))))</f>
        <v/>
      </c>
      <c r="H321" s="89" t="str">
        <f ca="1">IF(ISNA(MATCH($A321,'Mock Database'!$C$3:$C$152,0)),"",IF(ISBLANK(OFFSET('Mock Database'!$Y$2,MATCH($A321,'Mock Database'!$C$3:$C$152,0),0)),"",INDEX('Mock Database'!$Y$3:$Y$152,MATCH($A321,'Mock Database'!$C$3:$C$152,0))))</f>
        <v/>
      </c>
      <c r="I321" s="22" t="str">
        <f ca="1">IF(ISNA(MATCH($A321,'Mock Database'!$C$3:$C$152,0)),"",IF(ISBLANK(OFFSET('Mock Database'!$Z$2,MATCH($A321,'Mock Database'!$C$3:$C$152,0),0)),"",INDEX('Mock Database'!$Z$3:$Z$152,MATCH($A321,'Mock Database'!$C$3:$C$152,0))))</f>
        <v/>
      </c>
      <c r="J321" s="89" t="str">
        <f ca="1">IF(ISNA(MATCH($A321,'Mock Database'!$C$3:$C$152,0)),"",IF(ISBLANK(OFFSET('Mock Database'!$AE$2,MATCH($A321,'Mock Database'!$C$3:$C$152,0),0)),"",INDEX('Mock Database'!$AE$3:$AE$152,MATCH($A321,'Mock Database'!$C$3:$C$152,0))))</f>
        <v/>
      </c>
      <c r="K321" s="22" t="str">
        <f ca="1">IF(ISNA(MATCH($A321,'Mock Database'!$C$3:$C$152,0)),"",IF(ISBLANK(OFFSET('Mock Database'!$AF$2,MATCH($A321,'Mock Database'!$C$3:$C$152,0),0)),"",INDEX('Mock Database'!$AF$3:$AF$152,MATCH($A321,'Mock Database'!$C$3:$C$152,0))))</f>
        <v/>
      </c>
      <c r="N321" t="e">
        <f t="shared" si="44"/>
        <v>#N/A</v>
      </c>
      <c r="O321" s="89" t="e">
        <f t="shared" ca="1" si="45"/>
        <v>#N/A</v>
      </c>
      <c r="P321" s="22" t="e">
        <f t="shared" ca="1" si="46"/>
        <v>#N/A</v>
      </c>
      <c r="Q321" s="89" t="e">
        <f t="shared" ca="1" si="47"/>
        <v>#N/A</v>
      </c>
      <c r="R321" s="22" t="e">
        <f t="shared" ca="1" si="48"/>
        <v>#N/A</v>
      </c>
      <c r="S321" s="89" t="e">
        <f t="shared" ca="1" si="49"/>
        <v>#N/A</v>
      </c>
      <c r="T321" s="22" t="e">
        <f t="shared" ca="1" si="50"/>
        <v>#N/A</v>
      </c>
      <c r="U321" s="89" t="e">
        <f t="shared" ca="1" si="51"/>
        <v>#N/A</v>
      </c>
      <c r="V321" s="22" t="e">
        <f t="shared" ca="1" si="52"/>
        <v>#N/A</v>
      </c>
      <c r="AM321" t="e">
        <f t="shared" si="53"/>
        <v>#N/A</v>
      </c>
      <c r="AN321" t="e">
        <f t="shared" ca="1" si="54"/>
        <v>#N/A</v>
      </c>
    </row>
    <row r="322" spans="1:40" x14ac:dyDescent="0.3">
      <c r="A322" s="87">
        <v>321</v>
      </c>
      <c r="B322" t="str">
        <f>IFERROR(INDEX('Mock Database'!$D$3:$D$152,MATCH($A322,'Mock Database'!$C$3:$C$152,0)),"")</f>
        <v/>
      </c>
      <c r="C322" s="88" t="str">
        <f>IFERROR(INDEX('Mock Database'!$I$3:$I$152,MATCH($A322,'Mock Database'!$C$3:$C$152,0)),"")</f>
        <v/>
      </c>
      <c r="D322" s="89" t="str">
        <f ca="1">IF(ISNA(MATCH($A322,'Mock Database'!$C$3:$C$152,0)),"",IF(ISBLANK(OFFSET('Mock Database'!$M$2,MATCH($A322,'Mock Database'!$C$3:$C$152,0),0)),"",INDEX('Mock Database'!$M$3:$M$152,MATCH($A322,'Mock Database'!$C$3:$C$152,0))))</f>
        <v/>
      </c>
      <c r="E322" s="22" t="str">
        <f ca="1">IF(ISNA(MATCH($A322,'Mock Database'!$C$3:$C$152,0)),"",IF(ISBLANK(OFFSET('Mock Database'!$N$2,MATCH($A322,'Mock Database'!$C$3:$C$152,0),0)),"",INDEX('Mock Database'!$N$3:$N$152,MATCH($A322,'Mock Database'!$C$3:$C$152,0))))</f>
        <v/>
      </c>
      <c r="F322" s="89" t="str">
        <f ca="1">IF(ISNA(MATCH($A322,'Mock Database'!$C$3:$C$152,0)),"",IF(ISBLANK(OFFSET('Mock Database'!$S$2,MATCH($A322,'Mock Database'!$C$3:$C$152,0),0)),"",INDEX('Mock Database'!$S$3:$S$152,MATCH($A322,'Mock Database'!$C$3:$C$152,0))))</f>
        <v/>
      </c>
      <c r="G322" s="22" t="str">
        <f ca="1">IF(ISNA(MATCH($A322,'Mock Database'!$C$3:$C$152,0)),"",IF(ISBLANK(OFFSET('Mock Database'!$T$2,MATCH($A322,'Mock Database'!$C$3:$C$152,0),0)),"",INDEX('Mock Database'!$T$3:$T$152,MATCH($A322,'Mock Database'!$C$3:$C$152,0))))</f>
        <v/>
      </c>
      <c r="H322" s="89" t="str">
        <f ca="1">IF(ISNA(MATCH($A322,'Mock Database'!$C$3:$C$152,0)),"",IF(ISBLANK(OFFSET('Mock Database'!$Y$2,MATCH($A322,'Mock Database'!$C$3:$C$152,0),0)),"",INDEX('Mock Database'!$Y$3:$Y$152,MATCH($A322,'Mock Database'!$C$3:$C$152,0))))</f>
        <v/>
      </c>
      <c r="I322" s="22" t="str">
        <f ca="1">IF(ISNA(MATCH($A322,'Mock Database'!$C$3:$C$152,0)),"",IF(ISBLANK(OFFSET('Mock Database'!$Z$2,MATCH($A322,'Mock Database'!$C$3:$C$152,0),0)),"",INDEX('Mock Database'!$Z$3:$Z$152,MATCH($A322,'Mock Database'!$C$3:$C$152,0))))</f>
        <v/>
      </c>
      <c r="J322" s="89" t="str">
        <f ca="1">IF(ISNA(MATCH($A322,'Mock Database'!$C$3:$C$152,0)),"",IF(ISBLANK(OFFSET('Mock Database'!$AE$2,MATCH($A322,'Mock Database'!$C$3:$C$152,0),0)),"",INDEX('Mock Database'!$AE$3:$AE$152,MATCH($A322,'Mock Database'!$C$3:$C$152,0))))</f>
        <v/>
      </c>
      <c r="K322" s="22" t="str">
        <f ca="1">IF(ISNA(MATCH($A322,'Mock Database'!$C$3:$C$152,0)),"",IF(ISBLANK(OFFSET('Mock Database'!$AF$2,MATCH($A322,'Mock Database'!$C$3:$C$152,0),0)),"",INDEX('Mock Database'!$AF$3:$AF$152,MATCH($A322,'Mock Database'!$C$3:$C$152,0))))</f>
        <v/>
      </c>
      <c r="N322" t="e">
        <f t="shared" si="44"/>
        <v>#N/A</v>
      </c>
      <c r="O322" s="89" t="e">
        <f t="shared" ca="1" si="45"/>
        <v>#N/A</v>
      </c>
      <c r="P322" s="22" t="e">
        <f t="shared" ca="1" si="46"/>
        <v>#N/A</v>
      </c>
      <c r="Q322" s="89" t="e">
        <f t="shared" ca="1" si="47"/>
        <v>#N/A</v>
      </c>
      <c r="R322" s="22" t="e">
        <f t="shared" ca="1" si="48"/>
        <v>#N/A</v>
      </c>
      <c r="S322" s="89" t="e">
        <f t="shared" ca="1" si="49"/>
        <v>#N/A</v>
      </c>
      <c r="T322" s="22" t="e">
        <f t="shared" ca="1" si="50"/>
        <v>#N/A</v>
      </c>
      <c r="U322" s="89" t="e">
        <f t="shared" ca="1" si="51"/>
        <v>#N/A</v>
      </c>
      <c r="V322" s="22" t="e">
        <f t="shared" ca="1" si="52"/>
        <v>#N/A</v>
      </c>
      <c r="AM322" t="e">
        <f t="shared" si="53"/>
        <v>#N/A</v>
      </c>
      <c r="AN322" t="e">
        <f t="shared" ca="1" si="54"/>
        <v>#N/A</v>
      </c>
    </row>
    <row r="323" spans="1:40" x14ac:dyDescent="0.3">
      <c r="A323" s="87">
        <v>322</v>
      </c>
      <c r="B323" t="str">
        <f>IFERROR(INDEX('Mock Database'!$D$3:$D$152,MATCH($A323,'Mock Database'!$C$3:$C$152,0)),"")</f>
        <v/>
      </c>
      <c r="C323" s="88" t="str">
        <f>IFERROR(INDEX('Mock Database'!$I$3:$I$152,MATCH($A323,'Mock Database'!$C$3:$C$152,0)),"")</f>
        <v/>
      </c>
      <c r="D323" s="89" t="str">
        <f ca="1">IF(ISNA(MATCH($A323,'Mock Database'!$C$3:$C$152,0)),"",IF(ISBLANK(OFFSET('Mock Database'!$M$2,MATCH($A323,'Mock Database'!$C$3:$C$152,0),0)),"",INDEX('Mock Database'!$M$3:$M$152,MATCH($A323,'Mock Database'!$C$3:$C$152,0))))</f>
        <v/>
      </c>
      <c r="E323" s="22" t="str">
        <f ca="1">IF(ISNA(MATCH($A323,'Mock Database'!$C$3:$C$152,0)),"",IF(ISBLANK(OFFSET('Mock Database'!$N$2,MATCH($A323,'Mock Database'!$C$3:$C$152,0),0)),"",INDEX('Mock Database'!$N$3:$N$152,MATCH($A323,'Mock Database'!$C$3:$C$152,0))))</f>
        <v/>
      </c>
      <c r="F323" s="89" t="str">
        <f ca="1">IF(ISNA(MATCH($A323,'Mock Database'!$C$3:$C$152,0)),"",IF(ISBLANK(OFFSET('Mock Database'!$S$2,MATCH($A323,'Mock Database'!$C$3:$C$152,0),0)),"",INDEX('Mock Database'!$S$3:$S$152,MATCH($A323,'Mock Database'!$C$3:$C$152,0))))</f>
        <v/>
      </c>
      <c r="G323" s="22" t="str">
        <f ca="1">IF(ISNA(MATCH($A323,'Mock Database'!$C$3:$C$152,0)),"",IF(ISBLANK(OFFSET('Mock Database'!$T$2,MATCH($A323,'Mock Database'!$C$3:$C$152,0),0)),"",INDEX('Mock Database'!$T$3:$T$152,MATCH($A323,'Mock Database'!$C$3:$C$152,0))))</f>
        <v/>
      </c>
      <c r="H323" s="89" t="str">
        <f ca="1">IF(ISNA(MATCH($A323,'Mock Database'!$C$3:$C$152,0)),"",IF(ISBLANK(OFFSET('Mock Database'!$Y$2,MATCH($A323,'Mock Database'!$C$3:$C$152,0),0)),"",INDEX('Mock Database'!$Y$3:$Y$152,MATCH($A323,'Mock Database'!$C$3:$C$152,0))))</f>
        <v/>
      </c>
      <c r="I323" s="22" t="str">
        <f ca="1">IF(ISNA(MATCH($A323,'Mock Database'!$C$3:$C$152,0)),"",IF(ISBLANK(OFFSET('Mock Database'!$Z$2,MATCH($A323,'Mock Database'!$C$3:$C$152,0),0)),"",INDEX('Mock Database'!$Z$3:$Z$152,MATCH($A323,'Mock Database'!$C$3:$C$152,0))))</f>
        <v/>
      </c>
      <c r="J323" s="89" t="str">
        <f ca="1">IF(ISNA(MATCH($A323,'Mock Database'!$C$3:$C$152,0)),"",IF(ISBLANK(OFFSET('Mock Database'!$AE$2,MATCH($A323,'Mock Database'!$C$3:$C$152,0),0)),"",INDEX('Mock Database'!$AE$3:$AE$152,MATCH($A323,'Mock Database'!$C$3:$C$152,0))))</f>
        <v/>
      </c>
      <c r="K323" s="22" t="str">
        <f ca="1">IF(ISNA(MATCH($A323,'Mock Database'!$C$3:$C$152,0)),"",IF(ISBLANK(OFFSET('Mock Database'!$AF$2,MATCH($A323,'Mock Database'!$C$3:$C$152,0),0)),"",INDEX('Mock Database'!$AF$3:$AF$152,MATCH($A323,'Mock Database'!$C$3:$C$152,0))))</f>
        <v/>
      </c>
      <c r="N323" t="e">
        <f t="shared" ref="N323:N386" si="55">IF($B323="",NA(),$B323)</f>
        <v>#N/A</v>
      </c>
      <c r="O323" s="89" t="e">
        <f t="shared" ref="O323:O386" ca="1" si="56">IF($D323="",NA(),$D323)</f>
        <v>#N/A</v>
      </c>
      <c r="P323" s="22" t="e">
        <f t="shared" ref="P323:P386" ca="1" si="57">IF($E323="",NA(),$E323)</f>
        <v>#N/A</v>
      </c>
      <c r="Q323" s="89" t="e">
        <f t="shared" ref="Q323:Q386" ca="1" si="58">IF($F323="",NA(),$F323)</f>
        <v>#N/A</v>
      </c>
      <c r="R323" s="22" t="e">
        <f t="shared" ref="R323:R386" ca="1" si="59">IF($G323="",NA(),$G323)</f>
        <v>#N/A</v>
      </c>
      <c r="S323" s="89" t="e">
        <f t="shared" ref="S323:S386" ca="1" si="60">IF($H323="",NA(),$H323)</f>
        <v>#N/A</v>
      </c>
      <c r="T323" s="22" t="e">
        <f t="shared" ref="T323:T386" ca="1" si="61">IF($I323="",NA(),$I323)</f>
        <v>#N/A</v>
      </c>
      <c r="U323" s="89" t="e">
        <f t="shared" ref="U323:U386" ca="1" si="62">IF($J323="",NA(),$J323)</f>
        <v>#N/A</v>
      </c>
      <c r="V323" s="22" t="e">
        <f t="shared" ref="V323:V386" ca="1" si="63">IF($K323="",NA(),$K323)</f>
        <v>#N/A</v>
      </c>
      <c r="AM323" t="e">
        <f t="shared" ref="AM323:AM386" si="64">IF($B323="",NA(),$A323)</f>
        <v>#N/A</v>
      </c>
      <c r="AN323" t="e">
        <f t="shared" ref="AN323:AN386" ca="1" si="65">$U323</f>
        <v>#N/A</v>
      </c>
    </row>
    <row r="324" spans="1:40" x14ac:dyDescent="0.3">
      <c r="A324" s="87">
        <v>323</v>
      </c>
      <c r="B324" t="str">
        <f>IFERROR(INDEX('Mock Database'!$D$3:$D$152,MATCH($A324,'Mock Database'!$C$3:$C$152,0)),"")</f>
        <v/>
      </c>
      <c r="C324" s="88" t="str">
        <f>IFERROR(INDEX('Mock Database'!$I$3:$I$152,MATCH($A324,'Mock Database'!$C$3:$C$152,0)),"")</f>
        <v/>
      </c>
      <c r="D324" s="89" t="str">
        <f ca="1">IF(ISNA(MATCH($A324,'Mock Database'!$C$3:$C$152,0)),"",IF(ISBLANK(OFFSET('Mock Database'!$M$2,MATCH($A324,'Mock Database'!$C$3:$C$152,0),0)),"",INDEX('Mock Database'!$M$3:$M$152,MATCH($A324,'Mock Database'!$C$3:$C$152,0))))</f>
        <v/>
      </c>
      <c r="E324" s="22" t="str">
        <f ca="1">IF(ISNA(MATCH($A324,'Mock Database'!$C$3:$C$152,0)),"",IF(ISBLANK(OFFSET('Mock Database'!$N$2,MATCH($A324,'Mock Database'!$C$3:$C$152,0),0)),"",INDEX('Mock Database'!$N$3:$N$152,MATCH($A324,'Mock Database'!$C$3:$C$152,0))))</f>
        <v/>
      </c>
      <c r="F324" s="89" t="str">
        <f ca="1">IF(ISNA(MATCH($A324,'Mock Database'!$C$3:$C$152,0)),"",IF(ISBLANK(OFFSET('Mock Database'!$S$2,MATCH($A324,'Mock Database'!$C$3:$C$152,0),0)),"",INDEX('Mock Database'!$S$3:$S$152,MATCH($A324,'Mock Database'!$C$3:$C$152,0))))</f>
        <v/>
      </c>
      <c r="G324" s="22" t="str">
        <f ca="1">IF(ISNA(MATCH($A324,'Mock Database'!$C$3:$C$152,0)),"",IF(ISBLANK(OFFSET('Mock Database'!$T$2,MATCH($A324,'Mock Database'!$C$3:$C$152,0),0)),"",INDEX('Mock Database'!$T$3:$T$152,MATCH($A324,'Mock Database'!$C$3:$C$152,0))))</f>
        <v/>
      </c>
      <c r="H324" s="89" t="str">
        <f ca="1">IF(ISNA(MATCH($A324,'Mock Database'!$C$3:$C$152,0)),"",IF(ISBLANK(OFFSET('Mock Database'!$Y$2,MATCH($A324,'Mock Database'!$C$3:$C$152,0),0)),"",INDEX('Mock Database'!$Y$3:$Y$152,MATCH($A324,'Mock Database'!$C$3:$C$152,0))))</f>
        <v/>
      </c>
      <c r="I324" s="22" t="str">
        <f ca="1">IF(ISNA(MATCH($A324,'Mock Database'!$C$3:$C$152,0)),"",IF(ISBLANK(OFFSET('Mock Database'!$Z$2,MATCH($A324,'Mock Database'!$C$3:$C$152,0),0)),"",INDEX('Mock Database'!$Z$3:$Z$152,MATCH($A324,'Mock Database'!$C$3:$C$152,0))))</f>
        <v/>
      </c>
      <c r="J324" s="89" t="str">
        <f ca="1">IF(ISNA(MATCH($A324,'Mock Database'!$C$3:$C$152,0)),"",IF(ISBLANK(OFFSET('Mock Database'!$AE$2,MATCH($A324,'Mock Database'!$C$3:$C$152,0),0)),"",INDEX('Mock Database'!$AE$3:$AE$152,MATCH($A324,'Mock Database'!$C$3:$C$152,0))))</f>
        <v/>
      </c>
      <c r="K324" s="22" t="str">
        <f ca="1">IF(ISNA(MATCH($A324,'Mock Database'!$C$3:$C$152,0)),"",IF(ISBLANK(OFFSET('Mock Database'!$AF$2,MATCH($A324,'Mock Database'!$C$3:$C$152,0),0)),"",INDEX('Mock Database'!$AF$3:$AF$152,MATCH($A324,'Mock Database'!$C$3:$C$152,0))))</f>
        <v/>
      </c>
      <c r="N324" t="e">
        <f t="shared" si="55"/>
        <v>#N/A</v>
      </c>
      <c r="O324" s="89" t="e">
        <f t="shared" ca="1" si="56"/>
        <v>#N/A</v>
      </c>
      <c r="P324" s="22" t="e">
        <f t="shared" ca="1" si="57"/>
        <v>#N/A</v>
      </c>
      <c r="Q324" s="89" t="e">
        <f t="shared" ca="1" si="58"/>
        <v>#N/A</v>
      </c>
      <c r="R324" s="22" t="e">
        <f t="shared" ca="1" si="59"/>
        <v>#N/A</v>
      </c>
      <c r="S324" s="89" t="e">
        <f t="shared" ca="1" si="60"/>
        <v>#N/A</v>
      </c>
      <c r="T324" s="22" t="e">
        <f t="shared" ca="1" si="61"/>
        <v>#N/A</v>
      </c>
      <c r="U324" s="89" t="e">
        <f t="shared" ca="1" si="62"/>
        <v>#N/A</v>
      </c>
      <c r="V324" s="22" t="e">
        <f t="shared" ca="1" si="63"/>
        <v>#N/A</v>
      </c>
      <c r="AM324" t="e">
        <f t="shared" si="64"/>
        <v>#N/A</v>
      </c>
      <c r="AN324" t="e">
        <f t="shared" ca="1" si="65"/>
        <v>#N/A</v>
      </c>
    </row>
    <row r="325" spans="1:40" x14ac:dyDescent="0.3">
      <c r="A325" s="87">
        <v>324</v>
      </c>
      <c r="B325" t="str">
        <f>IFERROR(INDEX('Mock Database'!$D$3:$D$152,MATCH($A325,'Mock Database'!$C$3:$C$152,0)),"")</f>
        <v/>
      </c>
      <c r="C325" s="88" t="str">
        <f>IFERROR(INDEX('Mock Database'!$I$3:$I$152,MATCH($A325,'Mock Database'!$C$3:$C$152,0)),"")</f>
        <v/>
      </c>
      <c r="D325" s="89" t="str">
        <f ca="1">IF(ISNA(MATCH($A325,'Mock Database'!$C$3:$C$152,0)),"",IF(ISBLANK(OFFSET('Mock Database'!$M$2,MATCH($A325,'Mock Database'!$C$3:$C$152,0),0)),"",INDEX('Mock Database'!$M$3:$M$152,MATCH($A325,'Mock Database'!$C$3:$C$152,0))))</f>
        <v/>
      </c>
      <c r="E325" s="22" t="str">
        <f ca="1">IF(ISNA(MATCH($A325,'Mock Database'!$C$3:$C$152,0)),"",IF(ISBLANK(OFFSET('Mock Database'!$N$2,MATCH($A325,'Mock Database'!$C$3:$C$152,0),0)),"",INDEX('Mock Database'!$N$3:$N$152,MATCH($A325,'Mock Database'!$C$3:$C$152,0))))</f>
        <v/>
      </c>
      <c r="F325" s="89" t="str">
        <f ca="1">IF(ISNA(MATCH($A325,'Mock Database'!$C$3:$C$152,0)),"",IF(ISBLANK(OFFSET('Mock Database'!$S$2,MATCH($A325,'Mock Database'!$C$3:$C$152,0),0)),"",INDEX('Mock Database'!$S$3:$S$152,MATCH($A325,'Mock Database'!$C$3:$C$152,0))))</f>
        <v/>
      </c>
      <c r="G325" s="22" t="str">
        <f ca="1">IF(ISNA(MATCH($A325,'Mock Database'!$C$3:$C$152,0)),"",IF(ISBLANK(OFFSET('Mock Database'!$T$2,MATCH($A325,'Mock Database'!$C$3:$C$152,0),0)),"",INDEX('Mock Database'!$T$3:$T$152,MATCH($A325,'Mock Database'!$C$3:$C$152,0))))</f>
        <v/>
      </c>
      <c r="H325" s="89" t="str">
        <f ca="1">IF(ISNA(MATCH($A325,'Mock Database'!$C$3:$C$152,0)),"",IF(ISBLANK(OFFSET('Mock Database'!$Y$2,MATCH($A325,'Mock Database'!$C$3:$C$152,0),0)),"",INDEX('Mock Database'!$Y$3:$Y$152,MATCH($A325,'Mock Database'!$C$3:$C$152,0))))</f>
        <v/>
      </c>
      <c r="I325" s="22" t="str">
        <f ca="1">IF(ISNA(MATCH($A325,'Mock Database'!$C$3:$C$152,0)),"",IF(ISBLANK(OFFSET('Mock Database'!$Z$2,MATCH($A325,'Mock Database'!$C$3:$C$152,0),0)),"",INDEX('Mock Database'!$Z$3:$Z$152,MATCH($A325,'Mock Database'!$C$3:$C$152,0))))</f>
        <v/>
      </c>
      <c r="J325" s="89" t="str">
        <f ca="1">IF(ISNA(MATCH($A325,'Mock Database'!$C$3:$C$152,0)),"",IF(ISBLANK(OFFSET('Mock Database'!$AE$2,MATCH($A325,'Mock Database'!$C$3:$C$152,0),0)),"",INDEX('Mock Database'!$AE$3:$AE$152,MATCH($A325,'Mock Database'!$C$3:$C$152,0))))</f>
        <v/>
      </c>
      <c r="K325" s="22" t="str">
        <f ca="1">IF(ISNA(MATCH($A325,'Mock Database'!$C$3:$C$152,0)),"",IF(ISBLANK(OFFSET('Mock Database'!$AF$2,MATCH($A325,'Mock Database'!$C$3:$C$152,0),0)),"",INDEX('Mock Database'!$AF$3:$AF$152,MATCH($A325,'Mock Database'!$C$3:$C$152,0))))</f>
        <v/>
      </c>
      <c r="N325" t="e">
        <f t="shared" si="55"/>
        <v>#N/A</v>
      </c>
      <c r="O325" s="89" t="e">
        <f t="shared" ca="1" si="56"/>
        <v>#N/A</v>
      </c>
      <c r="P325" s="22" t="e">
        <f t="shared" ca="1" si="57"/>
        <v>#N/A</v>
      </c>
      <c r="Q325" s="89" t="e">
        <f t="shared" ca="1" si="58"/>
        <v>#N/A</v>
      </c>
      <c r="R325" s="22" t="e">
        <f t="shared" ca="1" si="59"/>
        <v>#N/A</v>
      </c>
      <c r="S325" s="89" t="e">
        <f t="shared" ca="1" si="60"/>
        <v>#N/A</v>
      </c>
      <c r="T325" s="22" t="e">
        <f t="shared" ca="1" si="61"/>
        <v>#N/A</v>
      </c>
      <c r="U325" s="89" t="e">
        <f t="shared" ca="1" si="62"/>
        <v>#N/A</v>
      </c>
      <c r="V325" s="22" t="e">
        <f t="shared" ca="1" si="63"/>
        <v>#N/A</v>
      </c>
      <c r="AM325" t="e">
        <f t="shared" si="64"/>
        <v>#N/A</v>
      </c>
      <c r="AN325" t="e">
        <f t="shared" ca="1" si="65"/>
        <v>#N/A</v>
      </c>
    </row>
    <row r="326" spans="1:40" x14ac:dyDescent="0.3">
      <c r="A326" s="87">
        <v>325</v>
      </c>
      <c r="B326" t="str">
        <f>IFERROR(INDEX('Mock Database'!$D$3:$D$152,MATCH($A326,'Mock Database'!$C$3:$C$152,0)),"")</f>
        <v/>
      </c>
      <c r="C326" s="88" t="str">
        <f>IFERROR(INDEX('Mock Database'!$I$3:$I$152,MATCH($A326,'Mock Database'!$C$3:$C$152,0)),"")</f>
        <v/>
      </c>
      <c r="D326" s="89" t="str">
        <f ca="1">IF(ISNA(MATCH($A326,'Mock Database'!$C$3:$C$152,0)),"",IF(ISBLANK(OFFSET('Mock Database'!$M$2,MATCH($A326,'Mock Database'!$C$3:$C$152,0),0)),"",INDEX('Mock Database'!$M$3:$M$152,MATCH($A326,'Mock Database'!$C$3:$C$152,0))))</f>
        <v/>
      </c>
      <c r="E326" s="22" t="str">
        <f ca="1">IF(ISNA(MATCH($A326,'Mock Database'!$C$3:$C$152,0)),"",IF(ISBLANK(OFFSET('Mock Database'!$N$2,MATCH($A326,'Mock Database'!$C$3:$C$152,0),0)),"",INDEX('Mock Database'!$N$3:$N$152,MATCH($A326,'Mock Database'!$C$3:$C$152,0))))</f>
        <v/>
      </c>
      <c r="F326" s="89" t="str">
        <f ca="1">IF(ISNA(MATCH($A326,'Mock Database'!$C$3:$C$152,0)),"",IF(ISBLANK(OFFSET('Mock Database'!$S$2,MATCH($A326,'Mock Database'!$C$3:$C$152,0),0)),"",INDEX('Mock Database'!$S$3:$S$152,MATCH($A326,'Mock Database'!$C$3:$C$152,0))))</f>
        <v/>
      </c>
      <c r="G326" s="22" t="str">
        <f ca="1">IF(ISNA(MATCH($A326,'Mock Database'!$C$3:$C$152,0)),"",IF(ISBLANK(OFFSET('Mock Database'!$T$2,MATCH($A326,'Mock Database'!$C$3:$C$152,0),0)),"",INDEX('Mock Database'!$T$3:$T$152,MATCH($A326,'Mock Database'!$C$3:$C$152,0))))</f>
        <v/>
      </c>
      <c r="H326" s="89" t="str">
        <f ca="1">IF(ISNA(MATCH($A326,'Mock Database'!$C$3:$C$152,0)),"",IF(ISBLANK(OFFSET('Mock Database'!$Y$2,MATCH($A326,'Mock Database'!$C$3:$C$152,0),0)),"",INDEX('Mock Database'!$Y$3:$Y$152,MATCH($A326,'Mock Database'!$C$3:$C$152,0))))</f>
        <v/>
      </c>
      <c r="I326" s="22" t="str">
        <f ca="1">IF(ISNA(MATCH($A326,'Mock Database'!$C$3:$C$152,0)),"",IF(ISBLANK(OFFSET('Mock Database'!$Z$2,MATCH($A326,'Mock Database'!$C$3:$C$152,0),0)),"",INDEX('Mock Database'!$Z$3:$Z$152,MATCH($A326,'Mock Database'!$C$3:$C$152,0))))</f>
        <v/>
      </c>
      <c r="J326" s="89" t="str">
        <f ca="1">IF(ISNA(MATCH($A326,'Mock Database'!$C$3:$C$152,0)),"",IF(ISBLANK(OFFSET('Mock Database'!$AE$2,MATCH($A326,'Mock Database'!$C$3:$C$152,0),0)),"",INDEX('Mock Database'!$AE$3:$AE$152,MATCH($A326,'Mock Database'!$C$3:$C$152,0))))</f>
        <v/>
      </c>
      <c r="K326" s="22" t="str">
        <f ca="1">IF(ISNA(MATCH($A326,'Mock Database'!$C$3:$C$152,0)),"",IF(ISBLANK(OFFSET('Mock Database'!$AF$2,MATCH($A326,'Mock Database'!$C$3:$C$152,0),0)),"",INDEX('Mock Database'!$AF$3:$AF$152,MATCH($A326,'Mock Database'!$C$3:$C$152,0))))</f>
        <v/>
      </c>
      <c r="N326" t="e">
        <f t="shared" si="55"/>
        <v>#N/A</v>
      </c>
      <c r="O326" s="89" t="e">
        <f t="shared" ca="1" si="56"/>
        <v>#N/A</v>
      </c>
      <c r="P326" s="22" t="e">
        <f t="shared" ca="1" si="57"/>
        <v>#N/A</v>
      </c>
      <c r="Q326" s="89" t="e">
        <f t="shared" ca="1" si="58"/>
        <v>#N/A</v>
      </c>
      <c r="R326" s="22" t="e">
        <f t="shared" ca="1" si="59"/>
        <v>#N/A</v>
      </c>
      <c r="S326" s="89" t="e">
        <f t="shared" ca="1" si="60"/>
        <v>#N/A</v>
      </c>
      <c r="T326" s="22" t="e">
        <f t="shared" ca="1" si="61"/>
        <v>#N/A</v>
      </c>
      <c r="U326" s="89" t="e">
        <f t="shared" ca="1" si="62"/>
        <v>#N/A</v>
      </c>
      <c r="V326" s="22" t="e">
        <f t="shared" ca="1" si="63"/>
        <v>#N/A</v>
      </c>
      <c r="AM326" t="e">
        <f t="shared" si="64"/>
        <v>#N/A</v>
      </c>
      <c r="AN326" t="e">
        <f t="shared" ca="1" si="65"/>
        <v>#N/A</v>
      </c>
    </row>
    <row r="327" spans="1:40" x14ac:dyDescent="0.3">
      <c r="A327" s="87">
        <v>326</v>
      </c>
      <c r="B327" t="str">
        <f>IFERROR(INDEX('Mock Database'!$D$3:$D$152,MATCH($A327,'Mock Database'!$C$3:$C$152,0)),"")</f>
        <v/>
      </c>
      <c r="C327" s="88" t="str">
        <f>IFERROR(INDEX('Mock Database'!$I$3:$I$152,MATCH($A327,'Mock Database'!$C$3:$C$152,0)),"")</f>
        <v/>
      </c>
      <c r="D327" s="89" t="str">
        <f ca="1">IF(ISNA(MATCH($A327,'Mock Database'!$C$3:$C$152,0)),"",IF(ISBLANK(OFFSET('Mock Database'!$M$2,MATCH($A327,'Mock Database'!$C$3:$C$152,0),0)),"",INDEX('Mock Database'!$M$3:$M$152,MATCH($A327,'Mock Database'!$C$3:$C$152,0))))</f>
        <v/>
      </c>
      <c r="E327" s="22" t="str">
        <f ca="1">IF(ISNA(MATCH($A327,'Mock Database'!$C$3:$C$152,0)),"",IF(ISBLANK(OFFSET('Mock Database'!$N$2,MATCH($A327,'Mock Database'!$C$3:$C$152,0),0)),"",INDEX('Mock Database'!$N$3:$N$152,MATCH($A327,'Mock Database'!$C$3:$C$152,0))))</f>
        <v/>
      </c>
      <c r="F327" s="89" t="str">
        <f ca="1">IF(ISNA(MATCH($A327,'Mock Database'!$C$3:$C$152,0)),"",IF(ISBLANK(OFFSET('Mock Database'!$S$2,MATCH($A327,'Mock Database'!$C$3:$C$152,0),0)),"",INDEX('Mock Database'!$S$3:$S$152,MATCH($A327,'Mock Database'!$C$3:$C$152,0))))</f>
        <v/>
      </c>
      <c r="G327" s="22" t="str">
        <f ca="1">IF(ISNA(MATCH($A327,'Mock Database'!$C$3:$C$152,0)),"",IF(ISBLANK(OFFSET('Mock Database'!$T$2,MATCH($A327,'Mock Database'!$C$3:$C$152,0),0)),"",INDEX('Mock Database'!$T$3:$T$152,MATCH($A327,'Mock Database'!$C$3:$C$152,0))))</f>
        <v/>
      </c>
      <c r="H327" s="89" t="str">
        <f ca="1">IF(ISNA(MATCH($A327,'Mock Database'!$C$3:$C$152,0)),"",IF(ISBLANK(OFFSET('Mock Database'!$Y$2,MATCH($A327,'Mock Database'!$C$3:$C$152,0),0)),"",INDEX('Mock Database'!$Y$3:$Y$152,MATCH($A327,'Mock Database'!$C$3:$C$152,0))))</f>
        <v/>
      </c>
      <c r="I327" s="22" t="str">
        <f ca="1">IF(ISNA(MATCH($A327,'Mock Database'!$C$3:$C$152,0)),"",IF(ISBLANK(OFFSET('Mock Database'!$Z$2,MATCH($A327,'Mock Database'!$C$3:$C$152,0),0)),"",INDEX('Mock Database'!$Z$3:$Z$152,MATCH($A327,'Mock Database'!$C$3:$C$152,0))))</f>
        <v/>
      </c>
      <c r="J327" s="89" t="str">
        <f ca="1">IF(ISNA(MATCH($A327,'Mock Database'!$C$3:$C$152,0)),"",IF(ISBLANK(OFFSET('Mock Database'!$AE$2,MATCH($A327,'Mock Database'!$C$3:$C$152,0),0)),"",INDEX('Mock Database'!$AE$3:$AE$152,MATCH($A327,'Mock Database'!$C$3:$C$152,0))))</f>
        <v/>
      </c>
      <c r="K327" s="22" t="str">
        <f ca="1">IF(ISNA(MATCH($A327,'Mock Database'!$C$3:$C$152,0)),"",IF(ISBLANK(OFFSET('Mock Database'!$AF$2,MATCH($A327,'Mock Database'!$C$3:$C$152,0),0)),"",INDEX('Mock Database'!$AF$3:$AF$152,MATCH($A327,'Mock Database'!$C$3:$C$152,0))))</f>
        <v/>
      </c>
      <c r="N327" t="e">
        <f t="shared" si="55"/>
        <v>#N/A</v>
      </c>
      <c r="O327" s="89" t="e">
        <f t="shared" ca="1" si="56"/>
        <v>#N/A</v>
      </c>
      <c r="P327" s="22" t="e">
        <f t="shared" ca="1" si="57"/>
        <v>#N/A</v>
      </c>
      <c r="Q327" s="89" t="e">
        <f t="shared" ca="1" si="58"/>
        <v>#N/A</v>
      </c>
      <c r="R327" s="22" t="e">
        <f t="shared" ca="1" si="59"/>
        <v>#N/A</v>
      </c>
      <c r="S327" s="89" t="e">
        <f t="shared" ca="1" si="60"/>
        <v>#N/A</v>
      </c>
      <c r="T327" s="22" t="e">
        <f t="shared" ca="1" si="61"/>
        <v>#N/A</v>
      </c>
      <c r="U327" s="89" t="e">
        <f t="shared" ca="1" si="62"/>
        <v>#N/A</v>
      </c>
      <c r="V327" s="22" t="e">
        <f t="shared" ca="1" si="63"/>
        <v>#N/A</v>
      </c>
      <c r="AM327" t="e">
        <f t="shared" si="64"/>
        <v>#N/A</v>
      </c>
      <c r="AN327" t="e">
        <f t="shared" ca="1" si="65"/>
        <v>#N/A</v>
      </c>
    </row>
    <row r="328" spans="1:40" x14ac:dyDescent="0.3">
      <c r="A328" s="87">
        <v>327</v>
      </c>
      <c r="B328" t="str">
        <f>IFERROR(INDEX('Mock Database'!$D$3:$D$152,MATCH($A328,'Mock Database'!$C$3:$C$152,0)),"")</f>
        <v/>
      </c>
      <c r="C328" s="88" t="str">
        <f>IFERROR(INDEX('Mock Database'!$I$3:$I$152,MATCH($A328,'Mock Database'!$C$3:$C$152,0)),"")</f>
        <v/>
      </c>
      <c r="D328" s="89" t="str">
        <f ca="1">IF(ISNA(MATCH($A328,'Mock Database'!$C$3:$C$152,0)),"",IF(ISBLANK(OFFSET('Mock Database'!$M$2,MATCH($A328,'Mock Database'!$C$3:$C$152,0),0)),"",INDEX('Mock Database'!$M$3:$M$152,MATCH($A328,'Mock Database'!$C$3:$C$152,0))))</f>
        <v/>
      </c>
      <c r="E328" s="22" t="str">
        <f ca="1">IF(ISNA(MATCH($A328,'Mock Database'!$C$3:$C$152,0)),"",IF(ISBLANK(OFFSET('Mock Database'!$N$2,MATCH($A328,'Mock Database'!$C$3:$C$152,0),0)),"",INDEX('Mock Database'!$N$3:$N$152,MATCH($A328,'Mock Database'!$C$3:$C$152,0))))</f>
        <v/>
      </c>
      <c r="F328" s="89" t="str">
        <f ca="1">IF(ISNA(MATCH($A328,'Mock Database'!$C$3:$C$152,0)),"",IF(ISBLANK(OFFSET('Mock Database'!$S$2,MATCH($A328,'Mock Database'!$C$3:$C$152,0),0)),"",INDEX('Mock Database'!$S$3:$S$152,MATCH($A328,'Mock Database'!$C$3:$C$152,0))))</f>
        <v/>
      </c>
      <c r="G328" s="22" t="str">
        <f ca="1">IF(ISNA(MATCH($A328,'Mock Database'!$C$3:$C$152,0)),"",IF(ISBLANK(OFFSET('Mock Database'!$T$2,MATCH($A328,'Mock Database'!$C$3:$C$152,0),0)),"",INDEX('Mock Database'!$T$3:$T$152,MATCH($A328,'Mock Database'!$C$3:$C$152,0))))</f>
        <v/>
      </c>
      <c r="H328" s="89" t="str">
        <f ca="1">IF(ISNA(MATCH($A328,'Mock Database'!$C$3:$C$152,0)),"",IF(ISBLANK(OFFSET('Mock Database'!$Y$2,MATCH($A328,'Mock Database'!$C$3:$C$152,0),0)),"",INDEX('Mock Database'!$Y$3:$Y$152,MATCH($A328,'Mock Database'!$C$3:$C$152,0))))</f>
        <v/>
      </c>
      <c r="I328" s="22" t="str">
        <f ca="1">IF(ISNA(MATCH($A328,'Mock Database'!$C$3:$C$152,0)),"",IF(ISBLANK(OFFSET('Mock Database'!$Z$2,MATCH($A328,'Mock Database'!$C$3:$C$152,0),0)),"",INDEX('Mock Database'!$Z$3:$Z$152,MATCH($A328,'Mock Database'!$C$3:$C$152,0))))</f>
        <v/>
      </c>
      <c r="J328" s="89" t="str">
        <f ca="1">IF(ISNA(MATCH($A328,'Mock Database'!$C$3:$C$152,0)),"",IF(ISBLANK(OFFSET('Mock Database'!$AE$2,MATCH($A328,'Mock Database'!$C$3:$C$152,0),0)),"",INDEX('Mock Database'!$AE$3:$AE$152,MATCH($A328,'Mock Database'!$C$3:$C$152,0))))</f>
        <v/>
      </c>
      <c r="K328" s="22" t="str">
        <f ca="1">IF(ISNA(MATCH($A328,'Mock Database'!$C$3:$C$152,0)),"",IF(ISBLANK(OFFSET('Mock Database'!$AF$2,MATCH($A328,'Mock Database'!$C$3:$C$152,0),0)),"",INDEX('Mock Database'!$AF$3:$AF$152,MATCH($A328,'Mock Database'!$C$3:$C$152,0))))</f>
        <v/>
      </c>
      <c r="N328" t="e">
        <f t="shared" si="55"/>
        <v>#N/A</v>
      </c>
      <c r="O328" s="89" t="e">
        <f t="shared" ca="1" si="56"/>
        <v>#N/A</v>
      </c>
      <c r="P328" s="22" t="e">
        <f t="shared" ca="1" si="57"/>
        <v>#N/A</v>
      </c>
      <c r="Q328" s="89" t="e">
        <f t="shared" ca="1" si="58"/>
        <v>#N/A</v>
      </c>
      <c r="R328" s="22" t="e">
        <f t="shared" ca="1" si="59"/>
        <v>#N/A</v>
      </c>
      <c r="S328" s="89" t="e">
        <f t="shared" ca="1" si="60"/>
        <v>#N/A</v>
      </c>
      <c r="T328" s="22" t="e">
        <f t="shared" ca="1" si="61"/>
        <v>#N/A</v>
      </c>
      <c r="U328" s="89" t="e">
        <f t="shared" ca="1" si="62"/>
        <v>#N/A</v>
      </c>
      <c r="V328" s="22" t="e">
        <f t="shared" ca="1" si="63"/>
        <v>#N/A</v>
      </c>
      <c r="AM328" t="e">
        <f t="shared" si="64"/>
        <v>#N/A</v>
      </c>
      <c r="AN328" t="e">
        <f t="shared" ca="1" si="65"/>
        <v>#N/A</v>
      </c>
    </row>
    <row r="329" spans="1:40" x14ac:dyDescent="0.3">
      <c r="A329" s="87">
        <v>328</v>
      </c>
      <c r="B329" t="str">
        <f>IFERROR(INDEX('Mock Database'!$D$3:$D$152,MATCH($A329,'Mock Database'!$C$3:$C$152,0)),"")</f>
        <v/>
      </c>
      <c r="C329" s="88" t="str">
        <f>IFERROR(INDEX('Mock Database'!$I$3:$I$152,MATCH($A329,'Mock Database'!$C$3:$C$152,0)),"")</f>
        <v/>
      </c>
      <c r="D329" s="89" t="str">
        <f ca="1">IF(ISNA(MATCH($A329,'Mock Database'!$C$3:$C$152,0)),"",IF(ISBLANK(OFFSET('Mock Database'!$M$2,MATCH($A329,'Mock Database'!$C$3:$C$152,0),0)),"",INDEX('Mock Database'!$M$3:$M$152,MATCH($A329,'Mock Database'!$C$3:$C$152,0))))</f>
        <v/>
      </c>
      <c r="E329" s="22" t="str">
        <f ca="1">IF(ISNA(MATCH($A329,'Mock Database'!$C$3:$C$152,0)),"",IF(ISBLANK(OFFSET('Mock Database'!$N$2,MATCH($A329,'Mock Database'!$C$3:$C$152,0),0)),"",INDEX('Mock Database'!$N$3:$N$152,MATCH($A329,'Mock Database'!$C$3:$C$152,0))))</f>
        <v/>
      </c>
      <c r="F329" s="89" t="str">
        <f ca="1">IF(ISNA(MATCH($A329,'Mock Database'!$C$3:$C$152,0)),"",IF(ISBLANK(OFFSET('Mock Database'!$S$2,MATCH($A329,'Mock Database'!$C$3:$C$152,0),0)),"",INDEX('Mock Database'!$S$3:$S$152,MATCH($A329,'Mock Database'!$C$3:$C$152,0))))</f>
        <v/>
      </c>
      <c r="G329" s="22" t="str">
        <f ca="1">IF(ISNA(MATCH($A329,'Mock Database'!$C$3:$C$152,0)),"",IF(ISBLANK(OFFSET('Mock Database'!$T$2,MATCH($A329,'Mock Database'!$C$3:$C$152,0),0)),"",INDEX('Mock Database'!$T$3:$T$152,MATCH($A329,'Mock Database'!$C$3:$C$152,0))))</f>
        <v/>
      </c>
      <c r="H329" s="89" t="str">
        <f ca="1">IF(ISNA(MATCH($A329,'Mock Database'!$C$3:$C$152,0)),"",IF(ISBLANK(OFFSET('Mock Database'!$Y$2,MATCH($A329,'Mock Database'!$C$3:$C$152,0),0)),"",INDEX('Mock Database'!$Y$3:$Y$152,MATCH($A329,'Mock Database'!$C$3:$C$152,0))))</f>
        <v/>
      </c>
      <c r="I329" s="22" t="str">
        <f ca="1">IF(ISNA(MATCH($A329,'Mock Database'!$C$3:$C$152,0)),"",IF(ISBLANK(OFFSET('Mock Database'!$Z$2,MATCH($A329,'Mock Database'!$C$3:$C$152,0),0)),"",INDEX('Mock Database'!$Z$3:$Z$152,MATCH($A329,'Mock Database'!$C$3:$C$152,0))))</f>
        <v/>
      </c>
      <c r="J329" s="89" t="str">
        <f ca="1">IF(ISNA(MATCH($A329,'Mock Database'!$C$3:$C$152,0)),"",IF(ISBLANK(OFFSET('Mock Database'!$AE$2,MATCH($A329,'Mock Database'!$C$3:$C$152,0),0)),"",INDEX('Mock Database'!$AE$3:$AE$152,MATCH($A329,'Mock Database'!$C$3:$C$152,0))))</f>
        <v/>
      </c>
      <c r="K329" s="22" t="str">
        <f ca="1">IF(ISNA(MATCH($A329,'Mock Database'!$C$3:$C$152,0)),"",IF(ISBLANK(OFFSET('Mock Database'!$AF$2,MATCH($A329,'Mock Database'!$C$3:$C$152,0),0)),"",INDEX('Mock Database'!$AF$3:$AF$152,MATCH($A329,'Mock Database'!$C$3:$C$152,0))))</f>
        <v/>
      </c>
      <c r="N329" t="e">
        <f t="shared" si="55"/>
        <v>#N/A</v>
      </c>
      <c r="O329" s="89" t="e">
        <f t="shared" ca="1" si="56"/>
        <v>#N/A</v>
      </c>
      <c r="P329" s="22" t="e">
        <f t="shared" ca="1" si="57"/>
        <v>#N/A</v>
      </c>
      <c r="Q329" s="89" t="e">
        <f t="shared" ca="1" si="58"/>
        <v>#N/A</v>
      </c>
      <c r="R329" s="22" t="e">
        <f t="shared" ca="1" si="59"/>
        <v>#N/A</v>
      </c>
      <c r="S329" s="89" t="e">
        <f t="shared" ca="1" si="60"/>
        <v>#N/A</v>
      </c>
      <c r="T329" s="22" t="e">
        <f t="shared" ca="1" si="61"/>
        <v>#N/A</v>
      </c>
      <c r="U329" s="89" t="e">
        <f t="shared" ca="1" si="62"/>
        <v>#N/A</v>
      </c>
      <c r="V329" s="22" t="e">
        <f t="shared" ca="1" si="63"/>
        <v>#N/A</v>
      </c>
      <c r="AM329" t="e">
        <f t="shared" si="64"/>
        <v>#N/A</v>
      </c>
      <c r="AN329" t="e">
        <f t="shared" ca="1" si="65"/>
        <v>#N/A</v>
      </c>
    </row>
    <row r="330" spans="1:40" x14ac:dyDescent="0.3">
      <c r="A330" s="87">
        <v>329</v>
      </c>
      <c r="B330" t="str">
        <f>IFERROR(INDEX('Mock Database'!$D$3:$D$152,MATCH($A330,'Mock Database'!$C$3:$C$152,0)),"")</f>
        <v/>
      </c>
      <c r="C330" s="88" t="str">
        <f>IFERROR(INDEX('Mock Database'!$I$3:$I$152,MATCH($A330,'Mock Database'!$C$3:$C$152,0)),"")</f>
        <v/>
      </c>
      <c r="D330" s="89" t="str">
        <f ca="1">IF(ISNA(MATCH($A330,'Mock Database'!$C$3:$C$152,0)),"",IF(ISBLANK(OFFSET('Mock Database'!$M$2,MATCH($A330,'Mock Database'!$C$3:$C$152,0),0)),"",INDEX('Mock Database'!$M$3:$M$152,MATCH($A330,'Mock Database'!$C$3:$C$152,0))))</f>
        <v/>
      </c>
      <c r="E330" s="22" t="str">
        <f ca="1">IF(ISNA(MATCH($A330,'Mock Database'!$C$3:$C$152,0)),"",IF(ISBLANK(OFFSET('Mock Database'!$N$2,MATCH($A330,'Mock Database'!$C$3:$C$152,0),0)),"",INDEX('Mock Database'!$N$3:$N$152,MATCH($A330,'Mock Database'!$C$3:$C$152,0))))</f>
        <v/>
      </c>
      <c r="F330" s="89" t="str">
        <f ca="1">IF(ISNA(MATCH($A330,'Mock Database'!$C$3:$C$152,0)),"",IF(ISBLANK(OFFSET('Mock Database'!$S$2,MATCH($A330,'Mock Database'!$C$3:$C$152,0),0)),"",INDEX('Mock Database'!$S$3:$S$152,MATCH($A330,'Mock Database'!$C$3:$C$152,0))))</f>
        <v/>
      </c>
      <c r="G330" s="22" t="str">
        <f ca="1">IF(ISNA(MATCH($A330,'Mock Database'!$C$3:$C$152,0)),"",IF(ISBLANK(OFFSET('Mock Database'!$T$2,MATCH($A330,'Mock Database'!$C$3:$C$152,0),0)),"",INDEX('Mock Database'!$T$3:$T$152,MATCH($A330,'Mock Database'!$C$3:$C$152,0))))</f>
        <v/>
      </c>
      <c r="H330" s="89" t="str">
        <f ca="1">IF(ISNA(MATCH($A330,'Mock Database'!$C$3:$C$152,0)),"",IF(ISBLANK(OFFSET('Mock Database'!$Y$2,MATCH($A330,'Mock Database'!$C$3:$C$152,0),0)),"",INDEX('Mock Database'!$Y$3:$Y$152,MATCH($A330,'Mock Database'!$C$3:$C$152,0))))</f>
        <v/>
      </c>
      <c r="I330" s="22" t="str">
        <f ca="1">IF(ISNA(MATCH($A330,'Mock Database'!$C$3:$C$152,0)),"",IF(ISBLANK(OFFSET('Mock Database'!$Z$2,MATCH($A330,'Mock Database'!$C$3:$C$152,0),0)),"",INDEX('Mock Database'!$Z$3:$Z$152,MATCH($A330,'Mock Database'!$C$3:$C$152,0))))</f>
        <v/>
      </c>
      <c r="J330" s="89" t="str">
        <f ca="1">IF(ISNA(MATCH($A330,'Mock Database'!$C$3:$C$152,0)),"",IF(ISBLANK(OFFSET('Mock Database'!$AE$2,MATCH($A330,'Mock Database'!$C$3:$C$152,0),0)),"",INDEX('Mock Database'!$AE$3:$AE$152,MATCH($A330,'Mock Database'!$C$3:$C$152,0))))</f>
        <v/>
      </c>
      <c r="K330" s="22" t="str">
        <f ca="1">IF(ISNA(MATCH($A330,'Mock Database'!$C$3:$C$152,0)),"",IF(ISBLANK(OFFSET('Mock Database'!$AF$2,MATCH($A330,'Mock Database'!$C$3:$C$152,0),0)),"",INDEX('Mock Database'!$AF$3:$AF$152,MATCH($A330,'Mock Database'!$C$3:$C$152,0))))</f>
        <v/>
      </c>
      <c r="N330" t="e">
        <f t="shared" si="55"/>
        <v>#N/A</v>
      </c>
      <c r="O330" s="89" t="e">
        <f t="shared" ca="1" si="56"/>
        <v>#N/A</v>
      </c>
      <c r="P330" s="22" t="e">
        <f t="shared" ca="1" si="57"/>
        <v>#N/A</v>
      </c>
      <c r="Q330" s="89" t="e">
        <f t="shared" ca="1" si="58"/>
        <v>#N/A</v>
      </c>
      <c r="R330" s="22" t="e">
        <f t="shared" ca="1" si="59"/>
        <v>#N/A</v>
      </c>
      <c r="S330" s="89" t="e">
        <f t="shared" ca="1" si="60"/>
        <v>#N/A</v>
      </c>
      <c r="T330" s="22" t="e">
        <f t="shared" ca="1" si="61"/>
        <v>#N/A</v>
      </c>
      <c r="U330" s="89" t="e">
        <f t="shared" ca="1" si="62"/>
        <v>#N/A</v>
      </c>
      <c r="V330" s="22" t="e">
        <f t="shared" ca="1" si="63"/>
        <v>#N/A</v>
      </c>
      <c r="AM330" t="e">
        <f t="shared" si="64"/>
        <v>#N/A</v>
      </c>
      <c r="AN330" t="e">
        <f t="shared" ca="1" si="65"/>
        <v>#N/A</v>
      </c>
    </row>
    <row r="331" spans="1:40" x14ac:dyDescent="0.3">
      <c r="A331" s="87">
        <v>330</v>
      </c>
      <c r="B331" t="str">
        <f>IFERROR(INDEX('Mock Database'!$D$3:$D$152,MATCH($A331,'Mock Database'!$C$3:$C$152,0)),"")</f>
        <v/>
      </c>
      <c r="C331" s="88" t="str">
        <f>IFERROR(INDEX('Mock Database'!$I$3:$I$152,MATCH($A331,'Mock Database'!$C$3:$C$152,0)),"")</f>
        <v/>
      </c>
      <c r="D331" s="89" t="str">
        <f ca="1">IF(ISNA(MATCH($A331,'Mock Database'!$C$3:$C$152,0)),"",IF(ISBLANK(OFFSET('Mock Database'!$M$2,MATCH($A331,'Mock Database'!$C$3:$C$152,0),0)),"",INDEX('Mock Database'!$M$3:$M$152,MATCH($A331,'Mock Database'!$C$3:$C$152,0))))</f>
        <v/>
      </c>
      <c r="E331" s="22" t="str">
        <f ca="1">IF(ISNA(MATCH($A331,'Mock Database'!$C$3:$C$152,0)),"",IF(ISBLANK(OFFSET('Mock Database'!$N$2,MATCH($A331,'Mock Database'!$C$3:$C$152,0),0)),"",INDEX('Mock Database'!$N$3:$N$152,MATCH($A331,'Mock Database'!$C$3:$C$152,0))))</f>
        <v/>
      </c>
      <c r="F331" s="89" t="str">
        <f ca="1">IF(ISNA(MATCH($A331,'Mock Database'!$C$3:$C$152,0)),"",IF(ISBLANK(OFFSET('Mock Database'!$S$2,MATCH($A331,'Mock Database'!$C$3:$C$152,0),0)),"",INDEX('Mock Database'!$S$3:$S$152,MATCH($A331,'Mock Database'!$C$3:$C$152,0))))</f>
        <v/>
      </c>
      <c r="G331" s="22" t="str">
        <f ca="1">IF(ISNA(MATCH($A331,'Mock Database'!$C$3:$C$152,0)),"",IF(ISBLANK(OFFSET('Mock Database'!$T$2,MATCH($A331,'Mock Database'!$C$3:$C$152,0),0)),"",INDEX('Mock Database'!$T$3:$T$152,MATCH($A331,'Mock Database'!$C$3:$C$152,0))))</f>
        <v/>
      </c>
      <c r="H331" s="89" t="str">
        <f ca="1">IF(ISNA(MATCH($A331,'Mock Database'!$C$3:$C$152,0)),"",IF(ISBLANK(OFFSET('Mock Database'!$Y$2,MATCH($A331,'Mock Database'!$C$3:$C$152,0),0)),"",INDEX('Mock Database'!$Y$3:$Y$152,MATCH($A331,'Mock Database'!$C$3:$C$152,0))))</f>
        <v/>
      </c>
      <c r="I331" s="22" t="str">
        <f ca="1">IF(ISNA(MATCH($A331,'Mock Database'!$C$3:$C$152,0)),"",IF(ISBLANK(OFFSET('Mock Database'!$Z$2,MATCH($A331,'Mock Database'!$C$3:$C$152,0),0)),"",INDEX('Mock Database'!$Z$3:$Z$152,MATCH($A331,'Mock Database'!$C$3:$C$152,0))))</f>
        <v/>
      </c>
      <c r="J331" s="89" t="str">
        <f ca="1">IF(ISNA(MATCH($A331,'Mock Database'!$C$3:$C$152,0)),"",IF(ISBLANK(OFFSET('Mock Database'!$AE$2,MATCH($A331,'Mock Database'!$C$3:$C$152,0),0)),"",INDEX('Mock Database'!$AE$3:$AE$152,MATCH($A331,'Mock Database'!$C$3:$C$152,0))))</f>
        <v/>
      </c>
      <c r="K331" s="22" t="str">
        <f ca="1">IF(ISNA(MATCH($A331,'Mock Database'!$C$3:$C$152,0)),"",IF(ISBLANK(OFFSET('Mock Database'!$AF$2,MATCH($A331,'Mock Database'!$C$3:$C$152,0),0)),"",INDEX('Mock Database'!$AF$3:$AF$152,MATCH($A331,'Mock Database'!$C$3:$C$152,0))))</f>
        <v/>
      </c>
      <c r="N331" t="e">
        <f t="shared" si="55"/>
        <v>#N/A</v>
      </c>
      <c r="O331" s="89" t="e">
        <f t="shared" ca="1" si="56"/>
        <v>#N/A</v>
      </c>
      <c r="P331" s="22" t="e">
        <f t="shared" ca="1" si="57"/>
        <v>#N/A</v>
      </c>
      <c r="Q331" s="89" t="e">
        <f t="shared" ca="1" si="58"/>
        <v>#N/A</v>
      </c>
      <c r="R331" s="22" t="e">
        <f t="shared" ca="1" si="59"/>
        <v>#N/A</v>
      </c>
      <c r="S331" s="89" t="e">
        <f t="shared" ca="1" si="60"/>
        <v>#N/A</v>
      </c>
      <c r="T331" s="22" t="e">
        <f t="shared" ca="1" si="61"/>
        <v>#N/A</v>
      </c>
      <c r="U331" s="89" t="e">
        <f t="shared" ca="1" si="62"/>
        <v>#N/A</v>
      </c>
      <c r="V331" s="22" t="e">
        <f t="shared" ca="1" si="63"/>
        <v>#N/A</v>
      </c>
      <c r="AM331" t="e">
        <f t="shared" si="64"/>
        <v>#N/A</v>
      </c>
      <c r="AN331" t="e">
        <f t="shared" ca="1" si="65"/>
        <v>#N/A</v>
      </c>
    </row>
    <row r="332" spans="1:40" x14ac:dyDescent="0.3">
      <c r="A332" s="87">
        <v>331</v>
      </c>
      <c r="B332" t="str">
        <f>IFERROR(INDEX('Mock Database'!$D$3:$D$152,MATCH($A332,'Mock Database'!$C$3:$C$152,0)),"")</f>
        <v/>
      </c>
      <c r="C332" s="88" t="str">
        <f>IFERROR(INDEX('Mock Database'!$I$3:$I$152,MATCH($A332,'Mock Database'!$C$3:$C$152,0)),"")</f>
        <v/>
      </c>
      <c r="D332" s="89" t="str">
        <f ca="1">IF(ISNA(MATCH($A332,'Mock Database'!$C$3:$C$152,0)),"",IF(ISBLANK(OFFSET('Mock Database'!$M$2,MATCH($A332,'Mock Database'!$C$3:$C$152,0),0)),"",INDEX('Mock Database'!$M$3:$M$152,MATCH($A332,'Mock Database'!$C$3:$C$152,0))))</f>
        <v/>
      </c>
      <c r="E332" s="22" t="str">
        <f ca="1">IF(ISNA(MATCH($A332,'Mock Database'!$C$3:$C$152,0)),"",IF(ISBLANK(OFFSET('Mock Database'!$N$2,MATCH($A332,'Mock Database'!$C$3:$C$152,0),0)),"",INDEX('Mock Database'!$N$3:$N$152,MATCH($A332,'Mock Database'!$C$3:$C$152,0))))</f>
        <v/>
      </c>
      <c r="F332" s="89" t="str">
        <f ca="1">IF(ISNA(MATCH($A332,'Mock Database'!$C$3:$C$152,0)),"",IF(ISBLANK(OFFSET('Mock Database'!$S$2,MATCH($A332,'Mock Database'!$C$3:$C$152,0),0)),"",INDEX('Mock Database'!$S$3:$S$152,MATCH($A332,'Mock Database'!$C$3:$C$152,0))))</f>
        <v/>
      </c>
      <c r="G332" s="22" t="str">
        <f ca="1">IF(ISNA(MATCH($A332,'Mock Database'!$C$3:$C$152,0)),"",IF(ISBLANK(OFFSET('Mock Database'!$T$2,MATCH($A332,'Mock Database'!$C$3:$C$152,0),0)),"",INDEX('Mock Database'!$T$3:$T$152,MATCH($A332,'Mock Database'!$C$3:$C$152,0))))</f>
        <v/>
      </c>
      <c r="H332" s="89" t="str">
        <f ca="1">IF(ISNA(MATCH($A332,'Mock Database'!$C$3:$C$152,0)),"",IF(ISBLANK(OFFSET('Mock Database'!$Y$2,MATCH($A332,'Mock Database'!$C$3:$C$152,0),0)),"",INDEX('Mock Database'!$Y$3:$Y$152,MATCH($A332,'Mock Database'!$C$3:$C$152,0))))</f>
        <v/>
      </c>
      <c r="I332" s="22" t="str">
        <f ca="1">IF(ISNA(MATCH($A332,'Mock Database'!$C$3:$C$152,0)),"",IF(ISBLANK(OFFSET('Mock Database'!$Z$2,MATCH($A332,'Mock Database'!$C$3:$C$152,0),0)),"",INDEX('Mock Database'!$Z$3:$Z$152,MATCH($A332,'Mock Database'!$C$3:$C$152,0))))</f>
        <v/>
      </c>
      <c r="J332" s="89" t="str">
        <f ca="1">IF(ISNA(MATCH($A332,'Mock Database'!$C$3:$C$152,0)),"",IF(ISBLANK(OFFSET('Mock Database'!$AE$2,MATCH($A332,'Mock Database'!$C$3:$C$152,0),0)),"",INDEX('Mock Database'!$AE$3:$AE$152,MATCH($A332,'Mock Database'!$C$3:$C$152,0))))</f>
        <v/>
      </c>
      <c r="K332" s="22" t="str">
        <f ca="1">IF(ISNA(MATCH($A332,'Mock Database'!$C$3:$C$152,0)),"",IF(ISBLANK(OFFSET('Mock Database'!$AF$2,MATCH($A332,'Mock Database'!$C$3:$C$152,0),0)),"",INDEX('Mock Database'!$AF$3:$AF$152,MATCH($A332,'Mock Database'!$C$3:$C$152,0))))</f>
        <v/>
      </c>
      <c r="N332" t="e">
        <f t="shared" si="55"/>
        <v>#N/A</v>
      </c>
      <c r="O332" s="89" t="e">
        <f t="shared" ca="1" si="56"/>
        <v>#N/A</v>
      </c>
      <c r="P332" s="22" t="e">
        <f t="shared" ca="1" si="57"/>
        <v>#N/A</v>
      </c>
      <c r="Q332" s="89" t="e">
        <f t="shared" ca="1" si="58"/>
        <v>#N/A</v>
      </c>
      <c r="R332" s="22" t="e">
        <f t="shared" ca="1" si="59"/>
        <v>#N/A</v>
      </c>
      <c r="S332" s="89" t="e">
        <f t="shared" ca="1" si="60"/>
        <v>#N/A</v>
      </c>
      <c r="T332" s="22" t="e">
        <f t="shared" ca="1" si="61"/>
        <v>#N/A</v>
      </c>
      <c r="U332" s="89" t="e">
        <f t="shared" ca="1" si="62"/>
        <v>#N/A</v>
      </c>
      <c r="V332" s="22" t="e">
        <f t="shared" ca="1" si="63"/>
        <v>#N/A</v>
      </c>
      <c r="AM332" t="e">
        <f t="shared" si="64"/>
        <v>#N/A</v>
      </c>
      <c r="AN332" t="e">
        <f t="shared" ca="1" si="65"/>
        <v>#N/A</v>
      </c>
    </row>
    <row r="333" spans="1:40" x14ac:dyDescent="0.3">
      <c r="A333" s="87">
        <v>332</v>
      </c>
      <c r="B333" t="str">
        <f>IFERROR(INDEX('Mock Database'!$D$3:$D$152,MATCH($A333,'Mock Database'!$C$3:$C$152,0)),"")</f>
        <v/>
      </c>
      <c r="C333" s="88" t="str">
        <f>IFERROR(INDEX('Mock Database'!$I$3:$I$152,MATCH($A333,'Mock Database'!$C$3:$C$152,0)),"")</f>
        <v/>
      </c>
      <c r="D333" s="89" t="str">
        <f ca="1">IF(ISNA(MATCH($A333,'Mock Database'!$C$3:$C$152,0)),"",IF(ISBLANK(OFFSET('Mock Database'!$M$2,MATCH($A333,'Mock Database'!$C$3:$C$152,0),0)),"",INDEX('Mock Database'!$M$3:$M$152,MATCH($A333,'Mock Database'!$C$3:$C$152,0))))</f>
        <v/>
      </c>
      <c r="E333" s="22" t="str">
        <f ca="1">IF(ISNA(MATCH($A333,'Mock Database'!$C$3:$C$152,0)),"",IF(ISBLANK(OFFSET('Mock Database'!$N$2,MATCH($A333,'Mock Database'!$C$3:$C$152,0),0)),"",INDEX('Mock Database'!$N$3:$N$152,MATCH($A333,'Mock Database'!$C$3:$C$152,0))))</f>
        <v/>
      </c>
      <c r="F333" s="89" t="str">
        <f ca="1">IF(ISNA(MATCH($A333,'Mock Database'!$C$3:$C$152,0)),"",IF(ISBLANK(OFFSET('Mock Database'!$S$2,MATCH($A333,'Mock Database'!$C$3:$C$152,0),0)),"",INDEX('Mock Database'!$S$3:$S$152,MATCH($A333,'Mock Database'!$C$3:$C$152,0))))</f>
        <v/>
      </c>
      <c r="G333" s="22" t="str">
        <f ca="1">IF(ISNA(MATCH($A333,'Mock Database'!$C$3:$C$152,0)),"",IF(ISBLANK(OFFSET('Mock Database'!$T$2,MATCH($A333,'Mock Database'!$C$3:$C$152,0),0)),"",INDEX('Mock Database'!$T$3:$T$152,MATCH($A333,'Mock Database'!$C$3:$C$152,0))))</f>
        <v/>
      </c>
      <c r="H333" s="89" t="str">
        <f ca="1">IF(ISNA(MATCH($A333,'Mock Database'!$C$3:$C$152,0)),"",IF(ISBLANK(OFFSET('Mock Database'!$Y$2,MATCH($A333,'Mock Database'!$C$3:$C$152,0),0)),"",INDEX('Mock Database'!$Y$3:$Y$152,MATCH($A333,'Mock Database'!$C$3:$C$152,0))))</f>
        <v/>
      </c>
      <c r="I333" s="22" t="str">
        <f ca="1">IF(ISNA(MATCH($A333,'Mock Database'!$C$3:$C$152,0)),"",IF(ISBLANK(OFFSET('Mock Database'!$Z$2,MATCH($A333,'Mock Database'!$C$3:$C$152,0),0)),"",INDEX('Mock Database'!$Z$3:$Z$152,MATCH($A333,'Mock Database'!$C$3:$C$152,0))))</f>
        <v/>
      </c>
      <c r="J333" s="89" t="str">
        <f ca="1">IF(ISNA(MATCH($A333,'Mock Database'!$C$3:$C$152,0)),"",IF(ISBLANK(OFFSET('Mock Database'!$AE$2,MATCH($A333,'Mock Database'!$C$3:$C$152,0),0)),"",INDEX('Mock Database'!$AE$3:$AE$152,MATCH($A333,'Mock Database'!$C$3:$C$152,0))))</f>
        <v/>
      </c>
      <c r="K333" s="22" t="str">
        <f ca="1">IF(ISNA(MATCH($A333,'Mock Database'!$C$3:$C$152,0)),"",IF(ISBLANK(OFFSET('Mock Database'!$AF$2,MATCH($A333,'Mock Database'!$C$3:$C$152,0),0)),"",INDEX('Mock Database'!$AF$3:$AF$152,MATCH($A333,'Mock Database'!$C$3:$C$152,0))))</f>
        <v/>
      </c>
      <c r="N333" t="e">
        <f t="shared" si="55"/>
        <v>#N/A</v>
      </c>
      <c r="O333" s="89" t="e">
        <f t="shared" ca="1" si="56"/>
        <v>#N/A</v>
      </c>
      <c r="P333" s="22" t="e">
        <f t="shared" ca="1" si="57"/>
        <v>#N/A</v>
      </c>
      <c r="Q333" s="89" t="e">
        <f t="shared" ca="1" si="58"/>
        <v>#N/A</v>
      </c>
      <c r="R333" s="22" t="e">
        <f t="shared" ca="1" si="59"/>
        <v>#N/A</v>
      </c>
      <c r="S333" s="89" t="e">
        <f t="shared" ca="1" si="60"/>
        <v>#N/A</v>
      </c>
      <c r="T333" s="22" t="e">
        <f t="shared" ca="1" si="61"/>
        <v>#N/A</v>
      </c>
      <c r="U333" s="89" t="e">
        <f t="shared" ca="1" si="62"/>
        <v>#N/A</v>
      </c>
      <c r="V333" s="22" t="e">
        <f t="shared" ca="1" si="63"/>
        <v>#N/A</v>
      </c>
      <c r="AM333" t="e">
        <f t="shared" si="64"/>
        <v>#N/A</v>
      </c>
      <c r="AN333" t="e">
        <f t="shared" ca="1" si="65"/>
        <v>#N/A</v>
      </c>
    </row>
    <row r="334" spans="1:40" x14ac:dyDescent="0.3">
      <c r="A334" s="87">
        <v>333</v>
      </c>
      <c r="B334" t="str">
        <f>IFERROR(INDEX('Mock Database'!$D$3:$D$152,MATCH($A334,'Mock Database'!$C$3:$C$152,0)),"")</f>
        <v/>
      </c>
      <c r="C334" s="88" t="str">
        <f>IFERROR(INDEX('Mock Database'!$I$3:$I$152,MATCH($A334,'Mock Database'!$C$3:$C$152,0)),"")</f>
        <v/>
      </c>
      <c r="D334" s="89" t="str">
        <f ca="1">IF(ISNA(MATCH($A334,'Mock Database'!$C$3:$C$152,0)),"",IF(ISBLANK(OFFSET('Mock Database'!$M$2,MATCH($A334,'Mock Database'!$C$3:$C$152,0),0)),"",INDEX('Mock Database'!$M$3:$M$152,MATCH($A334,'Mock Database'!$C$3:$C$152,0))))</f>
        <v/>
      </c>
      <c r="E334" s="22" t="str">
        <f ca="1">IF(ISNA(MATCH($A334,'Mock Database'!$C$3:$C$152,0)),"",IF(ISBLANK(OFFSET('Mock Database'!$N$2,MATCH($A334,'Mock Database'!$C$3:$C$152,0),0)),"",INDEX('Mock Database'!$N$3:$N$152,MATCH($A334,'Mock Database'!$C$3:$C$152,0))))</f>
        <v/>
      </c>
      <c r="F334" s="89" t="str">
        <f ca="1">IF(ISNA(MATCH($A334,'Mock Database'!$C$3:$C$152,0)),"",IF(ISBLANK(OFFSET('Mock Database'!$S$2,MATCH($A334,'Mock Database'!$C$3:$C$152,0),0)),"",INDEX('Mock Database'!$S$3:$S$152,MATCH($A334,'Mock Database'!$C$3:$C$152,0))))</f>
        <v/>
      </c>
      <c r="G334" s="22" t="str">
        <f ca="1">IF(ISNA(MATCH($A334,'Mock Database'!$C$3:$C$152,0)),"",IF(ISBLANK(OFFSET('Mock Database'!$T$2,MATCH($A334,'Mock Database'!$C$3:$C$152,0),0)),"",INDEX('Mock Database'!$T$3:$T$152,MATCH($A334,'Mock Database'!$C$3:$C$152,0))))</f>
        <v/>
      </c>
      <c r="H334" s="89" t="str">
        <f ca="1">IF(ISNA(MATCH($A334,'Mock Database'!$C$3:$C$152,0)),"",IF(ISBLANK(OFFSET('Mock Database'!$Y$2,MATCH($A334,'Mock Database'!$C$3:$C$152,0),0)),"",INDEX('Mock Database'!$Y$3:$Y$152,MATCH($A334,'Mock Database'!$C$3:$C$152,0))))</f>
        <v/>
      </c>
      <c r="I334" s="22" t="str">
        <f ca="1">IF(ISNA(MATCH($A334,'Mock Database'!$C$3:$C$152,0)),"",IF(ISBLANK(OFFSET('Mock Database'!$Z$2,MATCH($A334,'Mock Database'!$C$3:$C$152,0),0)),"",INDEX('Mock Database'!$Z$3:$Z$152,MATCH($A334,'Mock Database'!$C$3:$C$152,0))))</f>
        <v/>
      </c>
      <c r="J334" s="89" t="str">
        <f ca="1">IF(ISNA(MATCH($A334,'Mock Database'!$C$3:$C$152,0)),"",IF(ISBLANK(OFFSET('Mock Database'!$AE$2,MATCH($A334,'Mock Database'!$C$3:$C$152,0),0)),"",INDEX('Mock Database'!$AE$3:$AE$152,MATCH($A334,'Mock Database'!$C$3:$C$152,0))))</f>
        <v/>
      </c>
      <c r="K334" s="22" t="str">
        <f ca="1">IF(ISNA(MATCH($A334,'Mock Database'!$C$3:$C$152,0)),"",IF(ISBLANK(OFFSET('Mock Database'!$AF$2,MATCH($A334,'Mock Database'!$C$3:$C$152,0),0)),"",INDEX('Mock Database'!$AF$3:$AF$152,MATCH($A334,'Mock Database'!$C$3:$C$152,0))))</f>
        <v/>
      </c>
      <c r="N334" t="e">
        <f t="shared" si="55"/>
        <v>#N/A</v>
      </c>
      <c r="O334" s="89" t="e">
        <f t="shared" ca="1" si="56"/>
        <v>#N/A</v>
      </c>
      <c r="P334" s="22" t="e">
        <f t="shared" ca="1" si="57"/>
        <v>#N/A</v>
      </c>
      <c r="Q334" s="89" t="e">
        <f t="shared" ca="1" si="58"/>
        <v>#N/A</v>
      </c>
      <c r="R334" s="22" t="e">
        <f t="shared" ca="1" si="59"/>
        <v>#N/A</v>
      </c>
      <c r="S334" s="89" t="e">
        <f t="shared" ca="1" si="60"/>
        <v>#N/A</v>
      </c>
      <c r="T334" s="22" t="e">
        <f t="shared" ca="1" si="61"/>
        <v>#N/A</v>
      </c>
      <c r="U334" s="89" t="e">
        <f t="shared" ca="1" si="62"/>
        <v>#N/A</v>
      </c>
      <c r="V334" s="22" t="e">
        <f t="shared" ca="1" si="63"/>
        <v>#N/A</v>
      </c>
      <c r="AM334" t="e">
        <f t="shared" si="64"/>
        <v>#N/A</v>
      </c>
      <c r="AN334" t="e">
        <f t="shared" ca="1" si="65"/>
        <v>#N/A</v>
      </c>
    </row>
    <row r="335" spans="1:40" x14ac:dyDescent="0.3">
      <c r="A335" s="87">
        <v>334</v>
      </c>
      <c r="B335" t="str">
        <f>IFERROR(INDEX('Mock Database'!$D$3:$D$152,MATCH($A335,'Mock Database'!$C$3:$C$152,0)),"")</f>
        <v/>
      </c>
      <c r="C335" s="88" t="str">
        <f>IFERROR(INDEX('Mock Database'!$I$3:$I$152,MATCH($A335,'Mock Database'!$C$3:$C$152,0)),"")</f>
        <v/>
      </c>
      <c r="D335" s="89" t="str">
        <f ca="1">IF(ISNA(MATCH($A335,'Mock Database'!$C$3:$C$152,0)),"",IF(ISBLANK(OFFSET('Mock Database'!$M$2,MATCH($A335,'Mock Database'!$C$3:$C$152,0),0)),"",INDEX('Mock Database'!$M$3:$M$152,MATCH($A335,'Mock Database'!$C$3:$C$152,0))))</f>
        <v/>
      </c>
      <c r="E335" s="22" t="str">
        <f ca="1">IF(ISNA(MATCH($A335,'Mock Database'!$C$3:$C$152,0)),"",IF(ISBLANK(OFFSET('Mock Database'!$N$2,MATCH($A335,'Mock Database'!$C$3:$C$152,0),0)),"",INDEX('Mock Database'!$N$3:$N$152,MATCH($A335,'Mock Database'!$C$3:$C$152,0))))</f>
        <v/>
      </c>
      <c r="F335" s="89" t="str">
        <f ca="1">IF(ISNA(MATCH($A335,'Mock Database'!$C$3:$C$152,0)),"",IF(ISBLANK(OFFSET('Mock Database'!$S$2,MATCH($A335,'Mock Database'!$C$3:$C$152,0),0)),"",INDEX('Mock Database'!$S$3:$S$152,MATCH($A335,'Mock Database'!$C$3:$C$152,0))))</f>
        <v/>
      </c>
      <c r="G335" s="22" t="str">
        <f ca="1">IF(ISNA(MATCH($A335,'Mock Database'!$C$3:$C$152,0)),"",IF(ISBLANK(OFFSET('Mock Database'!$T$2,MATCH($A335,'Mock Database'!$C$3:$C$152,0),0)),"",INDEX('Mock Database'!$T$3:$T$152,MATCH($A335,'Mock Database'!$C$3:$C$152,0))))</f>
        <v/>
      </c>
      <c r="H335" s="89" t="str">
        <f ca="1">IF(ISNA(MATCH($A335,'Mock Database'!$C$3:$C$152,0)),"",IF(ISBLANK(OFFSET('Mock Database'!$Y$2,MATCH($A335,'Mock Database'!$C$3:$C$152,0),0)),"",INDEX('Mock Database'!$Y$3:$Y$152,MATCH($A335,'Mock Database'!$C$3:$C$152,0))))</f>
        <v/>
      </c>
      <c r="I335" s="22" t="str">
        <f ca="1">IF(ISNA(MATCH($A335,'Mock Database'!$C$3:$C$152,0)),"",IF(ISBLANK(OFFSET('Mock Database'!$Z$2,MATCH($A335,'Mock Database'!$C$3:$C$152,0),0)),"",INDEX('Mock Database'!$Z$3:$Z$152,MATCH($A335,'Mock Database'!$C$3:$C$152,0))))</f>
        <v/>
      </c>
      <c r="J335" s="89" t="str">
        <f ca="1">IF(ISNA(MATCH($A335,'Mock Database'!$C$3:$C$152,0)),"",IF(ISBLANK(OFFSET('Mock Database'!$AE$2,MATCH($A335,'Mock Database'!$C$3:$C$152,0),0)),"",INDEX('Mock Database'!$AE$3:$AE$152,MATCH($A335,'Mock Database'!$C$3:$C$152,0))))</f>
        <v/>
      </c>
      <c r="K335" s="22" t="str">
        <f ca="1">IF(ISNA(MATCH($A335,'Mock Database'!$C$3:$C$152,0)),"",IF(ISBLANK(OFFSET('Mock Database'!$AF$2,MATCH($A335,'Mock Database'!$C$3:$C$152,0),0)),"",INDEX('Mock Database'!$AF$3:$AF$152,MATCH($A335,'Mock Database'!$C$3:$C$152,0))))</f>
        <v/>
      </c>
      <c r="N335" t="e">
        <f t="shared" si="55"/>
        <v>#N/A</v>
      </c>
      <c r="O335" s="89" t="e">
        <f t="shared" ca="1" si="56"/>
        <v>#N/A</v>
      </c>
      <c r="P335" s="22" t="e">
        <f t="shared" ca="1" si="57"/>
        <v>#N/A</v>
      </c>
      <c r="Q335" s="89" t="e">
        <f t="shared" ca="1" si="58"/>
        <v>#N/A</v>
      </c>
      <c r="R335" s="22" t="e">
        <f t="shared" ca="1" si="59"/>
        <v>#N/A</v>
      </c>
      <c r="S335" s="89" t="e">
        <f t="shared" ca="1" si="60"/>
        <v>#N/A</v>
      </c>
      <c r="T335" s="22" t="e">
        <f t="shared" ca="1" si="61"/>
        <v>#N/A</v>
      </c>
      <c r="U335" s="89" t="e">
        <f t="shared" ca="1" si="62"/>
        <v>#N/A</v>
      </c>
      <c r="V335" s="22" t="e">
        <f t="shared" ca="1" si="63"/>
        <v>#N/A</v>
      </c>
      <c r="AM335" t="e">
        <f t="shared" si="64"/>
        <v>#N/A</v>
      </c>
      <c r="AN335" t="e">
        <f t="shared" ca="1" si="65"/>
        <v>#N/A</v>
      </c>
    </row>
    <row r="336" spans="1:40" x14ac:dyDescent="0.3">
      <c r="A336" s="87">
        <v>335</v>
      </c>
      <c r="B336" t="str">
        <f>IFERROR(INDEX('Mock Database'!$D$3:$D$152,MATCH($A336,'Mock Database'!$C$3:$C$152,0)),"")</f>
        <v/>
      </c>
      <c r="C336" s="88" t="str">
        <f>IFERROR(INDEX('Mock Database'!$I$3:$I$152,MATCH($A336,'Mock Database'!$C$3:$C$152,0)),"")</f>
        <v/>
      </c>
      <c r="D336" s="89" t="str">
        <f ca="1">IF(ISNA(MATCH($A336,'Mock Database'!$C$3:$C$152,0)),"",IF(ISBLANK(OFFSET('Mock Database'!$M$2,MATCH($A336,'Mock Database'!$C$3:$C$152,0),0)),"",INDEX('Mock Database'!$M$3:$M$152,MATCH($A336,'Mock Database'!$C$3:$C$152,0))))</f>
        <v/>
      </c>
      <c r="E336" s="22" t="str">
        <f ca="1">IF(ISNA(MATCH($A336,'Mock Database'!$C$3:$C$152,0)),"",IF(ISBLANK(OFFSET('Mock Database'!$N$2,MATCH($A336,'Mock Database'!$C$3:$C$152,0),0)),"",INDEX('Mock Database'!$N$3:$N$152,MATCH($A336,'Mock Database'!$C$3:$C$152,0))))</f>
        <v/>
      </c>
      <c r="F336" s="89" t="str">
        <f ca="1">IF(ISNA(MATCH($A336,'Mock Database'!$C$3:$C$152,0)),"",IF(ISBLANK(OFFSET('Mock Database'!$S$2,MATCH($A336,'Mock Database'!$C$3:$C$152,0),0)),"",INDEX('Mock Database'!$S$3:$S$152,MATCH($A336,'Mock Database'!$C$3:$C$152,0))))</f>
        <v/>
      </c>
      <c r="G336" s="22" t="str">
        <f ca="1">IF(ISNA(MATCH($A336,'Mock Database'!$C$3:$C$152,0)),"",IF(ISBLANK(OFFSET('Mock Database'!$T$2,MATCH($A336,'Mock Database'!$C$3:$C$152,0),0)),"",INDEX('Mock Database'!$T$3:$T$152,MATCH($A336,'Mock Database'!$C$3:$C$152,0))))</f>
        <v/>
      </c>
      <c r="H336" s="89" t="str">
        <f ca="1">IF(ISNA(MATCH($A336,'Mock Database'!$C$3:$C$152,0)),"",IF(ISBLANK(OFFSET('Mock Database'!$Y$2,MATCH($A336,'Mock Database'!$C$3:$C$152,0),0)),"",INDEX('Mock Database'!$Y$3:$Y$152,MATCH($A336,'Mock Database'!$C$3:$C$152,0))))</f>
        <v/>
      </c>
      <c r="I336" s="22" t="str">
        <f ca="1">IF(ISNA(MATCH($A336,'Mock Database'!$C$3:$C$152,0)),"",IF(ISBLANK(OFFSET('Mock Database'!$Z$2,MATCH($A336,'Mock Database'!$C$3:$C$152,0),0)),"",INDEX('Mock Database'!$Z$3:$Z$152,MATCH($A336,'Mock Database'!$C$3:$C$152,0))))</f>
        <v/>
      </c>
      <c r="J336" s="89" t="str">
        <f ca="1">IF(ISNA(MATCH($A336,'Mock Database'!$C$3:$C$152,0)),"",IF(ISBLANK(OFFSET('Mock Database'!$AE$2,MATCH($A336,'Mock Database'!$C$3:$C$152,0),0)),"",INDEX('Mock Database'!$AE$3:$AE$152,MATCH($A336,'Mock Database'!$C$3:$C$152,0))))</f>
        <v/>
      </c>
      <c r="K336" s="22" t="str">
        <f ca="1">IF(ISNA(MATCH($A336,'Mock Database'!$C$3:$C$152,0)),"",IF(ISBLANK(OFFSET('Mock Database'!$AF$2,MATCH($A336,'Mock Database'!$C$3:$C$152,0),0)),"",INDEX('Mock Database'!$AF$3:$AF$152,MATCH($A336,'Mock Database'!$C$3:$C$152,0))))</f>
        <v/>
      </c>
      <c r="N336" t="e">
        <f t="shared" si="55"/>
        <v>#N/A</v>
      </c>
      <c r="O336" s="89" t="e">
        <f t="shared" ca="1" si="56"/>
        <v>#N/A</v>
      </c>
      <c r="P336" s="22" t="e">
        <f t="shared" ca="1" si="57"/>
        <v>#N/A</v>
      </c>
      <c r="Q336" s="89" t="e">
        <f t="shared" ca="1" si="58"/>
        <v>#N/A</v>
      </c>
      <c r="R336" s="22" t="e">
        <f t="shared" ca="1" si="59"/>
        <v>#N/A</v>
      </c>
      <c r="S336" s="89" t="e">
        <f t="shared" ca="1" si="60"/>
        <v>#N/A</v>
      </c>
      <c r="T336" s="22" t="e">
        <f t="shared" ca="1" si="61"/>
        <v>#N/A</v>
      </c>
      <c r="U336" s="89" t="e">
        <f t="shared" ca="1" si="62"/>
        <v>#N/A</v>
      </c>
      <c r="V336" s="22" t="e">
        <f t="shared" ca="1" si="63"/>
        <v>#N/A</v>
      </c>
      <c r="AM336" t="e">
        <f t="shared" si="64"/>
        <v>#N/A</v>
      </c>
      <c r="AN336" t="e">
        <f t="shared" ca="1" si="65"/>
        <v>#N/A</v>
      </c>
    </row>
    <row r="337" spans="1:40" x14ac:dyDescent="0.3">
      <c r="A337" s="87">
        <v>336</v>
      </c>
      <c r="B337" t="str">
        <f>IFERROR(INDEX('Mock Database'!$D$3:$D$152,MATCH($A337,'Mock Database'!$C$3:$C$152,0)),"")</f>
        <v/>
      </c>
      <c r="C337" s="88" t="str">
        <f>IFERROR(INDEX('Mock Database'!$I$3:$I$152,MATCH($A337,'Mock Database'!$C$3:$C$152,0)),"")</f>
        <v/>
      </c>
      <c r="D337" s="89" t="str">
        <f ca="1">IF(ISNA(MATCH($A337,'Mock Database'!$C$3:$C$152,0)),"",IF(ISBLANK(OFFSET('Mock Database'!$M$2,MATCH($A337,'Mock Database'!$C$3:$C$152,0),0)),"",INDEX('Mock Database'!$M$3:$M$152,MATCH($A337,'Mock Database'!$C$3:$C$152,0))))</f>
        <v/>
      </c>
      <c r="E337" s="22" t="str">
        <f ca="1">IF(ISNA(MATCH($A337,'Mock Database'!$C$3:$C$152,0)),"",IF(ISBLANK(OFFSET('Mock Database'!$N$2,MATCH($A337,'Mock Database'!$C$3:$C$152,0),0)),"",INDEX('Mock Database'!$N$3:$N$152,MATCH($A337,'Mock Database'!$C$3:$C$152,0))))</f>
        <v/>
      </c>
      <c r="F337" s="89" t="str">
        <f ca="1">IF(ISNA(MATCH($A337,'Mock Database'!$C$3:$C$152,0)),"",IF(ISBLANK(OFFSET('Mock Database'!$S$2,MATCH($A337,'Mock Database'!$C$3:$C$152,0),0)),"",INDEX('Mock Database'!$S$3:$S$152,MATCH($A337,'Mock Database'!$C$3:$C$152,0))))</f>
        <v/>
      </c>
      <c r="G337" s="22" t="str">
        <f ca="1">IF(ISNA(MATCH($A337,'Mock Database'!$C$3:$C$152,0)),"",IF(ISBLANK(OFFSET('Mock Database'!$T$2,MATCH($A337,'Mock Database'!$C$3:$C$152,0),0)),"",INDEX('Mock Database'!$T$3:$T$152,MATCH($A337,'Mock Database'!$C$3:$C$152,0))))</f>
        <v/>
      </c>
      <c r="H337" s="89" t="str">
        <f ca="1">IF(ISNA(MATCH($A337,'Mock Database'!$C$3:$C$152,0)),"",IF(ISBLANK(OFFSET('Mock Database'!$Y$2,MATCH($A337,'Mock Database'!$C$3:$C$152,0),0)),"",INDEX('Mock Database'!$Y$3:$Y$152,MATCH($A337,'Mock Database'!$C$3:$C$152,0))))</f>
        <v/>
      </c>
      <c r="I337" s="22" t="str">
        <f ca="1">IF(ISNA(MATCH($A337,'Mock Database'!$C$3:$C$152,0)),"",IF(ISBLANK(OFFSET('Mock Database'!$Z$2,MATCH($A337,'Mock Database'!$C$3:$C$152,0),0)),"",INDEX('Mock Database'!$Z$3:$Z$152,MATCH($A337,'Mock Database'!$C$3:$C$152,0))))</f>
        <v/>
      </c>
      <c r="J337" s="89" t="str">
        <f ca="1">IF(ISNA(MATCH($A337,'Mock Database'!$C$3:$C$152,0)),"",IF(ISBLANK(OFFSET('Mock Database'!$AE$2,MATCH($A337,'Mock Database'!$C$3:$C$152,0),0)),"",INDEX('Mock Database'!$AE$3:$AE$152,MATCH($A337,'Mock Database'!$C$3:$C$152,0))))</f>
        <v/>
      </c>
      <c r="K337" s="22" t="str">
        <f ca="1">IF(ISNA(MATCH($A337,'Mock Database'!$C$3:$C$152,0)),"",IF(ISBLANK(OFFSET('Mock Database'!$AF$2,MATCH($A337,'Mock Database'!$C$3:$C$152,0),0)),"",INDEX('Mock Database'!$AF$3:$AF$152,MATCH($A337,'Mock Database'!$C$3:$C$152,0))))</f>
        <v/>
      </c>
      <c r="N337" t="e">
        <f t="shared" si="55"/>
        <v>#N/A</v>
      </c>
      <c r="O337" s="89" t="e">
        <f t="shared" ca="1" si="56"/>
        <v>#N/A</v>
      </c>
      <c r="P337" s="22" t="e">
        <f t="shared" ca="1" si="57"/>
        <v>#N/A</v>
      </c>
      <c r="Q337" s="89" t="e">
        <f t="shared" ca="1" si="58"/>
        <v>#N/A</v>
      </c>
      <c r="R337" s="22" t="e">
        <f t="shared" ca="1" si="59"/>
        <v>#N/A</v>
      </c>
      <c r="S337" s="89" t="e">
        <f t="shared" ca="1" si="60"/>
        <v>#N/A</v>
      </c>
      <c r="T337" s="22" t="e">
        <f t="shared" ca="1" si="61"/>
        <v>#N/A</v>
      </c>
      <c r="U337" s="89" t="e">
        <f t="shared" ca="1" si="62"/>
        <v>#N/A</v>
      </c>
      <c r="V337" s="22" t="e">
        <f t="shared" ca="1" si="63"/>
        <v>#N/A</v>
      </c>
      <c r="AM337" t="e">
        <f t="shared" si="64"/>
        <v>#N/A</v>
      </c>
      <c r="AN337" t="e">
        <f t="shared" ca="1" si="65"/>
        <v>#N/A</v>
      </c>
    </row>
    <row r="338" spans="1:40" x14ac:dyDescent="0.3">
      <c r="A338" s="87">
        <v>337</v>
      </c>
      <c r="B338" t="str">
        <f>IFERROR(INDEX('Mock Database'!$D$3:$D$152,MATCH($A338,'Mock Database'!$C$3:$C$152,0)),"")</f>
        <v/>
      </c>
      <c r="C338" s="88" t="str">
        <f>IFERROR(INDEX('Mock Database'!$I$3:$I$152,MATCH($A338,'Mock Database'!$C$3:$C$152,0)),"")</f>
        <v/>
      </c>
      <c r="D338" s="89" t="str">
        <f ca="1">IF(ISNA(MATCH($A338,'Mock Database'!$C$3:$C$152,0)),"",IF(ISBLANK(OFFSET('Mock Database'!$M$2,MATCH($A338,'Mock Database'!$C$3:$C$152,0),0)),"",INDEX('Mock Database'!$M$3:$M$152,MATCH($A338,'Mock Database'!$C$3:$C$152,0))))</f>
        <v/>
      </c>
      <c r="E338" s="22" t="str">
        <f ca="1">IF(ISNA(MATCH($A338,'Mock Database'!$C$3:$C$152,0)),"",IF(ISBLANK(OFFSET('Mock Database'!$N$2,MATCH($A338,'Mock Database'!$C$3:$C$152,0),0)),"",INDEX('Mock Database'!$N$3:$N$152,MATCH($A338,'Mock Database'!$C$3:$C$152,0))))</f>
        <v/>
      </c>
      <c r="F338" s="89" t="str">
        <f ca="1">IF(ISNA(MATCH($A338,'Mock Database'!$C$3:$C$152,0)),"",IF(ISBLANK(OFFSET('Mock Database'!$S$2,MATCH($A338,'Mock Database'!$C$3:$C$152,0),0)),"",INDEX('Mock Database'!$S$3:$S$152,MATCH($A338,'Mock Database'!$C$3:$C$152,0))))</f>
        <v/>
      </c>
      <c r="G338" s="22" t="str">
        <f ca="1">IF(ISNA(MATCH($A338,'Mock Database'!$C$3:$C$152,0)),"",IF(ISBLANK(OFFSET('Mock Database'!$T$2,MATCH($A338,'Mock Database'!$C$3:$C$152,0),0)),"",INDEX('Mock Database'!$T$3:$T$152,MATCH($A338,'Mock Database'!$C$3:$C$152,0))))</f>
        <v/>
      </c>
      <c r="H338" s="89" t="str">
        <f ca="1">IF(ISNA(MATCH($A338,'Mock Database'!$C$3:$C$152,0)),"",IF(ISBLANK(OFFSET('Mock Database'!$Y$2,MATCH($A338,'Mock Database'!$C$3:$C$152,0),0)),"",INDEX('Mock Database'!$Y$3:$Y$152,MATCH($A338,'Mock Database'!$C$3:$C$152,0))))</f>
        <v/>
      </c>
      <c r="I338" s="22" t="str">
        <f ca="1">IF(ISNA(MATCH($A338,'Mock Database'!$C$3:$C$152,0)),"",IF(ISBLANK(OFFSET('Mock Database'!$Z$2,MATCH($A338,'Mock Database'!$C$3:$C$152,0),0)),"",INDEX('Mock Database'!$Z$3:$Z$152,MATCH($A338,'Mock Database'!$C$3:$C$152,0))))</f>
        <v/>
      </c>
      <c r="J338" s="89" t="str">
        <f ca="1">IF(ISNA(MATCH($A338,'Mock Database'!$C$3:$C$152,0)),"",IF(ISBLANK(OFFSET('Mock Database'!$AE$2,MATCH($A338,'Mock Database'!$C$3:$C$152,0),0)),"",INDEX('Mock Database'!$AE$3:$AE$152,MATCH($A338,'Mock Database'!$C$3:$C$152,0))))</f>
        <v/>
      </c>
      <c r="K338" s="22" t="str">
        <f ca="1">IF(ISNA(MATCH($A338,'Mock Database'!$C$3:$C$152,0)),"",IF(ISBLANK(OFFSET('Mock Database'!$AF$2,MATCH($A338,'Mock Database'!$C$3:$C$152,0),0)),"",INDEX('Mock Database'!$AF$3:$AF$152,MATCH($A338,'Mock Database'!$C$3:$C$152,0))))</f>
        <v/>
      </c>
      <c r="N338" t="e">
        <f t="shared" si="55"/>
        <v>#N/A</v>
      </c>
      <c r="O338" s="89" t="e">
        <f t="shared" ca="1" si="56"/>
        <v>#N/A</v>
      </c>
      <c r="P338" s="22" t="e">
        <f t="shared" ca="1" si="57"/>
        <v>#N/A</v>
      </c>
      <c r="Q338" s="89" t="e">
        <f t="shared" ca="1" si="58"/>
        <v>#N/A</v>
      </c>
      <c r="R338" s="22" t="e">
        <f t="shared" ca="1" si="59"/>
        <v>#N/A</v>
      </c>
      <c r="S338" s="89" t="e">
        <f t="shared" ca="1" si="60"/>
        <v>#N/A</v>
      </c>
      <c r="T338" s="22" t="e">
        <f t="shared" ca="1" si="61"/>
        <v>#N/A</v>
      </c>
      <c r="U338" s="89" t="e">
        <f t="shared" ca="1" si="62"/>
        <v>#N/A</v>
      </c>
      <c r="V338" s="22" t="e">
        <f t="shared" ca="1" si="63"/>
        <v>#N/A</v>
      </c>
      <c r="AM338" t="e">
        <f t="shared" si="64"/>
        <v>#N/A</v>
      </c>
      <c r="AN338" t="e">
        <f t="shared" ca="1" si="65"/>
        <v>#N/A</v>
      </c>
    </row>
    <row r="339" spans="1:40" x14ac:dyDescent="0.3">
      <c r="A339" s="87">
        <v>338</v>
      </c>
      <c r="B339" t="str">
        <f>IFERROR(INDEX('Mock Database'!$D$3:$D$152,MATCH($A339,'Mock Database'!$C$3:$C$152,0)),"")</f>
        <v/>
      </c>
      <c r="C339" s="88" t="str">
        <f>IFERROR(INDEX('Mock Database'!$I$3:$I$152,MATCH($A339,'Mock Database'!$C$3:$C$152,0)),"")</f>
        <v/>
      </c>
      <c r="D339" s="89" t="str">
        <f ca="1">IF(ISNA(MATCH($A339,'Mock Database'!$C$3:$C$152,0)),"",IF(ISBLANK(OFFSET('Mock Database'!$M$2,MATCH($A339,'Mock Database'!$C$3:$C$152,0),0)),"",INDEX('Mock Database'!$M$3:$M$152,MATCH($A339,'Mock Database'!$C$3:$C$152,0))))</f>
        <v/>
      </c>
      <c r="E339" s="22" t="str">
        <f ca="1">IF(ISNA(MATCH($A339,'Mock Database'!$C$3:$C$152,0)),"",IF(ISBLANK(OFFSET('Mock Database'!$N$2,MATCH($A339,'Mock Database'!$C$3:$C$152,0),0)),"",INDEX('Mock Database'!$N$3:$N$152,MATCH($A339,'Mock Database'!$C$3:$C$152,0))))</f>
        <v/>
      </c>
      <c r="F339" s="89" t="str">
        <f ca="1">IF(ISNA(MATCH($A339,'Mock Database'!$C$3:$C$152,0)),"",IF(ISBLANK(OFFSET('Mock Database'!$S$2,MATCH($A339,'Mock Database'!$C$3:$C$152,0),0)),"",INDEX('Mock Database'!$S$3:$S$152,MATCH($A339,'Mock Database'!$C$3:$C$152,0))))</f>
        <v/>
      </c>
      <c r="G339" s="22" t="str">
        <f ca="1">IF(ISNA(MATCH($A339,'Mock Database'!$C$3:$C$152,0)),"",IF(ISBLANK(OFFSET('Mock Database'!$T$2,MATCH($A339,'Mock Database'!$C$3:$C$152,0),0)),"",INDEX('Mock Database'!$T$3:$T$152,MATCH($A339,'Mock Database'!$C$3:$C$152,0))))</f>
        <v/>
      </c>
      <c r="H339" s="89" t="str">
        <f ca="1">IF(ISNA(MATCH($A339,'Mock Database'!$C$3:$C$152,0)),"",IF(ISBLANK(OFFSET('Mock Database'!$Y$2,MATCH($A339,'Mock Database'!$C$3:$C$152,0),0)),"",INDEX('Mock Database'!$Y$3:$Y$152,MATCH($A339,'Mock Database'!$C$3:$C$152,0))))</f>
        <v/>
      </c>
      <c r="I339" s="22" t="str">
        <f ca="1">IF(ISNA(MATCH($A339,'Mock Database'!$C$3:$C$152,0)),"",IF(ISBLANK(OFFSET('Mock Database'!$Z$2,MATCH($A339,'Mock Database'!$C$3:$C$152,0),0)),"",INDEX('Mock Database'!$Z$3:$Z$152,MATCH($A339,'Mock Database'!$C$3:$C$152,0))))</f>
        <v/>
      </c>
      <c r="J339" s="89" t="str">
        <f ca="1">IF(ISNA(MATCH($A339,'Mock Database'!$C$3:$C$152,0)),"",IF(ISBLANK(OFFSET('Mock Database'!$AE$2,MATCH($A339,'Mock Database'!$C$3:$C$152,0),0)),"",INDEX('Mock Database'!$AE$3:$AE$152,MATCH($A339,'Mock Database'!$C$3:$C$152,0))))</f>
        <v/>
      </c>
      <c r="K339" s="22" t="str">
        <f ca="1">IF(ISNA(MATCH($A339,'Mock Database'!$C$3:$C$152,0)),"",IF(ISBLANK(OFFSET('Mock Database'!$AF$2,MATCH($A339,'Mock Database'!$C$3:$C$152,0),0)),"",INDEX('Mock Database'!$AF$3:$AF$152,MATCH($A339,'Mock Database'!$C$3:$C$152,0))))</f>
        <v/>
      </c>
      <c r="N339" t="e">
        <f t="shared" si="55"/>
        <v>#N/A</v>
      </c>
      <c r="O339" s="89" t="e">
        <f t="shared" ca="1" si="56"/>
        <v>#N/A</v>
      </c>
      <c r="P339" s="22" t="e">
        <f t="shared" ca="1" si="57"/>
        <v>#N/A</v>
      </c>
      <c r="Q339" s="89" t="e">
        <f t="shared" ca="1" si="58"/>
        <v>#N/A</v>
      </c>
      <c r="R339" s="22" t="e">
        <f t="shared" ca="1" si="59"/>
        <v>#N/A</v>
      </c>
      <c r="S339" s="89" t="e">
        <f t="shared" ca="1" si="60"/>
        <v>#N/A</v>
      </c>
      <c r="T339" s="22" t="e">
        <f t="shared" ca="1" si="61"/>
        <v>#N/A</v>
      </c>
      <c r="U339" s="89" t="e">
        <f t="shared" ca="1" si="62"/>
        <v>#N/A</v>
      </c>
      <c r="V339" s="22" t="e">
        <f t="shared" ca="1" si="63"/>
        <v>#N/A</v>
      </c>
      <c r="AM339" t="e">
        <f t="shared" si="64"/>
        <v>#N/A</v>
      </c>
      <c r="AN339" t="e">
        <f t="shared" ca="1" si="65"/>
        <v>#N/A</v>
      </c>
    </row>
    <row r="340" spans="1:40" x14ac:dyDescent="0.3">
      <c r="A340" s="87">
        <v>339</v>
      </c>
      <c r="B340" t="str">
        <f>IFERROR(INDEX('Mock Database'!$D$3:$D$152,MATCH($A340,'Mock Database'!$C$3:$C$152,0)),"")</f>
        <v/>
      </c>
      <c r="C340" s="88" t="str">
        <f>IFERROR(INDEX('Mock Database'!$I$3:$I$152,MATCH($A340,'Mock Database'!$C$3:$C$152,0)),"")</f>
        <v/>
      </c>
      <c r="D340" s="89" t="str">
        <f ca="1">IF(ISNA(MATCH($A340,'Mock Database'!$C$3:$C$152,0)),"",IF(ISBLANK(OFFSET('Mock Database'!$M$2,MATCH($A340,'Mock Database'!$C$3:$C$152,0),0)),"",INDEX('Mock Database'!$M$3:$M$152,MATCH($A340,'Mock Database'!$C$3:$C$152,0))))</f>
        <v/>
      </c>
      <c r="E340" s="22" t="str">
        <f ca="1">IF(ISNA(MATCH($A340,'Mock Database'!$C$3:$C$152,0)),"",IF(ISBLANK(OFFSET('Mock Database'!$N$2,MATCH($A340,'Mock Database'!$C$3:$C$152,0),0)),"",INDEX('Mock Database'!$N$3:$N$152,MATCH($A340,'Mock Database'!$C$3:$C$152,0))))</f>
        <v/>
      </c>
      <c r="F340" s="89" t="str">
        <f ca="1">IF(ISNA(MATCH($A340,'Mock Database'!$C$3:$C$152,0)),"",IF(ISBLANK(OFFSET('Mock Database'!$S$2,MATCH($A340,'Mock Database'!$C$3:$C$152,0),0)),"",INDEX('Mock Database'!$S$3:$S$152,MATCH($A340,'Mock Database'!$C$3:$C$152,0))))</f>
        <v/>
      </c>
      <c r="G340" s="22" t="str">
        <f ca="1">IF(ISNA(MATCH($A340,'Mock Database'!$C$3:$C$152,0)),"",IF(ISBLANK(OFFSET('Mock Database'!$T$2,MATCH($A340,'Mock Database'!$C$3:$C$152,0),0)),"",INDEX('Mock Database'!$T$3:$T$152,MATCH($A340,'Mock Database'!$C$3:$C$152,0))))</f>
        <v/>
      </c>
      <c r="H340" s="89" t="str">
        <f ca="1">IF(ISNA(MATCH($A340,'Mock Database'!$C$3:$C$152,0)),"",IF(ISBLANK(OFFSET('Mock Database'!$Y$2,MATCH($A340,'Mock Database'!$C$3:$C$152,0),0)),"",INDEX('Mock Database'!$Y$3:$Y$152,MATCH($A340,'Mock Database'!$C$3:$C$152,0))))</f>
        <v/>
      </c>
      <c r="I340" s="22" t="str">
        <f ca="1">IF(ISNA(MATCH($A340,'Mock Database'!$C$3:$C$152,0)),"",IF(ISBLANK(OFFSET('Mock Database'!$Z$2,MATCH($A340,'Mock Database'!$C$3:$C$152,0),0)),"",INDEX('Mock Database'!$Z$3:$Z$152,MATCH($A340,'Mock Database'!$C$3:$C$152,0))))</f>
        <v/>
      </c>
      <c r="J340" s="89" t="str">
        <f ca="1">IF(ISNA(MATCH($A340,'Mock Database'!$C$3:$C$152,0)),"",IF(ISBLANK(OFFSET('Mock Database'!$AE$2,MATCH($A340,'Mock Database'!$C$3:$C$152,0),0)),"",INDEX('Mock Database'!$AE$3:$AE$152,MATCH($A340,'Mock Database'!$C$3:$C$152,0))))</f>
        <v/>
      </c>
      <c r="K340" s="22" t="str">
        <f ca="1">IF(ISNA(MATCH($A340,'Mock Database'!$C$3:$C$152,0)),"",IF(ISBLANK(OFFSET('Mock Database'!$AF$2,MATCH($A340,'Mock Database'!$C$3:$C$152,0),0)),"",INDEX('Mock Database'!$AF$3:$AF$152,MATCH($A340,'Mock Database'!$C$3:$C$152,0))))</f>
        <v/>
      </c>
      <c r="N340" t="e">
        <f t="shared" si="55"/>
        <v>#N/A</v>
      </c>
      <c r="O340" s="89" t="e">
        <f t="shared" ca="1" si="56"/>
        <v>#N/A</v>
      </c>
      <c r="P340" s="22" t="e">
        <f t="shared" ca="1" si="57"/>
        <v>#N/A</v>
      </c>
      <c r="Q340" s="89" t="e">
        <f t="shared" ca="1" si="58"/>
        <v>#N/A</v>
      </c>
      <c r="R340" s="22" t="e">
        <f t="shared" ca="1" si="59"/>
        <v>#N/A</v>
      </c>
      <c r="S340" s="89" t="e">
        <f t="shared" ca="1" si="60"/>
        <v>#N/A</v>
      </c>
      <c r="T340" s="22" t="e">
        <f t="shared" ca="1" si="61"/>
        <v>#N/A</v>
      </c>
      <c r="U340" s="89" t="e">
        <f t="shared" ca="1" si="62"/>
        <v>#N/A</v>
      </c>
      <c r="V340" s="22" t="e">
        <f t="shared" ca="1" si="63"/>
        <v>#N/A</v>
      </c>
      <c r="AM340" t="e">
        <f t="shared" si="64"/>
        <v>#N/A</v>
      </c>
      <c r="AN340" t="e">
        <f t="shared" ca="1" si="65"/>
        <v>#N/A</v>
      </c>
    </row>
    <row r="341" spans="1:40" x14ac:dyDescent="0.3">
      <c r="A341" s="87">
        <v>340</v>
      </c>
      <c r="B341" t="str">
        <f>IFERROR(INDEX('Mock Database'!$D$3:$D$152,MATCH($A341,'Mock Database'!$C$3:$C$152,0)),"")</f>
        <v/>
      </c>
      <c r="C341" s="88" t="str">
        <f>IFERROR(INDEX('Mock Database'!$I$3:$I$152,MATCH($A341,'Mock Database'!$C$3:$C$152,0)),"")</f>
        <v/>
      </c>
      <c r="D341" s="89" t="str">
        <f ca="1">IF(ISNA(MATCH($A341,'Mock Database'!$C$3:$C$152,0)),"",IF(ISBLANK(OFFSET('Mock Database'!$M$2,MATCH($A341,'Mock Database'!$C$3:$C$152,0),0)),"",INDEX('Mock Database'!$M$3:$M$152,MATCH($A341,'Mock Database'!$C$3:$C$152,0))))</f>
        <v/>
      </c>
      <c r="E341" s="22" t="str">
        <f ca="1">IF(ISNA(MATCH($A341,'Mock Database'!$C$3:$C$152,0)),"",IF(ISBLANK(OFFSET('Mock Database'!$N$2,MATCH($A341,'Mock Database'!$C$3:$C$152,0),0)),"",INDEX('Mock Database'!$N$3:$N$152,MATCH($A341,'Mock Database'!$C$3:$C$152,0))))</f>
        <v/>
      </c>
      <c r="F341" s="89" t="str">
        <f ca="1">IF(ISNA(MATCH($A341,'Mock Database'!$C$3:$C$152,0)),"",IF(ISBLANK(OFFSET('Mock Database'!$S$2,MATCH($A341,'Mock Database'!$C$3:$C$152,0),0)),"",INDEX('Mock Database'!$S$3:$S$152,MATCH($A341,'Mock Database'!$C$3:$C$152,0))))</f>
        <v/>
      </c>
      <c r="G341" s="22" t="str">
        <f ca="1">IF(ISNA(MATCH($A341,'Mock Database'!$C$3:$C$152,0)),"",IF(ISBLANK(OFFSET('Mock Database'!$T$2,MATCH($A341,'Mock Database'!$C$3:$C$152,0),0)),"",INDEX('Mock Database'!$T$3:$T$152,MATCH($A341,'Mock Database'!$C$3:$C$152,0))))</f>
        <v/>
      </c>
      <c r="H341" s="89" t="str">
        <f ca="1">IF(ISNA(MATCH($A341,'Mock Database'!$C$3:$C$152,0)),"",IF(ISBLANK(OFFSET('Mock Database'!$Y$2,MATCH($A341,'Mock Database'!$C$3:$C$152,0),0)),"",INDEX('Mock Database'!$Y$3:$Y$152,MATCH($A341,'Mock Database'!$C$3:$C$152,0))))</f>
        <v/>
      </c>
      <c r="I341" s="22" t="str">
        <f ca="1">IF(ISNA(MATCH($A341,'Mock Database'!$C$3:$C$152,0)),"",IF(ISBLANK(OFFSET('Mock Database'!$Z$2,MATCH($A341,'Mock Database'!$C$3:$C$152,0),0)),"",INDEX('Mock Database'!$Z$3:$Z$152,MATCH($A341,'Mock Database'!$C$3:$C$152,0))))</f>
        <v/>
      </c>
      <c r="J341" s="89" t="str">
        <f ca="1">IF(ISNA(MATCH($A341,'Mock Database'!$C$3:$C$152,0)),"",IF(ISBLANK(OFFSET('Mock Database'!$AE$2,MATCH($A341,'Mock Database'!$C$3:$C$152,0),0)),"",INDEX('Mock Database'!$AE$3:$AE$152,MATCH($A341,'Mock Database'!$C$3:$C$152,0))))</f>
        <v/>
      </c>
      <c r="K341" s="22" t="str">
        <f ca="1">IF(ISNA(MATCH($A341,'Mock Database'!$C$3:$C$152,0)),"",IF(ISBLANK(OFFSET('Mock Database'!$AF$2,MATCH($A341,'Mock Database'!$C$3:$C$152,0),0)),"",INDEX('Mock Database'!$AF$3:$AF$152,MATCH($A341,'Mock Database'!$C$3:$C$152,0))))</f>
        <v/>
      </c>
      <c r="N341" t="e">
        <f t="shared" si="55"/>
        <v>#N/A</v>
      </c>
      <c r="O341" s="89" t="e">
        <f t="shared" ca="1" si="56"/>
        <v>#N/A</v>
      </c>
      <c r="P341" s="22" t="e">
        <f t="shared" ca="1" si="57"/>
        <v>#N/A</v>
      </c>
      <c r="Q341" s="89" t="e">
        <f t="shared" ca="1" si="58"/>
        <v>#N/A</v>
      </c>
      <c r="R341" s="22" t="e">
        <f t="shared" ca="1" si="59"/>
        <v>#N/A</v>
      </c>
      <c r="S341" s="89" t="e">
        <f t="shared" ca="1" si="60"/>
        <v>#N/A</v>
      </c>
      <c r="T341" s="22" t="e">
        <f t="shared" ca="1" si="61"/>
        <v>#N/A</v>
      </c>
      <c r="U341" s="89" t="e">
        <f t="shared" ca="1" si="62"/>
        <v>#N/A</v>
      </c>
      <c r="V341" s="22" t="e">
        <f t="shared" ca="1" si="63"/>
        <v>#N/A</v>
      </c>
      <c r="AM341" t="e">
        <f t="shared" si="64"/>
        <v>#N/A</v>
      </c>
      <c r="AN341" t="e">
        <f t="shared" ca="1" si="65"/>
        <v>#N/A</v>
      </c>
    </row>
    <row r="342" spans="1:40" x14ac:dyDescent="0.3">
      <c r="A342" s="87">
        <v>341</v>
      </c>
      <c r="B342" t="str">
        <f>IFERROR(INDEX('Mock Database'!$D$3:$D$152,MATCH($A342,'Mock Database'!$C$3:$C$152,0)),"")</f>
        <v/>
      </c>
      <c r="C342" s="88" t="str">
        <f>IFERROR(INDEX('Mock Database'!$I$3:$I$152,MATCH($A342,'Mock Database'!$C$3:$C$152,0)),"")</f>
        <v/>
      </c>
      <c r="D342" s="89" t="str">
        <f ca="1">IF(ISNA(MATCH($A342,'Mock Database'!$C$3:$C$152,0)),"",IF(ISBLANK(OFFSET('Mock Database'!$M$2,MATCH($A342,'Mock Database'!$C$3:$C$152,0),0)),"",INDEX('Mock Database'!$M$3:$M$152,MATCH($A342,'Mock Database'!$C$3:$C$152,0))))</f>
        <v/>
      </c>
      <c r="E342" s="22" t="str">
        <f ca="1">IF(ISNA(MATCH($A342,'Mock Database'!$C$3:$C$152,0)),"",IF(ISBLANK(OFFSET('Mock Database'!$N$2,MATCH($A342,'Mock Database'!$C$3:$C$152,0),0)),"",INDEX('Mock Database'!$N$3:$N$152,MATCH($A342,'Mock Database'!$C$3:$C$152,0))))</f>
        <v/>
      </c>
      <c r="F342" s="89" t="str">
        <f ca="1">IF(ISNA(MATCH($A342,'Mock Database'!$C$3:$C$152,0)),"",IF(ISBLANK(OFFSET('Mock Database'!$S$2,MATCH($A342,'Mock Database'!$C$3:$C$152,0),0)),"",INDEX('Mock Database'!$S$3:$S$152,MATCH($A342,'Mock Database'!$C$3:$C$152,0))))</f>
        <v/>
      </c>
      <c r="G342" s="22" t="str">
        <f ca="1">IF(ISNA(MATCH($A342,'Mock Database'!$C$3:$C$152,0)),"",IF(ISBLANK(OFFSET('Mock Database'!$T$2,MATCH($A342,'Mock Database'!$C$3:$C$152,0),0)),"",INDEX('Mock Database'!$T$3:$T$152,MATCH($A342,'Mock Database'!$C$3:$C$152,0))))</f>
        <v/>
      </c>
      <c r="H342" s="89" t="str">
        <f ca="1">IF(ISNA(MATCH($A342,'Mock Database'!$C$3:$C$152,0)),"",IF(ISBLANK(OFFSET('Mock Database'!$Y$2,MATCH($A342,'Mock Database'!$C$3:$C$152,0),0)),"",INDEX('Mock Database'!$Y$3:$Y$152,MATCH($A342,'Mock Database'!$C$3:$C$152,0))))</f>
        <v/>
      </c>
      <c r="I342" s="22" t="str">
        <f ca="1">IF(ISNA(MATCH($A342,'Mock Database'!$C$3:$C$152,0)),"",IF(ISBLANK(OFFSET('Mock Database'!$Z$2,MATCH($A342,'Mock Database'!$C$3:$C$152,0),0)),"",INDEX('Mock Database'!$Z$3:$Z$152,MATCH($A342,'Mock Database'!$C$3:$C$152,0))))</f>
        <v/>
      </c>
      <c r="J342" s="89" t="str">
        <f ca="1">IF(ISNA(MATCH($A342,'Mock Database'!$C$3:$C$152,0)),"",IF(ISBLANK(OFFSET('Mock Database'!$AE$2,MATCH($A342,'Mock Database'!$C$3:$C$152,0),0)),"",INDEX('Mock Database'!$AE$3:$AE$152,MATCH($A342,'Mock Database'!$C$3:$C$152,0))))</f>
        <v/>
      </c>
      <c r="K342" s="22" t="str">
        <f ca="1">IF(ISNA(MATCH($A342,'Mock Database'!$C$3:$C$152,0)),"",IF(ISBLANK(OFFSET('Mock Database'!$AF$2,MATCH($A342,'Mock Database'!$C$3:$C$152,0),0)),"",INDEX('Mock Database'!$AF$3:$AF$152,MATCH($A342,'Mock Database'!$C$3:$C$152,0))))</f>
        <v/>
      </c>
      <c r="N342" t="e">
        <f t="shared" si="55"/>
        <v>#N/A</v>
      </c>
      <c r="O342" s="89" t="e">
        <f t="shared" ca="1" si="56"/>
        <v>#N/A</v>
      </c>
      <c r="P342" s="22" t="e">
        <f t="shared" ca="1" si="57"/>
        <v>#N/A</v>
      </c>
      <c r="Q342" s="89" t="e">
        <f t="shared" ca="1" si="58"/>
        <v>#N/A</v>
      </c>
      <c r="R342" s="22" t="e">
        <f t="shared" ca="1" si="59"/>
        <v>#N/A</v>
      </c>
      <c r="S342" s="89" t="e">
        <f t="shared" ca="1" si="60"/>
        <v>#N/A</v>
      </c>
      <c r="T342" s="22" t="e">
        <f t="shared" ca="1" si="61"/>
        <v>#N/A</v>
      </c>
      <c r="U342" s="89" t="e">
        <f t="shared" ca="1" si="62"/>
        <v>#N/A</v>
      </c>
      <c r="V342" s="22" t="e">
        <f t="shared" ca="1" si="63"/>
        <v>#N/A</v>
      </c>
      <c r="AM342" t="e">
        <f t="shared" si="64"/>
        <v>#N/A</v>
      </c>
      <c r="AN342" t="e">
        <f t="shared" ca="1" si="65"/>
        <v>#N/A</v>
      </c>
    </row>
    <row r="343" spans="1:40" x14ac:dyDescent="0.3">
      <c r="A343" s="87">
        <v>342</v>
      </c>
      <c r="B343" t="str">
        <f>IFERROR(INDEX('Mock Database'!$D$3:$D$152,MATCH($A343,'Mock Database'!$C$3:$C$152,0)),"")</f>
        <v/>
      </c>
      <c r="C343" s="88" t="str">
        <f>IFERROR(INDEX('Mock Database'!$I$3:$I$152,MATCH($A343,'Mock Database'!$C$3:$C$152,0)),"")</f>
        <v/>
      </c>
      <c r="D343" s="89" t="str">
        <f ca="1">IF(ISNA(MATCH($A343,'Mock Database'!$C$3:$C$152,0)),"",IF(ISBLANK(OFFSET('Mock Database'!$M$2,MATCH($A343,'Mock Database'!$C$3:$C$152,0),0)),"",INDEX('Mock Database'!$M$3:$M$152,MATCH($A343,'Mock Database'!$C$3:$C$152,0))))</f>
        <v/>
      </c>
      <c r="E343" s="22" t="str">
        <f ca="1">IF(ISNA(MATCH($A343,'Mock Database'!$C$3:$C$152,0)),"",IF(ISBLANK(OFFSET('Mock Database'!$N$2,MATCH($A343,'Mock Database'!$C$3:$C$152,0),0)),"",INDEX('Mock Database'!$N$3:$N$152,MATCH($A343,'Mock Database'!$C$3:$C$152,0))))</f>
        <v/>
      </c>
      <c r="F343" s="89" t="str">
        <f ca="1">IF(ISNA(MATCH($A343,'Mock Database'!$C$3:$C$152,0)),"",IF(ISBLANK(OFFSET('Mock Database'!$S$2,MATCH($A343,'Mock Database'!$C$3:$C$152,0),0)),"",INDEX('Mock Database'!$S$3:$S$152,MATCH($A343,'Mock Database'!$C$3:$C$152,0))))</f>
        <v/>
      </c>
      <c r="G343" s="22" t="str">
        <f ca="1">IF(ISNA(MATCH($A343,'Mock Database'!$C$3:$C$152,0)),"",IF(ISBLANK(OFFSET('Mock Database'!$T$2,MATCH($A343,'Mock Database'!$C$3:$C$152,0),0)),"",INDEX('Mock Database'!$T$3:$T$152,MATCH($A343,'Mock Database'!$C$3:$C$152,0))))</f>
        <v/>
      </c>
      <c r="H343" s="89" t="str">
        <f ca="1">IF(ISNA(MATCH($A343,'Mock Database'!$C$3:$C$152,0)),"",IF(ISBLANK(OFFSET('Mock Database'!$Y$2,MATCH($A343,'Mock Database'!$C$3:$C$152,0),0)),"",INDEX('Mock Database'!$Y$3:$Y$152,MATCH($A343,'Mock Database'!$C$3:$C$152,0))))</f>
        <v/>
      </c>
      <c r="I343" s="22" t="str">
        <f ca="1">IF(ISNA(MATCH($A343,'Mock Database'!$C$3:$C$152,0)),"",IF(ISBLANK(OFFSET('Mock Database'!$Z$2,MATCH($A343,'Mock Database'!$C$3:$C$152,0),0)),"",INDEX('Mock Database'!$Z$3:$Z$152,MATCH($A343,'Mock Database'!$C$3:$C$152,0))))</f>
        <v/>
      </c>
      <c r="J343" s="89" t="str">
        <f ca="1">IF(ISNA(MATCH($A343,'Mock Database'!$C$3:$C$152,0)),"",IF(ISBLANK(OFFSET('Mock Database'!$AE$2,MATCH($A343,'Mock Database'!$C$3:$C$152,0),0)),"",INDEX('Mock Database'!$AE$3:$AE$152,MATCH($A343,'Mock Database'!$C$3:$C$152,0))))</f>
        <v/>
      </c>
      <c r="K343" s="22" t="str">
        <f ca="1">IF(ISNA(MATCH($A343,'Mock Database'!$C$3:$C$152,0)),"",IF(ISBLANK(OFFSET('Mock Database'!$AF$2,MATCH($A343,'Mock Database'!$C$3:$C$152,0),0)),"",INDEX('Mock Database'!$AF$3:$AF$152,MATCH($A343,'Mock Database'!$C$3:$C$152,0))))</f>
        <v/>
      </c>
      <c r="N343" t="e">
        <f t="shared" si="55"/>
        <v>#N/A</v>
      </c>
      <c r="O343" s="89" t="e">
        <f t="shared" ca="1" si="56"/>
        <v>#N/A</v>
      </c>
      <c r="P343" s="22" t="e">
        <f t="shared" ca="1" si="57"/>
        <v>#N/A</v>
      </c>
      <c r="Q343" s="89" t="e">
        <f t="shared" ca="1" si="58"/>
        <v>#N/A</v>
      </c>
      <c r="R343" s="22" t="e">
        <f t="shared" ca="1" si="59"/>
        <v>#N/A</v>
      </c>
      <c r="S343" s="89" t="e">
        <f t="shared" ca="1" si="60"/>
        <v>#N/A</v>
      </c>
      <c r="T343" s="22" t="e">
        <f t="shared" ca="1" si="61"/>
        <v>#N/A</v>
      </c>
      <c r="U343" s="89" t="e">
        <f t="shared" ca="1" si="62"/>
        <v>#N/A</v>
      </c>
      <c r="V343" s="22" t="e">
        <f t="shared" ca="1" si="63"/>
        <v>#N/A</v>
      </c>
      <c r="AM343" t="e">
        <f t="shared" si="64"/>
        <v>#N/A</v>
      </c>
      <c r="AN343" t="e">
        <f t="shared" ca="1" si="65"/>
        <v>#N/A</v>
      </c>
    </row>
    <row r="344" spans="1:40" x14ac:dyDescent="0.3">
      <c r="A344" s="87">
        <v>343</v>
      </c>
      <c r="B344" t="str">
        <f>IFERROR(INDEX('Mock Database'!$D$3:$D$152,MATCH($A344,'Mock Database'!$C$3:$C$152,0)),"")</f>
        <v/>
      </c>
      <c r="C344" s="88" t="str">
        <f>IFERROR(INDEX('Mock Database'!$I$3:$I$152,MATCH($A344,'Mock Database'!$C$3:$C$152,0)),"")</f>
        <v/>
      </c>
      <c r="D344" s="89" t="str">
        <f ca="1">IF(ISNA(MATCH($A344,'Mock Database'!$C$3:$C$152,0)),"",IF(ISBLANK(OFFSET('Mock Database'!$M$2,MATCH($A344,'Mock Database'!$C$3:$C$152,0),0)),"",INDEX('Mock Database'!$M$3:$M$152,MATCH($A344,'Mock Database'!$C$3:$C$152,0))))</f>
        <v/>
      </c>
      <c r="E344" s="22" t="str">
        <f ca="1">IF(ISNA(MATCH($A344,'Mock Database'!$C$3:$C$152,0)),"",IF(ISBLANK(OFFSET('Mock Database'!$N$2,MATCH($A344,'Mock Database'!$C$3:$C$152,0),0)),"",INDEX('Mock Database'!$N$3:$N$152,MATCH($A344,'Mock Database'!$C$3:$C$152,0))))</f>
        <v/>
      </c>
      <c r="F344" s="89" t="str">
        <f ca="1">IF(ISNA(MATCH($A344,'Mock Database'!$C$3:$C$152,0)),"",IF(ISBLANK(OFFSET('Mock Database'!$S$2,MATCH($A344,'Mock Database'!$C$3:$C$152,0),0)),"",INDEX('Mock Database'!$S$3:$S$152,MATCH($A344,'Mock Database'!$C$3:$C$152,0))))</f>
        <v/>
      </c>
      <c r="G344" s="22" t="str">
        <f ca="1">IF(ISNA(MATCH($A344,'Mock Database'!$C$3:$C$152,0)),"",IF(ISBLANK(OFFSET('Mock Database'!$T$2,MATCH($A344,'Mock Database'!$C$3:$C$152,0),0)),"",INDEX('Mock Database'!$T$3:$T$152,MATCH($A344,'Mock Database'!$C$3:$C$152,0))))</f>
        <v/>
      </c>
      <c r="H344" s="89" t="str">
        <f ca="1">IF(ISNA(MATCH($A344,'Mock Database'!$C$3:$C$152,0)),"",IF(ISBLANK(OFFSET('Mock Database'!$Y$2,MATCH($A344,'Mock Database'!$C$3:$C$152,0),0)),"",INDEX('Mock Database'!$Y$3:$Y$152,MATCH($A344,'Mock Database'!$C$3:$C$152,0))))</f>
        <v/>
      </c>
      <c r="I344" s="22" t="str">
        <f ca="1">IF(ISNA(MATCH($A344,'Mock Database'!$C$3:$C$152,0)),"",IF(ISBLANK(OFFSET('Mock Database'!$Z$2,MATCH($A344,'Mock Database'!$C$3:$C$152,0),0)),"",INDEX('Mock Database'!$Z$3:$Z$152,MATCH($A344,'Mock Database'!$C$3:$C$152,0))))</f>
        <v/>
      </c>
      <c r="J344" s="89" t="str">
        <f ca="1">IF(ISNA(MATCH($A344,'Mock Database'!$C$3:$C$152,0)),"",IF(ISBLANK(OFFSET('Mock Database'!$AE$2,MATCH($A344,'Mock Database'!$C$3:$C$152,0),0)),"",INDEX('Mock Database'!$AE$3:$AE$152,MATCH($A344,'Mock Database'!$C$3:$C$152,0))))</f>
        <v/>
      </c>
      <c r="K344" s="22" t="str">
        <f ca="1">IF(ISNA(MATCH($A344,'Mock Database'!$C$3:$C$152,0)),"",IF(ISBLANK(OFFSET('Mock Database'!$AF$2,MATCH($A344,'Mock Database'!$C$3:$C$152,0),0)),"",INDEX('Mock Database'!$AF$3:$AF$152,MATCH($A344,'Mock Database'!$C$3:$C$152,0))))</f>
        <v/>
      </c>
      <c r="N344" t="e">
        <f t="shared" si="55"/>
        <v>#N/A</v>
      </c>
      <c r="O344" s="89" t="e">
        <f t="shared" ca="1" si="56"/>
        <v>#N/A</v>
      </c>
      <c r="P344" s="22" t="e">
        <f t="shared" ca="1" si="57"/>
        <v>#N/A</v>
      </c>
      <c r="Q344" s="89" t="e">
        <f t="shared" ca="1" si="58"/>
        <v>#N/A</v>
      </c>
      <c r="R344" s="22" t="e">
        <f t="shared" ca="1" si="59"/>
        <v>#N/A</v>
      </c>
      <c r="S344" s="89" t="e">
        <f t="shared" ca="1" si="60"/>
        <v>#N/A</v>
      </c>
      <c r="T344" s="22" t="e">
        <f t="shared" ca="1" si="61"/>
        <v>#N/A</v>
      </c>
      <c r="U344" s="89" t="e">
        <f t="shared" ca="1" si="62"/>
        <v>#N/A</v>
      </c>
      <c r="V344" s="22" t="e">
        <f t="shared" ca="1" si="63"/>
        <v>#N/A</v>
      </c>
      <c r="AM344" t="e">
        <f t="shared" si="64"/>
        <v>#N/A</v>
      </c>
      <c r="AN344" t="e">
        <f t="shared" ca="1" si="65"/>
        <v>#N/A</v>
      </c>
    </row>
    <row r="345" spans="1:40" x14ac:dyDescent="0.3">
      <c r="A345" s="87">
        <v>344</v>
      </c>
      <c r="B345" t="str">
        <f>IFERROR(INDEX('Mock Database'!$D$3:$D$152,MATCH($A345,'Mock Database'!$C$3:$C$152,0)),"")</f>
        <v/>
      </c>
      <c r="C345" s="88" t="str">
        <f>IFERROR(INDEX('Mock Database'!$I$3:$I$152,MATCH($A345,'Mock Database'!$C$3:$C$152,0)),"")</f>
        <v/>
      </c>
      <c r="D345" s="89" t="str">
        <f ca="1">IF(ISNA(MATCH($A345,'Mock Database'!$C$3:$C$152,0)),"",IF(ISBLANK(OFFSET('Mock Database'!$M$2,MATCH($A345,'Mock Database'!$C$3:$C$152,0),0)),"",INDEX('Mock Database'!$M$3:$M$152,MATCH($A345,'Mock Database'!$C$3:$C$152,0))))</f>
        <v/>
      </c>
      <c r="E345" s="22" t="str">
        <f ca="1">IF(ISNA(MATCH($A345,'Mock Database'!$C$3:$C$152,0)),"",IF(ISBLANK(OFFSET('Mock Database'!$N$2,MATCH($A345,'Mock Database'!$C$3:$C$152,0),0)),"",INDEX('Mock Database'!$N$3:$N$152,MATCH($A345,'Mock Database'!$C$3:$C$152,0))))</f>
        <v/>
      </c>
      <c r="F345" s="89" t="str">
        <f ca="1">IF(ISNA(MATCH($A345,'Mock Database'!$C$3:$C$152,0)),"",IF(ISBLANK(OFFSET('Mock Database'!$S$2,MATCH($A345,'Mock Database'!$C$3:$C$152,0),0)),"",INDEX('Mock Database'!$S$3:$S$152,MATCH($A345,'Mock Database'!$C$3:$C$152,0))))</f>
        <v/>
      </c>
      <c r="G345" s="22" t="str">
        <f ca="1">IF(ISNA(MATCH($A345,'Mock Database'!$C$3:$C$152,0)),"",IF(ISBLANK(OFFSET('Mock Database'!$T$2,MATCH($A345,'Mock Database'!$C$3:$C$152,0),0)),"",INDEX('Mock Database'!$T$3:$T$152,MATCH($A345,'Mock Database'!$C$3:$C$152,0))))</f>
        <v/>
      </c>
      <c r="H345" s="89" t="str">
        <f ca="1">IF(ISNA(MATCH($A345,'Mock Database'!$C$3:$C$152,0)),"",IF(ISBLANK(OFFSET('Mock Database'!$Y$2,MATCH($A345,'Mock Database'!$C$3:$C$152,0),0)),"",INDEX('Mock Database'!$Y$3:$Y$152,MATCH($A345,'Mock Database'!$C$3:$C$152,0))))</f>
        <v/>
      </c>
      <c r="I345" s="22" t="str">
        <f ca="1">IF(ISNA(MATCH($A345,'Mock Database'!$C$3:$C$152,0)),"",IF(ISBLANK(OFFSET('Mock Database'!$Z$2,MATCH($A345,'Mock Database'!$C$3:$C$152,0),0)),"",INDEX('Mock Database'!$Z$3:$Z$152,MATCH($A345,'Mock Database'!$C$3:$C$152,0))))</f>
        <v/>
      </c>
      <c r="J345" s="89" t="str">
        <f ca="1">IF(ISNA(MATCH($A345,'Mock Database'!$C$3:$C$152,0)),"",IF(ISBLANK(OFFSET('Mock Database'!$AE$2,MATCH($A345,'Mock Database'!$C$3:$C$152,0),0)),"",INDEX('Mock Database'!$AE$3:$AE$152,MATCH($A345,'Mock Database'!$C$3:$C$152,0))))</f>
        <v/>
      </c>
      <c r="K345" s="22" t="str">
        <f ca="1">IF(ISNA(MATCH($A345,'Mock Database'!$C$3:$C$152,0)),"",IF(ISBLANK(OFFSET('Mock Database'!$AF$2,MATCH($A345,'Mock Database'!$C$3:$C$152,0),0)),"",INDEX('Mock Database'!$AF$3:$AF$152,MATCH($A345,'Mock Database'!$C$3:$C$152,0))))</f>
        <v/>
      </c>
      <c r="N345" t="e">
        <f t="shared" si="55"/>
        <v>#N/A</v>
      </c>
      <c r="O345" s="89" t="e">
        <f t="shared" ca="1" si="56"/>
        <v>#N/A</v>
      </c>
      <c r="P345" s="22" t="e">
        <f t="shared" ca="1" si="57"/>
        <v>#N/A</v>
      </c>
      <c r="Q345" s="89" t="e">
        <f t="shared" ca="1" si="58"/>
        <v>#N/A</v>
      </c>
      <c r="R345" s="22" t="e">
        <f t="shared" ca="1" si="59"/>
        <v>#N/A</v>
      </c>
      <c r="S345" s="89" t="e">
        <f t="shared" ca="1" si="60"/>
        <v>#N/A</v>
      </c>
      <c r="T345" s="22" t="e">
        <f t="shared" ca="1" si="61"/>
        <v>#N/A</v>
      </c>
      <c r="U345" s="89" t="e">
        <f t="shared" ca="1" si="62"/>
        <v>#N/A</v>
      </c>
      <c r="V345" s="22" t="e">
        <f t="shared" ca="1" si="63"/>
        <v>#N/A</v>
      </c>
      <c r="AM345" t="e">
        <f t="shared" si="64"/>
        <v>#N/A</v>
      </c>
      <c r="AN345" t="e">
        <f t="shared" ca="1" si="65"/>
        <v>#N/A</v>
      </c>
    </row>
    <row r="346" spans="1:40" x14ac:dyDescent="0.3">
      <c r="A346" s="87">
        <v>345</v>
      </c>
      <c r="B346" t="str">
        <f>IFERROR(INDEX('Mock Database'!$D$3:$D$152,MATCH($A346,'Mock Database'!$C$3:$C$152,0)),"")</f>
        <v/>
      </c>
      <c r="C346" s="88" t="str">
        <f>IFERROR(INDEX('Mock Database'!$I$3:$I$152,MATCH($A346,'Mock Database'!$C$3:$C$152,0)),"")</f>
        <v/>
      </c>
      <c r="D346" s="89" t="str">
        <f ca="1">IF(ISNA(MATCH($A346,'Mock Database'!$C$3:$C$152,0)),"",IF(ISBLANK(OFFSET('Mock Database'!$M$2,MATCH($A346,'Mock Database'!$C$3:$C$152,0),0)),"",INDEX('Mock Database'!$M$3:$M$152,MATCH($A346,'Mock Database'!$C$3:$C$152,0))))</f>
        <v/>
      </c>
      <c r="E346" s="22" t="str">
        <f ca="1">IF(ISNA(MATCH($A346,'Mock Database'!$C$3:$C$152,0)),"",IF(ISBLANK(OFFSET('Mock Database'!$N$2,MATCH($A346,'Mock Database'!$C$3:$C$152,0),0)),"",INDEX('Mock Database'!$N$3:$N$152,MATCH($A346,'Mock Database'!$C$3:$C$152,0))))</f>
        <v/>
      </c>
      <c r="F346" s="89" t="str">
        <f ca="1">IF(ISNA(MATCH($A346,'Mock Database'!$C$3:$C$152,0)),"",IF(ISBLANK(OFFSET('Mock Database'!$S$2,MATCH($A346,'Mock Database'!$C$3:$C$152,0),0)),"",INDEX('Mock Database'!$S$3:$S$152,MATCH($A346,'Mock Database'!$C$3:$C$152,0))))</f>
        <v/>
      </c>
      <c r="G346" s="22" t="str">
        <f ca="1">IF(ISNA(MATCH($A346,'Mock Database'!$C$3:$C$152,0)),"",IF(ISBLANK(OFFSET('Mock Database'!$T$2,MATCH($A346,'Mock Database'!$C$3:$C$152,0),0)),"",INDEX('Mock Database'!$T$3:$T$152,MATCH($A346,'Mock Database'!$C$3:$C$152,0))))</f>
        <v/>
      </c>
      <c r="H346" s="89" t="str">
        <f ca="1">IF(ISNA(MATCH($A346,'Mock Database'!$C$3:$C$152,0)),"",IF(ISBLANK(OFFSET('Mock Database'!$Y$2,MATCH($A346,'Mock Database'!$C$3:$C$152,0),0)),"",INDEX('Mock Database'!$Y$3:$Y$152,MATCH($A346,'Mock Database'!$C$3:$C$152,0))))</f>
        <v/>
      </c>
      <c r="I346" s="22" t="str">
        <f ca="1">IF(ISNA(MATCH($A346,'Mock Database'!$C$3:$C$152,0)),"",IF(ISBLANK(OFFSET('Mock Database'!$Z$2,MATCH($A346,'Mock Database'!$C$3:$C$152,0),0)),"",INDEX('Mock Database'!$Z$3:$Z$152,MATCH($A346,'Mock Database'!$C$3:$C$152,0))))</f>
        <v/>
      </c>
      <c r="J346" s="89" t="str">
        <f ca="1">IF(ISNA(MATCH($A346,'Mock Database'!$C$3:$C$152,0)),"",IF(ISBLANK(OFFSET('Mock Database'!$AE$2,MATCH($A346,'Mock Database'!$C$3:$C$152,0),0)),"",INDEX('Mock Database'!$AE$3:$AE$152,MATCH($A346,'Mock Database'!$C$3:$C$152,0))))</f>
        <v/>
      </c>
      <c r="K346" s="22" t="str">
        <f ca="1">IF(ISNA(MATCH($A346,'Mock Database'!$C$3:$C$152,0)),"",IF(ISBLANK(OFFSET('Mock Database'!$AF$2,MATCH($A346,'Mock Database'!$C$3:$C$152,0),0)),"",INDEX('Mock Database'!$AF$3:$AF$152,MATCH($A346,'Mock Database'!$C$3:$C$152,0))))</f>
        <v/>
      </c>
      <c r="N346" t="e">
        <f t="shared" si="55"/>
        <v>#N/A</v>
      </c>
      <c r="O346" s="89" t="e">
        <f t="shared" ca="1" si="56"/>
        <v>#N/A</v>
      </c>
      <c r="P346" s="22" t="e">
        <f t="shared" ca="1" si="57"/>
        <v>#N/A</v>
      </c>
      <c r="Q346" s="89" t="e">
        <f t="shared" ca="1" si="58"/>
        <v>#N/A</v>
      </c>
      <c r="R346" s="22" t="e">
        <f t="shared" ca="1" si="59"/>
        <v>#N/A</v>
      </c>
      <c r="S346" s="89" t="e">
        <f t="shared" ca="1" si="60"/>
        <v>#N/A</v>
      </c>
      <c r="T346" s="22" t="e">
        <f t="shared" ca="1" si="61"/>
        <v>#N/A</v>
      </c>
      <c r="U346" s="89" t="e">
        <f t="shared" ca="1" si="62"/>
        <v>#N/A</v>
      </c>
      <c r="V346" s="22" t="e">
        <f t="shared" ca="1" si="63"/>
        <v>#N/A</v>
      </c>
      <c r="AM346" t="e">
        <f t="shared" si="64"/>
        <v>#N/A</v>
      </c>
      <c r="AN346" t="e">
        <f t="shared" ca="1" si="65"/>
        <v>#N/A</v>
      </c>
    </row>
    <row r="347" spans="1:40" x14ac:dyDescent="0.3">
      <c r="A347" s="87">
        <v>346</v>
      </c>
      <c r="B347" t="str">
        <f>IFERROR(INDEX('Mock Database'!$D$3:$D$152,MATCH($A347,'Mock Database'!$C$3:$C$152,0)),"")</f>
        <v/>
      </c>
      <c r="C347" s="88" t="str">
        <f>IFERROR(INDEX('Mock Database'!$I$3:$I$152,MATCH($A347,'Mock Database'!$C$3:$C$152,0)),"")</f>
        <v/>
      </c>
      <c r="D347" s="89" t="str">
        <f ca="1">IF(ISNA(MATCH($A347,'Mock Database'!$C$3:$C$152,0)),"",IF(ISBLANK(OFFSET('Mock Database'!$M$2,MATCH($A347,'Mock Database'!$C$3:$C$152,0),0)),"",INDEX('Mock Database'!$M$3:$M$152,MATCH($A347,'Mock Database'!$C$3:$C$152,0))))</f>
        <v/>
      </c>
      <c r="E347" s="22" t="str">
        <f ca="1">IF(ISNA(MATCH($A347,'Mock Database'!$C$3:$C$152,0)),"",IF(ISBLANK(OFFSET('Mock Database'!$N$2,MATCH($A347,'Mock Database'!$C$3:$C$152,0),0)),"",INDEX('Mock Database'!$N$3:$N$152,MATCH($A347,'Mock Database'!$C$3:$C$152,0))))</f>
        <v/>
      </c>
      <c r="F347" s="89" t="str">
        <f ca="1">IF(ISNA(MATCH($A347,'Mock Database'!$C$3:$C$152,0)),"",IF(ISBLANK(OFFSET('Mock Database'!$S$2,MATCH($A347,'Mock Database'!$C$3:$C$152,0),0)),"",INDEX('Mock Database'!$S$3:$S$152,MATCH($A347,'Mock Database'!$C$3:$C$152,0))))</f>
        <v/>
      </c>
      <c r="G347" s="22" t="str">
        <f ca="1">IF(ISNA(MATCH($A347,'Mock Database'!$C$3:$C$152,0)),"",IF(ISBLANK(OFFSET('Mock Database'!$T$2,MATCH($A347,'Mock Database'!$C$3:$C$152,0),0)),"",INDEX('Mock Database'!$T$3:$T$152,MATCH($A347,'Mock Database'!$C$3:$C$152,0))))</f>
        <v/>
      </c>
      <c r="H347" s="89" t="str">
        <f ca="1">IF(ISNA(MATCH($A347,'Mock Database'!$C$3:$C$152,0)),"",IF(ISBLANK(OFFSET('Mock Database'!$Y$2,MATCH($A347,'Mock Database'!$C$3:$C$152,0),0)),"",INDEX('Mock Database'!$Y$3:$Y$152,MATCH($A347,'Mock Database'!$C$3:$C$152,0))))</f>
        <v/>
      </c>
      <c r="I347" s="22" t="str">
        <f ca="1">IF(ISNA(MATCH($A347,'Mock Database'!$C$3:$C$152,0)),"",IF(ISBLANK(OFFSET('Mock Database'!$Z$2,MATCH($A347,'Mock Database'!$C$3:$C$152,0),0)),"",INDEX('Mock Database'!$Z$3:$Z$152,MATCH($A347,'Mock Database'!$C$3:$C$152,0))))</f>
        <v/>
      </c>
      <c r="J347" s="89" t="str">
        <f ca="1">IF(ISNA(MATCH($A347,'Mock Database'!$C$3:$C$152,0)),"",IF(ISBLANK(OFFSET('Mock Database'!$AE$2,MATCH($A347,'Mock Database'!$C$3:$C$152,0),0)),"",INDEX('Mock Database'!$AE$3:$AE$152,MATCH($A347,'Mock Database'!$C$3:$C$152,0))))</f>
        <v/>
      </c>
      <c r="K347" s="22" t="str">
        <f ca="1">IF(ISNA(MATCH($A347,'Mock Database'!$C$3:$C$152,0)),"",IF(ISBLANK(OFFSET('Mock Database'!$AF$2,MATCH($A347,'Mock Database'!$C$3:$C$152,0),0)),"",INDEX('Mock Database'!$AF$3:$AF$152,MATCH($A347,'Mock Database'!$C$3:$C$152,0))))</f>
        <v/>
      </c>
      <c r="N347" t="e">
        <f t="shared" si="55"/>
        <v>#N/A</v>
      </c>
      <c r="O347" s="89" t="e">
        <f t="shared" ca="1" si="56"/>
        <v>#N/A</v>
      </c>
      <c r="P347" s="22" t="e">
        <f t="shared" ca="1" si="57"/>
        <v>#N/A</v>
      </c>
      <c r="Q347" s="89" t="e">
        <f t="shared" ca="1" si="58"/>
        <v>#N/A</v>
      </c>
      <c r="R347" s="22" t="e">
        <f t="shared" ca="1" si="59"/>
        <v>#N/A</v>
      </c>
      <c r="S347" s="89" t="e">
        <f t="shared" ca="1" si="60"/>
        <v>#N/A</v>
      </c>
      <c r="T347" s="22" t="e">
        <f t="shared" ca="1" si="61"/>
        <v>#N/A</v>
      </c>
      <c r="U347" s="89" t="e">
        <f t="shared" ca="1" si="62"/>
        <v>#N/A</v>
      </c>
      <c r="V347" s="22" t="e">
        <f t="shared" ca="1" si="63"/>
        <v>#N/A</v>
      </c>
      <c r="AM347" t="e">
        <f t="shared" si="64"/>
        <v>#N/A</v>
      </c>
      <c r="AN347" t="e">
        <f t="shared" ca="1" si="65"/>
        <v>#N/A</v>
      </c>
    </row>
    <row r="348" spans="1:40" x14ac:dyDescent="0.3">
      <c r="A348" s="87">
        <v>347</v>
      </c>
      <c r="B348" t="str">
        <f>IFERROR(INDEX('Mock Database'!$D$3:$D$152,MATCH($A348,'Mock Database'!$C$3:$C$152,0)),"")</f>
        <v/>
      </c>
      <c r="C348" s="88" t="str">
        <f>IFERROR(INDEX('Mock Database'!$I$3:$I$152,MATCH($A348,'Mock Database'!$C$3:$C$152,0)),"")</f>
        <v/>
      </c>
      <c r="D348" s="89" t="str">
        <f ca="1">IF(ISNA(MATCH($A348,'Mock Database'!$C$3:$C$152,0)),"",IF(ISBLANK(OFFSET('Mock Database'!$M$2,MATCH($A348,'Mock Database'!$C$3:$C$152,0),0)),"",INDEX('Mock Database'!$M$3:$M$152,MATCH($A348,'Mock Database'!$C$3:$C$152,0))))</f>
        <v/>
      </c>
      <c r="E348" s="22" t="str">
        <f ca="1">IF(ISNA(MATCH($A348,'Mock Database'!$C$3:$C$152,0)),"",IF(ISBLANK(OFFSET('Mock Database'!$N$2,MATCH($A348,'Mock Database'!$C$3:$C$152,0),0)),"",INDEX('Mock Database'!$N$3:$N$152,MATCH($A348,'Mock Database'!$C$3:$C$152,0))))</f>
        <v/>
      </c>
      <c r="F348" s="89" t="str">
        <f ca="1">IF(ISNA(MATCH($A348,'Mock Database'!$C$3:$C$152,0)),"",IF(ISBLANK(OFFSET('Mock Database'!$S$2,MATCH($A348,'Mock Database'!$C$3:$C$152,0),0)),"",INDEX('Mock Database'!$S$3:$S$152,MATCH($A348,'Mock Database'!$C$3:$C$152,0))))</f>
        <v/>
      </c>
      <c r="G348" s="22" t="str">
        <f ca="1">IF(ISNA(MATCH($A348,'Mock Database'!$C$3:$C$152,0)),"",IF(ISBLANK(OFFSET('Mock Database'!$T$2,MATCH($A348,'Mock Database'!$C$3:$C$152,0),0)),"",INDEX('Mock Database'!$T$3:$T$152,MATCH($A348,'Mock Database'!$C$3:$C$152,0))))</f>
        <v/>
      </c>
      <c r="H348" s="89" t="str">
        <f ca="1">IF(ISNA(MATCH($A348,'Mock Database'!$C$3:$C$152,0)),"",IF(ISBLANK(OFFSET('Mock Database'!$Y$2,MATCH($A348,'Mock Database'!$C$3:$C$152,0),0)),"",INDEX('Mock Database'!$Y$3:$Y$152,MATCH($A348,'Mock Database'!$C$3:$C$152,0))))</f>
        <v/>
      </c>
      <c r="I348" s="22" t="str">
        <f ca="1">IF(ISNA(MATCH($A348,'Mock Database'!$C$3:$C$152,0)),"",IF(ISBLANK(OFFSET('Mock Database'!$Z$2,MATCH($A348,'Mock Database'!$C$3:$C$152,0),0)),"",INDEX('Mock Database'!$Z$3:$Z$152,MATCH($A348,'Mock Database'!$C$3:$C$152,0))))</f>
        <v/>
      </c>
      <c r="J348" s="89" t="str">
        <f ca="1">IF(ISNA(MATCH($A348,'Mock Database'!$C$3:$C$152,0)),"",IF(ISBLANK(OFFSET('Mock Database'!$AE$2,MATCH($A348,'Mock Database'!$C$3:$C$152,0),0)),"",INDEX('Mock Database'!$AE$3:$AE$152,MATCH($A348,'Mock Database'!$C$3:$C$152,0))))</f>
        <v/>
      </c>
      <c r="K348" s="22" t="str">
        <f ca="1">IF(ISNA(MATCH($A348,'Mock Database'!$C$3:$C$152,0)),"",IF(ISBLANK(OFFSET('Mock Database'!$AF$2,MATCH($A348,'Mock Database'!$C$3:$C$152,0),0)),"",INDEX('Mock Database'!$AF$3:$AF$152,MATCH($A348,'Mock Database'!$C$3:$C$152,0))))</f>
        <v/>
      </c>
      <c r="N348" t="e">
        <f t="shared" si="55"/>
        <v>#N/A</v>
      </c>
      <c r="O348" s="89" t="e">
        <f t="shared" ca="1" si="56"/>
        <v>#N/A</v>
      </c>
      <c r="P348" s="22" t="e">
        <f t="shared" ca="1" si="57"/>
        <v>#N/A</v>
      </c>
      <c r="Q348" s="89" t="e">
        <f t="shared" ca="1" si="58"/>
        <v>#N/A</v>
      </c>
      <c r="R348" s="22" t="e">
        <f t="shared" ca="1" si="59"/>
        <v>#N/A</v>
      </c>
      <c r="S348" s="89" t="e">
        <f t="shared" ca="1" si="60"/>
        <v>#N/A</v>
      </c>
      <c r="T348" s="22" t="e">
        <f t="shared" ca="1" si="61"/>
        <v>#N/A</v>
      </c>
      <c r="U348" s="89" t="e">
        <f t="shared" ca="1" si="62"/>
        <v>#N/A</v>
      </c>
      <c r="V348" s="22" t="e">
        <f t="shared" ca="1" si="63"/>
        <v>#N/A</v>
      </c>
      <c r="AM348" t="e">
        <f t="shared" si="64"/>
        <v>#N/A</v>
      </c>
      <c r="AN348" t="e">
        <f t="shared" ca="1" si="65"/>
        <v>#N/A</v>
      </c>
    </row>
    <row r="349" spans="1:40" x14ac:dyDescent="0.3">
      <c r="A349" s="87">
        <v>348</v>
      </c>
      <c r="B349" t="str">
        <f>IFERROR(INDEX('Mock Database'!$D$3:$D$152,MATCH($A349,'Mock Database'!$C$3:$C$152,0)),"")</f>
        <v/>
      </c>
      <c r="C349" s="88" t="str">
        <f>IFERROR(INDEX('Mock Database'!$I$3:$I$152,MATCH($A349,'Mock Database'!$C$3:$C$152,0)),"")</f>
        <v/>
      </c>
      <c r="D349" s="89" t="str">
        <f ca="1">IF(ISNA(MATCH($A349,'Mock Database'!$C$3:$C$152,0)),"",IF(ISBLANK(OFFSET('Mock Database'!$M$2,MATCH($A349,'Mock Database'!$C$3:$C$152,0),0)),"",INDEX('Mock Database'!$M$3:$M$152,MATCH($A349,'Mock Database'!$C$3:$C$152,0))))</f>
        <v/>
      </c>
      <c r="E349" s="22" t="str">
        <f ca="1">IF(ISNA(MATCH($A349,'Mock Database'!$C$3:$C$152,0)),"",IF(ISBLANK(OFFSET('Mock Database'!$N$2,MATCH($A349,'Mock Database'!$C$3:$C$152,0),0)),"",INDEX('Mock Database'!$N$3:$N$152,MATCH($A349,'Mock Database'!$C$3:$C$152,0))))</f>
        <v/>
      </c>
      <c r="F349" s="89" t="str">
        <f ca="1">IF(ISNA(MATCH($A349,'Mock Database'!$C$3:$C$152,0)),"",IF(ISBLANK(OFFSET('Mock Database'!$S$2,MATCH($A349,'Mock Database'!$C$3:$C$152,0),0)),"",INDEX('Mock Database'!$S$3:$S$152,MATCH($A349,'Mock Database'!$C$3:$C$152,0))))</f>
        <v/>
      </c>
      <c r="G349" s="22" t="str">
        <f ca="1">IF(ISNA(MATCH($A349,'Mock Database'!$C$3:$C$152,0)),"",IF(ISBLANK(OFFSET('Mock Database'!$T$2,MATCH($A349,'Mock Database'!$C$3:$C$152,0),0)),"",INDEX('Mock Database'!$T$3:$T$152,MATCH($A349,'Mock Database'!$C$3:$C$152,0))))</f>
        <v/>
      </c>
      <c r="H349" s="89" t="str">
        <f ca="1">IF(ISNA(MATCH($A349,'Mock Database'!$C$3:$C$152,0)),"",IF(ISBLANK(OFFSET('Mock Database'!$Y$2,MATCH($A349,'Mock Database'!$C$3:$C$152,0),0)),"",INDEX('Mock Database'!$Y$3:$Y$152,MATCH($A349,'Mock Database'!$C$3:$C$152,0))))</f>
        <v/>
      </c>
      <c r="I349" s="22" t="str">
        <f ca="1">IF(ISNA(MATCH($A349,'Mock Database'!$C$3:$C$152,0)),"",IF(ISBLANK(OFFSET('Mock Database'!$Z$2,MATCH($A349,'Mock Database'!$C$3:$C$152,0),0)),"",INDEX('Mock Database'!$Z$3:$Z$152,MATCH($A349,'Mock Database'!$C$3:$C$152,0))))</f>
        <v/>
      </c>
      <c r="J349" s="89" t="str">
        <f ca="1">IF(ISNA(MATCH($A349,'Mock Database'!$C$3:$C$152,0)),"",IF(ISBLANK(OFFSET('Mock Database'!$AE$2,MATCH($A349,'Mock Database'!$C$3:$C$152,0),0)),"",INDEX('Mock Database'!$AE$3:$AE$152,MATCH($A349,'Mock Database'!$C$3:$C$152,0))))</f>
        <v/>
      </c>
      <c r="K349" s="22" t="str">
        <f ca="1">IF(ISNA(MATCH($A349,'Mock Database'!$C$3:$C$152,0)),"",IF(ISBLANK(OFFSET('Mock Database'!$AF$2,MATCH($A349,'Mock Database'!$C$3:$C$152,0),0)),"",INDEX('Mock Database'!$AF$3:$AF$152,MATCH($A349,'Mock Database'!$C$3:$C$152,0))))</f>
        <v/>
      </c>
      <c r="N349" t="e">
        <f t="shared" si="55"/>
        <v>#N/A</v>
      </c>
      <c r="O349" s="89" t="e">
        <f t="shared" ca="1" si="56"/>
        <v>#N/A</v>
      </c>
      <c r="P349" s="22" t="e">
        <f t="shared" ca="1" si="57"/>
        <v>#N/A</v>
      </c>
      <c r="Q349" s="89" t="e">
        <f t="shared" ca="1" si="58"/>
        <v>#N/A</v>
      </c>
      <c r="R349" s="22" t="e">
        <f t="shared" ca="1" si="59"/>
        <v>#N/A</v>
      </c>
      <c r="S349" s="89" t="e">
        <f t="shared" ca="1" si="60"/>
        <v>#N/A</v>
      </c>
      <c r="T349" s="22" t="e">
        <f t="shared" ca="1" si="61"/>
        <v>#N/A</v>
      </c>
      <c r="U349" s="89" t="e">
        <f t="shared" ca="1" si="62"/>
        <v>#N/A</v>
      </c>
      <c r="V349" s="22" t="e">
        <f t="shared" ca="1" si="63"/>
        <v>#N/A</v>
      </c>
      <c r="AM349" t="e">
        <f t="shared" si="64"/>
        <v>#N/A</v>
      </c>
      <c r="AN349" t="e">
        <f t="shared" ca="1" si="65"/>
        <v>#N/A</v>
      </c>
    </row>
    <row r="350" spans="1:40" x14ac:dyDescent="0.3">
      <c r="A350" s="87">
        <v>349</v>
      </c>
      <c r="B350" t="str">
        <f>IFERROR(INDEX('Mock Database'!$D$3:$D$152,MATCH($A350,'Mock Database'!$C$3:$C$152,0)),"")</f>
        <v/>
      </c>
      <c r="C350" s="88" t="str">
        <f>IFERROR(INDEX('Mock Database'!$I$3:$I$152,MATCH($A350,'Mock Database'!$C$3:$C$152,0)),"")</f>
        <v/>
      </c>
      <c r="D350" s="89" t="str">
        <f ca="1">IF(ISNA(MATCH($A350,'Mock Database'!$C$3:$C$152,0)),"",IF(ISBLANK(OFFSET('Mock Database'!$M$2,MATCH($A350,'Mock Database'!$C$3:$C$152,0),0)),"",INDEX('Mock Database'!$M$3:$M$152,MATCH($A350,'Mock Database'!$C$3:$C$152,0))))</f>
        <v/>
      </c>
      <c r="E350" s="22" t="str">
        <f ca="1">IF(ISNA(MATCH($A350,'Mock Database'!$C$3:$C$152,0)),"",IF(ISBLANK(OFFSET('Mock Database'!$N$2,MATCH($A350,'Mock Database'!$C$3:$C$152,0),0)),"",INDEX('Mock Database'!$N$3:$N$152,MATCH($A350,'Mock Database'!$C$3:$C$152,0))))</f>
        <v/>
      </c>
      <c r="F350" s="89" t="str">
        <f ca="1">IF(ISNA(MATCH($A350,'Mock Database'!$C$3:$C$152,0)),"",IF(ISBLANK(OFFSET('Mock Database'!$S$2,MATCH($A350,'Mock Database'!$C$3:$C$152,0),0)),"",INDEX('Mock Database'!$S$3:$S$152,MATCH($A350,'Mock Database'!$C$3:$C$152,0))))</f>
        <v/>
      </c>
      <c r="G350" s="22" t="str">
        <f ca="1">IF(ISNA(MATCH($A350,'Mock Database'!$C$3:$C$152,0)),"",IF(ISBLANK(OFFSET('Mock Database'!$T$2,MATCH($A350,'Mock Database'!$C$3:$C$152,0),0)),"",INDEX('Mock Database'!$T$3:$T$152,MATCH($A350,'Mock Database'!$C$3:$C$152,0))))</f>
        <v/>
      </c>
      <c r="H350" s="89" t="str">
        <f ca="1">IF(ISNA(MATCH($A350,'Mock Database'!$C$3:$C$152,0)),"",IF(ISBLANK(OFFSET('Mock Database'!$Y$2,MATCH($A350,'Mock Database'!$C$3:$C$152,0),0)),"",INDEX('Mock Database'!$Y$3:$Y$152,MATCH($A350,'Mock Database'!$C$3:$C$152,0))))</f>
        <v/>
      </c>
      <c r="I350" s="22" t="str">
        <f ca="1">IF(ISNA(MATCH($A350,'Mock Database'!$C$3:$C$152,0)),"",IF(ISBLANK(OFFSET('Mock Database'!$Z$2,MATCH($A350,'Mock Database'!$C$3:$C$152,0),0)),"",INDEX('Mock Database'!$Z$3:$Z$152,MATCH($A350,'Mock Database'!$C$3:$C$152,0))))</f>
        <v/>
      </c>
      <c r="J350" s="89" t="str">
        <f ca="1">IF(ISNA(MATCH($A350,'Mock Database'!$C$3:$C$152,0)),"",IF(ISBLANK(OFFSET('Mock Database'!$AE$2,MATCH($A350,'Mock Database'!$C$3:$C$152,0),0)),"",INDEX('Mock Database'!$AE$3:$AE$152,MATCH($A350,'Mock Database'!$C$3:$C$152,0))))</f>
        <v/>
      </c>
      <c r="K350" s="22" t="str">
        <f ca="1">IF(ISNA(MATCH($A350,'Mock Database'!$C$3:$C$152,0)),"",IF(ISBLANK(OFFSET('Mock Database'!$AF$2,MATCH($A350,'Mock Database'!$C$3:$C$152,0),0)),"",INDEX('Mock Database'!$AF$3:$AF$152,MATCH($A350,'Mock Database'!$C$3:$C$152,0))))</f>
        <v/>
      </c>
      <c r="N350" t="e">
        <f t="shared" si="55"/>
        <v>#N/A</v>
      </c>
      <c r="O350" s="89" t="e">
        <f t="shared" ca="1" si="56"/>
        <v>#N/A</v>
      </c>
      <c r="P350" s="22" t="e">
        <f t="shared" ca="1" si="57"/>
        <v>#N/A</v>
      </c>
      <c r="Q350" s="89" t="e">
        <f t="shared" ca="1" si="58"/>
        <v>#N/A</v>
      </c>
      <c r="R350" s="22" t="e">
        <f t="shared" ca="1" si="59"/>
        <v>#N/A</v>
      </c>
      <c r="S350" s="89" t="e">
        <f t="shared" ca="1" si="60"/>
        <v>#N/A</v>
      </c>
      <c r="T350" s="22" t="e">
        <f t="shared" ca="1" si="61"/>
        <v>#N/A</v>
      </c>
      <c r="U350" s="89" t="e">
        <f t="shared" ca="1" si="62"/>
        <v>#N/A</v>
      </c>
      <c r="V350" s="22" t="e">
        <f t="shared" ca="1" si="63"/>
        <v>#N/A</v>
      </c>
      <c r="AM350" t="e">
        <f t="shared" si="64"/>
        <v>#N/A</v>
      </c>
      <c r="AN350" t="e">
        <f t="shared" ca="1" si="65"/>
        <v>#N/A</v>
      </c>
    </row>
    <row r="351" spans="1:40" x14ac:dyDescent="0.3">
      <c r="A351" s="87">
        <v>350</v>
      </c>
      <c r="B351" t="str">
        <f>IFERROR(INDEX('Mock Database'!$D$3:$D$152,MATCH($A351,'Mock Database'!$C$3:$C$152,0)),"")</f>
        <v/>
      </c>
      <c r="C351" s="88" t="str">
        <f>IFERROR(INDEX('Mock Database'!$I$3:$I$152,MATCH($A351,'Mock Database'!$C$3:$C$152,0)),"")</f>
        <v/>
      </c>
      <c r="D351" s="89" t="str">
        <f ca="1">IF(ISNA(MATCH($A351,'Mock Database'!$C$3:$C$152,0)),"",IF(ISBLANK(OFFSET('Mock Database'!$M$2,MATCH($A351,'Mock Database'!$C$3:$C$152,0),0)),"",INDEX('Mock Database'!$M$3:$M$152,MATCH($A351,'Mock Database'!$C$3:$C$152,0))))</f>
        <v/>
      </c>
      <c r="E351" s="22" t="str">
        <f ca="1">IF(ISNA(MATCH($A351,'Mock Database'!$C$3:$C$152,0)),"",IF(ISBLANK(OFFSET('Mock Database'!$N$2,MATCH($A351,'Mock Database'!$C$3:$C$152,0),0)),"",INDEX('Mock Database'!$N$3:$N$152,MATCH($A351,'Mock Database'!$C$3:$C$152,0))))</f>
        <v/>
      </c>
      <c r="F351" s="89" t="str">
        <f ca="1">IF(ISNA(MATCH($A351,'Mock Database'!$C$3:$C$152,0)),"",IF(ISBLANK(OFFSET('Mock Database'!$S$2,MATCH($A351,'Mock Database'!$C$3:$C$152,0),0)),"",INDEX('Mock Database'!$S$3:$S$152,MATCH($A351,'Mock Database'!$C$3:$C$152,0))))</f>
        <v/>
      </c>
      <c r="G351" s="22" t="str">
        <f ca="1">IF(ISNA(MATCH($A351,'Mock Database'!$C$3:$C$152,0)),"",IF(ISBLANK(OFFSET('Mock Database'!$T$2,MATCH($A351,'Mock Database'!$C$3:$C$152,0),0)),"",INDEX('Mock Database'!$T$3:$T$152,MATCH($A351,'Mock Database'!$C$3:$C$152,0))))</f>
        <v/>
      </c>
      <c r="H351" s="89" t="str">
        <f ca="1">IF(ISNA(MATCH($A351,'Mock Database'!$C$3:$C$152,0)),"",IF(ISBLANK(OFFSET('Mock Database'!$Y$2,MATCH($A351,'Mock Database'!$C$3:$C$152,0),0)),"",INDEX('Mock Database'!$Y$3:$Y$152,MATCH($A351,'Mock Database'!$C$3:$C$152,0))))</f>
        <v/>
      </c>
      <c r="I351" s="22" t="str">
        <f ca="1">IF(ISNA(MATCH($A351,'Mock Database'!$C$3:$C$152,0)),"",IF(ISBLANK(OFFSET('Mock Database'!$Z$2,MATCH($A351,'Mock Database'!$C$3:$C$152,0),0)),"",INDEX('Mock Database'!$Z$3:$Z$152,MATCH($A351,'Mock Database'!$C$3:$C$152,0))))</f>
        <v/>
      </c>
      <c r="J351" s="89" t="str">
        <f ca="1">IF(ISNA(MATCH($A351,'Mock Database'!$C$3:$C$152,0)),"",IF(ISBLANK(OFFSET('Mock Database'!$AE$2,MATCH($A351,'Mock Database'!$C$3:$C$152,0),0)),"",INDEX('Mock Database'!$AE$3:$AE$152,MATCH($A351,'Mock Database'!$C$3:$C$152,0))))</f>
        <v/>
      </c>
      <c r="K351" s="22" t="str">
        <f ca="1">IF(ISNA(MATCH($A351,'Mock Database'!$C$3:$C$152,0)),"",IF(ISBLANK(OFFSET('Mock Database'!$AF$2,MATCH($A351,'Mock Database'!$C$3:$C$152,0),0)),"",INDEX('Mock Database'!$AF$3:$AF$152,MATCH($A351,'Mock Database'!$C$3:$C$152,0))))</f>
        <v/>
      </c>
      <c r="N351" t="e">
        <f t="shared" si="55"/>
        <v>#N/A</v>
      </c>
      <c r="O351" s="89" t="e">
        <f t="shared" ca="1" si="56"/>
        <v>#N/A</v>
      </c>
      <c r="P351" s="22" t="e">
        <f t="shared" ca="1" si="57"/>
        <v>#N/A</v>
      </c>
      <c r="Q351" s="89" t="e">
        <f t="shared" ca="1" si="58"/>
        <v>#N/A</v>
      </c>
      <c r="R351" s="22" t="e">
        <f t="shared" ca="1" si="59"/>
        <v>#N/A</v>
      </c>
      <c r="S351" s="89" t="e">
        <f t="shared" ca="1" si="60"/>
        <v>#N/A</v>
      </c>
      <c r="T351" s="22" t="e">
        <f t="shared" ca="1" si="61"/>
        <v>#N/A</v>
      </c>
      <c r="U351" s="89" t="e">
        <f t="shared" ca="1" si="62"/>
        <v>#N/A</v>
      </c>
      <c r="V351" s="22" t="e">
        <f t="shared" ca="1" si="63"/>
        <v>#N/A</v>
      </c>
      <c r="AM351" t="e">
        <f t="shared" si="64"/>
        <v>#N/A</v>
      </c>
      <c r="AN351" t="e">
        <f t="shared" ca="1" si="65"/>
        <v>#N/A</v>
      </c>
    </row>
    <row r="352" spans="1:40" x14ac:dyDescent="0.3">
      <c r="A352" s="87">
        <v>351</v>
      </c>
      <c r="B352" t="str">
        <f>IFERROR(INDEX('Mock Database'!$D$3:$D$152,MATCH($A352,'Mock Database'!$C$3:$C$152,0)),"")</f>
        <v/>
      </c>
      <c r="C352" s="88" t="str">
        <f>IFERROR(INDEX('Mock Database'!$I$3:$I$152,MATCH($A352,'Mock Database'!$C$3:$C$152,0)),"")</f>
        <v/>
      </c>
      <c r="D352" s="89" t="str">
        <f ca="1">IF(ISNA(MATCH($A352,'Mock Database'!$C$3:$C$152,0)),"",IF(ISBLANK(OFFSET('Mock Database'!$M$2,MATCH($A352,'Mock Database'!$C$3:$C$152,0),0)),"",INDEX('Mock Database'!$M$3:$M$152,MATCH($A352,'Mock Database'!$C$3:$C$152,0))))</f>
        <v/>
      </c>
      <c r="E352" s="22" t="str">
        <f ca="1">IF(ISNA(MATCH($A352,'Mock Database'!$C$3:$C$152,0)),"",IF(ISBLANK(OFFSET('Mock Database'!$N$2,MATCH($A352,'Mock Database'!$C$3:$C$152,0),0)),"",INDEX('Mock Database'!$N$3:$N$152,MATCH($A352,'Mock Database'!$C$3:$C$152,0))))</f>
        <v/>
      </c>
      <c r="F352" s="89" t="str">
        <f ca="1">IF(ISNA(MATCH($A352,'Mock Database'!$C$3:$C$152,0)),"",IF(ISBLANK(OFFSET('Mock Database'!$S$2,MATCH($A352,'Mock Database'!$C$3:$C$152,0),0)),"",INDEX('Mock Database'!$S$3:$S$152,MATCH($A352,'Mock Database'!$C$3:$C$152,0))))</f>
        <v/>
      </c>
      <c r="G352" s="22" t="str">
        <f ca="1">IF(ISNA(MATCH($A352,'Mock Database'!$C$3:$C$152,0)),"",IF(ISBLANK(OFFSET('Mock Database'!$T$2,MATCH($A352,'Mock Database'!$C$3:$C$152,0),0)),"",INDEX('Mock Database'!$T$3:$T$152,MATCH($A352,'Mock Database'!$C$3:$C$152,0))))</f>
        <v/>
      </c>
      <c r="H352" s="89" t="str">
        <f ca="1">IF(ISNA(MATCH($A352,'Mock Database'!$C$3:$C$152,0)),"",IF(ISBLANK(OFFSET('Mock Database'!$Y$2,MATCH($A352,'Mock Database'!$C$3:$C$152,0),0)),"",INDEX('Mock Database'!$Y$3:$Y$152,MATCH($A352,'Mock Database'!$C$3:$C$152,0))))</f>
        <v/>
      </c>
      <c r="I352" s="22" t="str">
        <f ca="1">IF(ISNA(MATCH($A352,'Mock Database'!$C$3:$C$152,0)),"",IF(ISBLANK(OFFSET('Mock Database'!$Z$2,MATCH($A352,'Mock Database'!$C$3:$C$152,0),0)),"",INDEX('Mock Database'!$Z$3:$Z$152,MATCH($A352,'Mock Database'!$C$3:$C$152,0))))</f>
        <v/>
      </c>
      <c r="J352" s="89" t="str">
        <f ca="1">IF(ISNA(MATCH($A352,'Mock Database'!$C$3:$C$152,0)),"",IF(ISBLANK(OFFSET('Mock Database'!$AE$2,MATCH($A352,'Mock Database'!$C$3:$C$152,0),0)),"",INDEX('Mock Database'!$AE$3:$AE$152,MATCH($A352,'Mock Database'!$C$3:$C$152,0))))</f>
        <v/>
      </c>
      <c r="K352" s="22" t="str">
        <f ca="1">IF(ISNA(MATCH($A352,'Mock Database'!$C$3:$C$152,0)),"",IF(ISBLANK(OFFSET('Mock Database'!$AF$2,MATCH($A352,'Mock Database'!$C$3:$C$152,0),0)),"",INDEX('Mock Database'!$AF$3:$AF$152,MATCH($A352,'Mock Database'!$C$3:$C$152,0))))</f>
        <v/>
      </c>
      <c r="N352" t="e">
        <f t="shared" si="55"/>
        <v>#N/A</v>
      </c>
      <c r="O352" s="89" t="e">
        <f t="shared" ca="1" si="56"/>
        <v>#N/A</v>
      </c>
      <c r="P352" s="22" t="e">
        <f t="shared" ca="1" si="57"/>
        <v>#N/A</v>
      </c>
      <c r="Q352" s="89" t="e">
        <f t="shared" ca="1" si="58"/>
        <v>#N/A</v>
      </c>
      <c r="R352" s="22" t="e">
        <f t="shared" ca="1" si="59"/>
        <v>#N/A</v>
      </c>
      <c r="S352" s="89" t="e">
        <f t="shared" ca="1" si="60"/>
        <v>#N/A</v>
      </c>
      <c r="T352" s="22" t="e">
        <f t="shared" ca="1" si="61"/>
        <v>#N/A</v>
      </c>
      <c r="U352" s="89" t="e">
        <f t="shared" ca="1" si="62"/>
        <v>#N/A</v>
      </c>
      <c r="V352" s="22" t="e">
        <f t="shared" ca="1" si="63"/>
        <v>#N/A</v>
      </c>
      <c r="AM352" t="e">
        <f t="shared" si="64"/>
        <v>#N/A</v>
      </c>
      <c r="AN352" t="e">
        <f t="shared" ca="1" si="65"/>
        <v>#N/A</v>
      </c>
    </row>
    <row r="353" spans="1:40" x14ac:dyDescent="0.3">
      <c r="A353" s="87">
        <v>352</v>
      </c>
      <c r="B353" t="str">
        <f>IFERROR(INDEX('Mock Database'!$D$3:$D$152,MATCH($A353,'Mock Database'!$C$3:$C$152,0)),"")</f>
        <v/>
      </c>
      <c r="C353" s="88" t="str">
        <f>IFERROR(INDEX('Mock Database'!$I$3:$I$152,MATCH($A353,'Mock Database'!$C$3:$C$152,0)),"")</f>
        <v/>
      </c>
      <c r="D353" s="89" t="str">
        <f ca="1">IF(ISNA(MATCH($A353,'Mock Database'!$C$3:$C$152,0)),"",IF(ISBLANK(OFFSET('Mock Database'!$M$2,MATCH($A353,'Mock Database'!$C$3:$C$152,0),0)),"",INDEX('Mock Database'!$M$3:$M$152,MATCH($A353,'Mock Database'!$C$3:$C$152,0))))</f>
        <v/>
      </c>
      <c r="E353" s="22" t="str">
        <f ca="1">IF(ISNA(MATCH($A353,'Mock Database'!$C$3:$C$152,0)),"",IF(ISBLANK(OFFSET('Mock Database'!$N$2,MATCH($A353,'Mock Database'!$C$3:$C$152,0),0)),"",INDEX('Mock Database'!$N$3:$N$152,MATCH($A353,'Mock Database'!$C$3:$C$152,0))))</f>
        <v/>
      </c>
      <c r="F353" s="89" t="str">
        <f ca="1">IF(ISNA(MATCH($A353,'Mock Database'!$C$3:$C$152,0)),"",IF(ISBLANK(OFFSET('Mock Database'!$S$2,MATCH($A353,'Mock Database'!$C$3:$C$152,0),0)),"",INDEX('Mock Database'!$S$3:$S$152,MATCH($A353,'Mock Database'!$C$3:$C$152,0))))</f>
        <v/>
      </c>
      <c r="G353" s="22" t="str">
        <f ca="1">IF(ISNA(MATCH($A353,'Mock Database'!$C$3:$C$152,0)),"",IF(ISBLANK(OFFSET('Mock Database'!$T$2,MATCH($A353,'Mock Database'!$C$3:$C$152,0),0)),"",INDEX('Mock Database'!$T$3:$T$152,MATCH($A353,'Mock Database'!$C$3:$C$152,0))))</f>
        <v/>
      </c>
      <c r="H353" s="89" t="str">
        <f ca="1">IF(ISNA(MATCH($A353,'Mock Database'!$C$3:$C$152,0)),"",IF(ISBLANK(OFFSET('Mock Database'!$Y$2,MATCH($A353,'Mock Database'!$C$3:$C$152,0),0)),"",INDEX('Mock Database'!$Y$3:$Y$152,MATCH($A353,'Mock Database'!$C$3:$C$152,0))))</f>
        <v/>
      </c>
      <c r="I353" s="22" t="str">
        <f ca="1">IF(ISNA(MATCH($A353,'Mock Database'!$C$3:$C$152,0)),"",IF(ISBLANK(OFFSET('Mock Database'!$Z$2,MATCH($A353,'Mock Database'!$C$3:$C$152,0),0)),"",INDEX('Mock Database'!$Z$3:$Z$152,MATCH($A353,'Mock Database'!$C$3:$C$152,0))))</f>
        <v/>
      </c>
      <c r="J353" s="89" t="str">
        <f ca="1">IF(ISNA(MATCH($A353,'Mock Database'!$C$3:$C$152,0)),"",IF(ISBLANK(OFFSET('Mock Database'!$AE$2,MATCH($A353,'Mock Database'!$C$3:$C$152,0),0)),"",INDEX('Mock Database'!$AE$3:$AE$152,MATCH($A353,'Mock Database'!$C$3:$C$152,0))))</f>
        <v/>
      </c>
      <c r="K353" s="22" t="str">
        <f ca="1">IF(ISNA(MATCH($A353,'Mock Database'!$C$3:$C$152,0)),"",IF(ISBLANK(OFFSET('Mock Database'!$AF$2,MATCH($A353,'Mock Database'!$C$3:$C$152,0),0)),"",INDEX('Mock Database'!$AF$3:$AF$152,MATCH($A353,'Mock Database'!$C$3:$C$152,0))))</f>
        <v/>
      </c>
      <c r="N353" t="e">
        <f t="shared" si="55"/>
        <v>#N/A</v>
      </c>
      <c r="O353" s="89" t="e">
        <f t="shared" ca="1" si="56"/>
        <v>#N/A</v>
      </c>
      <c r="P353" s="22" t="e">
        <f t="shared" ca="1" si="57"/>
        <v>#N/A</v>
      </c>
      <c r="Q353" s="89" t="e">
        <f t="shared" ca="1" si="58"/>
        <v>#N/A</v>
      </c>
      <c r="R353" s="22" t="e">
        <f t="shared" ca="1" si="59"/>
        <v>#N/A</v>
      </c>
      <c r="S353" s="89" t="e">
        <f t="shared" ca="1" si="60"/>
        <v>#N/A</v>
      </c>
      <c r="T353" s="22" t="e">
        <f t="shared" ca="1" si="61"/>
        <v>#N/A</v>
      </c>
      <c r="U353" s="89" t="e">
        <f t="shared" ca="1" si="62"/>
        <v>#N/A</v>
      </c>
      <c r="V353" s="22" t="e">
        <f t="shared" ca="1" si="63"/>
        <v>#N/A</v>
      </c>
      <c r="AM353" t="e">
        <f t="shared" si="64"/>
        <v>#N/A</v>
      </c>
      <c r="AN353" t="e">
        <f t="shared" ca="1" si="65"/>
        <v>#N/A</v>
      </c>
    </row>
    <row r="354" spans="1:40" x14ac:dyDescent="0.3">
      <c r="A354" s="87">
        <v>353</v>
      </c>
      <c r="B354" t="str">
        <f>IFERROR(INDEX('Mock Database'!$D$3:$D$152,MATCH($A354,'Mock Database'!$C$3:$C$152,0)),"")</f>
        <v/>
      </c>
      <c r="C354" s="88" t="str">
        <f>IFERROR(INDEX('Mock Database'!$I$3:$I$152,MATCH($A354,'Mock Database'!$C$3:$C$152,0)),"")</f>
        <v/>
      </c>
      <c r="D354" s="89" t="str">
        <f ca="1">IF(ISNA(MATCH($A354,'Mock Database'!$C$3:$C$152,0)),"",IF(ISBLANK(OFFSET('Mock Database'!$M$2,MATCH($A354,'Mock Database'!$C$3:$C$152,0),0)),"",INDEX('Mock Database'!$M$3:$M$152,MATCH($A354,'Mock Database'!$C$3:$C$152,0))))</f>
        <v/>
      </c>
      <c r="E354" s="22" t="str">
        <f ca="1">IF(ISNA(MATCH($A354,'Mock Database'!$C$3:$C$152,0)),"",IF(ISBLANK(OFFSET('Mock Database'!$N$2,MATCH($A354,'Mock Database'!$C$3:$C$152,0),0)),"",INDEX('Mock Database'!$N$3:$N$152,MATCH($A354,'Mock Database'!$C$3:$C$152,0))))</f>
        <v/>
      </c>
      <c r="F354" s="89" t="str">
        <f ca="1">IF(ISNA(MATCH($A354,'Mock Database'!$C$3:$C$152,0)),"",IF(ISBLANK(OFFSET('Mock Database'!$S$2,MATCH($A354,'Mock Database'!$C$3:$C$152,0),0)),"",INDEX('Mock Database'!$S$3:$S$152,MATCH($A354,'Mock Database'!$C$3:$C$152,0))))</f>
        <v/>
      </c>
      <c r="G354" s="22" t="str">
        <f ca="1">IF(ISNA(MATCH($A354,'Mock Database'!$C$3:$C$152,0)),"",IF(ISBLANK(OFFSET('Mock Database'!$T$2,MATCH($A354,'Mock Database'!$C$3:$C$152,0),0)),"",INDEX('Mock Database'!$T$3:$T$152,MATCH($A354,'Mock Database'!$C$3:$C$152,0))))</f>
        <v/>
      </c>
      <c r="H354" s="89" t="str">
        <f ca="1">IF(ISNA(MATCH($A354,'Mock Database'!$C$3:$C$152,0)),"",IF(ISBLANK(OFFSET('Mock Database'!$Y$2,MATCH($A354,'Mock Database'!$C$3:$C$152,0),0)),"",INDEX('Mock Database'!$Y$3:$Y$152,MATCH($A354,'Mock Database'!$C$3:$C$152,0))))</f>
        <v/>
      </c>
      <c r="I354" s="22" t="str">
        <f ca="1">IF(ISNA(MATCH($A354,'Mock Database'!$C$3:$C$152,0)),"",IF(ISBLANK(OFFSET('Mock Database'!$Z$2,MATCH($A354,'Mock Database'!$C$3:$C$152,0),0)),"",INDEX('Mock Database'!$Z$3:$Z$152,MATCH($A354,'Mock Database'!$C$3:$C$152,0))))</f>
        <v/>
      </c>
      <c r="J354" s="89" t="str">
        <f ca="1">IF(ISNA(MATCH($A354,'Mock Database'!$C$3:$C$152,0)),"",IF(ISBLANK(OFFSET('Mock Database'!$AE$2,MATCH($A354,'Mock Database'!$C$3:$C$152,0),0)),"",INDEX('Mock Database'!$AE$3:$AE$152,MATCH($A354,'Mock Database'!$C$3:$C$152,0))))</f>
        <v/>
      </c>
      <c r="K354" s="22" t="str">
        <f ca="1">IF(ISNA(MATCH($A354,'Mock Database'!$C$3:$C$152,0)),"",IF(ISBLANK(OFFSET('Mock Database'!$AF$2,MATCH($A354,'Mock Database'!$C$3:$C$152,0),0)),"",INDEX('Mock Database'!$AF$3:$AF$152,MATCH($A354,'Mock Database'!$C$3:$C$152,0))))</f>
        <v/>
      </c>
      <c r="N354" t="e">
        <f t="shared" si="55"/>
        <v>#N/A</v>
      </c>
      <c r="O354" s="89" t="e">
        <f t="shared" ca="1" si="56"/>
        <v>#N/A</v>
      </c>
      <c r="P354" s="22" t="e">
        <f t="shared" ca="1" si="57"/>
        <v>#N/A</v>
      </c>
      <c r="Q354" s="89" t="e">
        <f t="shared" ca="1" si="58"/>
        <v>#N/A</v>
      </c>
      <c r="R354" s="22" t="e">
        <f t="shared" ca="1" si="59"/>
        <v>#N/A</v>
      </c>
      <c r="S354" s="89" t="e">
        <f t="shared" ca="1" si="60"/>
        <v>#N/A</v>
      </c>
      <c r="T354" s="22" t="e">
        <f t="shared" ca="1" si="61"/>
        <v>#N/A</v>
      </c>
      <c r="U354" s="89" t="e">
        <f t="shared" ca="1" si="62"/>
        <v>#N/A</v>
      </c>
      <c r="V354" s="22" t="e">
        <f t="shared" ca="1" si="63"/>
        <v>#N/A</v>
      </c>
      <c r="AM354" t="e">
        <f t="shared" si="64"/>
        <v>#N/A</v>
      </c>
      <c r="AN354" t="e">
        <f t="shared" ca="1" si="65"/>
        <v>#N/A</v>
      </c>
    </row>
    <row r="355" spans="1:40" x14ac:dyDescent="0.3">
      <c r="A355" s="87">
        <v>354</v>
      </c>
      <c r="B355" t="str">
        <f>IFERROR(INDEX('Mock Database'!$D$3:$D$152,MATCH($A355,'Mock Database'!$C$3:$C$152,0)),"")</f>
        <v/>
      </c>
      <c r="C355" s="88" t="str">
        <f>IFERROR(INDEX('Mock Database'!$I$3:$I$152,MATCH($A355,'Mock Database'!$C$3:$C$152,0)),"")</f>
        <v/>
      </c>
      <c r="D355" s="89" t="str">
        <f ca="1">IF(ISNA(MATCH($A355,'Mock Database'!$C$3:$C$152,0)),"",IF(ISBLANK(OFFSET('Mock Database'!$M$2,MATCH($A355,'Mock Database'!$C$3:$C$152,0),0)),"",INDEX('Mock Database'!$M$3:$M$152,MATCH($A355,'Mock Database'!$C$3:$C$152,0))))</f>
        <v/>
      </c>
      <c r="E355" s="22" t="str">
        <f ca="1">IF(ISNA(MATCH($A355,'Mock Database'!$C$3:$C$152,0)),"",IF(ISBLANK(OFFSET('Mock Database'!$N$2,MATCH($A355,'Mock Database'!$C$3:$C$152,0),0)),"",INDEX('Mock Database'!$N$3:$N$152,MATCH($A355,'Mock Database'!$C$3:$C$152,0))))</f>
        <v/>
      </c>
      <c r="F355" s="89" t="str">
        <f ca="1">IF(ISNA(MATCH($A355,'Mock Database'!$C$3:$C$152,0)),"",IF(ISBLANK(OFFSET('Mock Database'!$S$2,MATCH($A355,'Mock Database'!$C$3:$C$152,0),0)),"",INDEX('Mock Database'!$S$3:$S$152,MATCH($A355,'Mock Database'!$C$3:$C$152,0))))</f>
        <v/>
      </c>
      <c r="G355" s="22" t="str">
        <f ca="1">IF(ISNA(MATCH($A355,'Mock Database'!$C$3:$C$152,0)),"",IF(ISBLANK(OFFSET('Mock Database'!$T$2,MATCH($A355,'Mock Database'!$C$3:$C$152,0),0)),"",INDEX('Mock Database'!$T$3:$T$152,MATCH($A355,'Mock Database'!$C$3:$C$152,0))))</f>
        <v/>
      </c>
      <c r="H355" s="89" t="str">
        <f ca="1">IF(ISNA(MATCH($A355,'Mock Database'!$C$3:$C$152,0)),"",IF(ISBLANK(OFFSET('Mock Database'!$Y$2,MATCH($A355,'Mock Database'!$C$3:$C$152,0),0)),"",INDEX('Mock Database'!$Y$3:$Y$152,MATCH($A355,'Mock Database'!$C$3:$C$152,0))))</f>
        <v/>
      </c>
      <c r="I355" s="22" t="str">
        <f ca="1">IF(ISNA(MATCH($A355,'Mock Database'!$C$3:$C$152,0)),"",IF(ISBLANK(OFFSET('Mock Database'!$Z$2,MATCH($A355,'Mock Database'!$C$3:$C$152,0),0)),"",INDEX('Mock Database'!$Z$3:$Z$152,MATCH($A355,'Mock Database'!$C$3:$C$152,0))))</f>
        <v/>
      </c>
      <c r="J355" s="89" t="str">
        <f ca="1">IF(ISNA(MATCH($A355,'Mock Database'!$C$3:$C$152,0)),"",IF(ISBLANK(OFFSET('Mock Database'!$AE$2,MATCH($A355,'Mock Database'!$C$3:$C$152,0),0)),"",INDEX('Mock Database'!$AE$3:$AE$152,MATCH($A355,'Mock Database'!$C$3:$C$152,0))))</f>
        <v/>
      </c>
      <c r="K355" s="22" t="str">
        <f ca="1">IF(ISNA(MATCH($A355,'Mock Database'!$C$3:$C$152,0)),"",IF(ISBLANK(OFFSET('Mock Database'!$AF$2,MATCH($A355,'Mock Database'!$C$3:$C$152,0),0)),"",INDEX('Mock Database'!$AF$3:$AF$152,MATCH($A355,'Mock Database'!$C$3:$C$152,0))))</f>
        <v/>
      </c>
      <c r="N355" t="e">
        <f t="shared" si="55"/>
        <v>#N/A</v>
      </c>
      <c r="O355" s="89" t="e">
        <f t="shared" ca="1" si="56"/>
        <v>#N/A</v>
      </c>
      <c r="P355" s="22" t="e">
        <f t="shared" ca="1" si="57"/>
        <v>#N/A</v>
      </c>
      <c r="Q355" s="89" t="e">
        <f t="shared" ca="1" si="58"/>
        <v>#N/A</v>
      </c>
      <c r="R355" s="22" t="e">
        <f t="shared" ca="1" si="59"/>
        <v>#N/A</v>
      </c>
      <c r="S355" s="89" t="e">
        <f t="shared" ca="1" si="60"/>
        <v>#N/A</v>
      </c>
      <c r="T355" s="22" t="e">
        <f t="shared" ca="1" si="61"/>
        <v>#N/A</v>
      </c>
      <c r="U355" s="89" t="e">
        <f t="shared" ca="1" si="62"/>
        <v>#N/A</v>
      </c>
      <c r="V355" s="22" t="e">
        <f t="shared" ca="1" si="63"/>
        <v>#N/A</v>
      </c>
      <c r="AM355" t="e">
        <f t="shared" si="64"/>
        <v>#N/A</v>
      </c>
      <c r="AN355" t="e">
        <f t="shared" ca="1" si="65"/>
        <v>#N/A</v>
      </c>
    </row>
    <row r="356" spans="1:40" x14ac:dyDescent="0.3">
      <c r="A356" s="87">
        <v>355</v>
      </c>
      <c r="B356" t="str">
        <f>IFERROR(INDEX('Mock Database'!$D$3:$D$152,MATCH($A356,'Mock Database'!$C$3:$C$152,0)),"")</f>
        <v/>
      </c>
      <c r="C356" s="88" t="str">
        <f>IFERROR(INDEX('Mock Database'!$I$3:$I$152,MATCH($A356,'Mock Database'!$C$3:$C$152,0)),"")</f>
        <v/>
      </c>
      <c r="D356" s="89" t="str">
        <f ca="1">IF(ISNA(MATCH($A356,'Mock Database'!$C$3:$C$152,0)),"",IF(ISBLANK(OFFSET('Mock Database'!$M$2,MATCH($A356,'Mock Database'!$C$3:$C$152,0),0)),"",INDEX('Mock Database'!$M$3:$M$152,MATCH($A356,'Mock Database'!$C$3:$C$152,0))))</f>
        <v/>
      </c>
      <c r="E356" s="22" t="str">
        <f ca="1">IF(ISNA(MATCH($A356,'Mock Database'!$C$3:$C$152,0)),"",IF(ISBLANK(OFFSET('Mock Database'!$N$2,MATCH($A356,'Mock Database'!$C$3:$C$152,0),0)),"",INDEX('Mock Database'!$N$3:$N$152,MATCH($A356,'Mock Database'!$C$3:$C$152,0))))</f>
        <v/>
      </c>
      <c r="F356" s="89" t="str">
        <f ca="1">IF(ISNA(MATCH($A356,'Mock Database'!$C$3:$C$152,0)),"",IF(ISBLANK(OFFSET('Mock Database'!$S$2,MATCH($A356,'Mock Database'!$C$3:$C$152,0),0)),"",INDEX('Mock Database'!$S$3:$S$152,MATCH($A356,'Mock Database'!$C$3:$C$152,0))))</f>
        <v/>
      </c>
      <c r="G356" s="22" t="str">
        <f ca="1">IF(ISNA(MATCH($A356,'Mock Database'!$C$3:$C$152,0)),"",IF(ISBLANK(OFFSET('Mock Database'!$T$2,MATCH($A356,'Mock Database'!$C$3:$C$152,0),0)),"",INDEX('Mock Database'!$T$3:$T$152,MATCH($A356,'Mock Database'!$C$3:$C$152,0))))</f>
        <v/>
      </c>
      <c r="H356" s="89" t="str">
        <f ca="1">IF(ISNA(MATCH($A356,'Mock Database'!$C$3:$C$152,0)),"",IF(ISBLANK(OFFSET('Mock Database'!$Y$2,MATCH($A356,'Mock Database'!$C$3:$C$152,0),0)),"",INDEX('Mock Database'!$Y$3:$Y$152,MATCH($A356,'Mock Database'!$C$3:$C$152,0))))</f>
        <v/>
      </c>
      <c r="I356" s="22" t="str">
        <f ca="1">IF(ISNA(MATCH($A356,'Mock Database'!$C$3:$C$152,0)),"",IF(ISBLANK(OFFSET('Mock Database'!$Z$2,MATCH($A356,'Mock Database'!$C$3:$C$152,0),0)),"",INDEX('Mock Database'!$Z$3:$Z$152,MATCH($A356,'Mock Database'!$C$3:$C$152,0))))</f>
        <v/>
      </c>
      <c r="J356" s="89" t="str">
        <f ca="1">IF(ISNA(MATCH($A356,'Mock Database'!$C$3:$C$152,0)),"",IF(ISBLANK(OFFSET('Mock Database'!$AE$2,MATCH($A356,'Mock Database'!$C$3:$C$152,0),0)),"",INDEX('Mock Database'!$AE$3:$AE$152,MATCH($A356,'Mock Database'!$C$3:$C$152,0))))</f>
        <v/>
      </c>
      <c r="K356" s="22" t="str">
        <f ca="1">IF(ISNA(MATCH($A356,'Mock Database'!$C$3:$C$152,0)),"",IF(ISBLANK(OFFSET('Mock Database'!$AF$2,MATCH($A356,'Mock Database'!$C$3:$C$152,0),0)),"",INDEX('Mock Database'!$AF$3:$AF$152,MATCH($A356,'Mock Database'!$C$3:$C$152,0))))</f>
        <v/>
      </c>
      <c r="N356" t="e">
        <f t="shared" si="55"/>
        <v>#N/A</v>
      </c>
      <c r="O356" s="89" t="e">
        <f t="shared" ca="1" si="56"/>
        <v>#N/A</v>
      </c>
      <c r="P356" s="22" t="e">
        <f t="shared" ca="1" si="57"/>
        <v>#N/A</v>
      </c>
      <c r="Q356" s="89" t="e">
        <f t="shared" ca="1" si="58"/>
        <v>#N/A</v>
      </c>
      <c r="R356" s="22" t="e">
        <f t="shared" ca="1" si="59"/>
        <v>#N/A</v>
      </c>
      <c r="S356" s="89" t="e">
        <f t="shared" ca="1" si="60"/>
        <v>#N/A</v>
      </c>
      <c r="T356" s="22" t="e">
        <f t="shared" ca="1" si="61"/>
        <v>#N/A</v>
      </c>
      <c r="U356" s="89" t="e">
        <f t="shared" ca="1" si="62"/>
        <v>#N/A</v>
      </c>
      <c r="V356" s="22" t="e">
        <f t="shared" ca="1" si="63"/>
        <v>#N/A</v>
      </c>
      <c r="AM356" t="e">
        <f t="shared" si="64"/>
        <v>#N/A</v>
      </c>
      <c r="AN356" t="e">
        <f t="shared" ca="1" si="65"/>
        <v>#N/A</v>
      </c>
    </row>
    <row r="357" spans="1:40" x14ac:dyDescent="0.3">
      <c r="A357" s="87">
        <v>356</v>
      </c>
      <c r="B357" t="str">
        <f>IFERROR(INDEX('Mock Database'!$D$3:$D$152,MATCH($A357,'Mock Database'!$C$3:$C$152,0)),"")</f>
        <v/>
      </c>
      <c r="C357" s="88" t="str">
        <f>IFERROR(INDEX('Mock Database'!$I$3:$I$152,MATCH($A357,'Mock Database'!$C$3:$C$152,0)),"")</f>
        <v/>
      </c>
      <c r="D357" s="89" t="str">
        <f ca="1">IF(ISNA(MATCH($A357,'Mock Database'!$C$3:$C$152,0)),"",IF(ISBLANK(OFFSET('Mock Database'!$M$2,MATCH($A357,'Mock Database'!$C$3:$C$152,0),0)),"",INDEX('Mock Database'!$M$3:$M$152,MATCH($A357,'Mock Database'!$C$3:$C$152,0))))</f>
        <v/>
      </c>
      <c r="E357" s="22" t="str">
        <f ca="1">IF(ISNA(MATCH($A357,'Mock Database'!$C$3:$C$152,0)),"",IF(ISBLANK(OFFSET('Mock Database'!$N$2,MATCH($A357,'Mock Database'!$C$3:$C$152,0),0)),"",INDEX('Mock Database'!$N$3:$N$152,MATCH($A357,'Mock Database'!$C$3:$C$152,0))))</f>
        <v/>
      </c>
      <c r="F357" s="89" t="str">
        <f ca="1">IF(ISNA(MATCH($A357,'Mock Database'!$C$3:$C$152,0)),"",IF(ISBLANK(OFFSET('Mock Database'!$S$2,MATCH($A357,'Mock Database'!$C$3:$C$152,0),0)),"",INDEX('Mock Database'!$S$3:$S$152,MATCH($A357,'Mock Database'!$C$3:$C$152,0))))</f>
        <v/>
      </c>
      <c r="G357" s="22" t="str">
        <f ca="1">IF(ISNA(MATCH($A357,'Mock Database'!$C$3:$C$152,0)),"",IF(ISBLANK(OFFSET('Mock Database'!$T$2,MATCH($A357,'Mock Database'!$C$3:$C$152,0),0)),"",INDEX('Mock Database'!$T$3:$T$152,MATCH($A357,'Mock Database'!$C$3:$C$152,0))))</f>
        <v/>
      </c>
      <c r="H357" s="89" t="str">
        <f ca="1">IF(ISNA(MATCH($A357,'Mock Database'!$C$3:$C$152,0)),"",IF(ISBLANK(OFFSET('Mock Database'!$Y$2,MATCH($A357,'Mock Database'!$C$3:$C$152,0),0)),"",INDEX('Mock Database'!$Y$3:$Y$152,MATCH($A357,'Mock Database'!$C$3:$C$152,0))))</f>
        <v/>
      </c>
      <c r="I357" s="22" t="str">
        <f ca="1">IF(ISNA(MATCH($A357,'Mock Database'!$C$3:$C$152,0)),"",IF(ISBLANK(OFFSET('Mock Database'!$Z$2,MATCH($A357,'Mock Database'!$C$3:$C$152,0),0)),"",INDEX('Mock Database'!$Z$3:$Z$152,MATCH($A357,'Mock Database'!$C$3:$C$152,0))))</f>
        <v/>
      </c>
      <c r="J357" s="89" t="str">
        <f ca="1">IF(ISNA(MATCH($A357,'Mock Database'!$C$3:$C$152,0)),"",IF(ISBLANK(OFFSET('Mock Database'!$AE$2,MATCH($A357,'Mock Database'!$C$3:$C$152,0),0)),"",INDEX('Mock Database'!$AE$3:$AE$152,MATCH($A357,'Mock Database'!$C$3:$C$152,0))))</f>
        <v/>
      </c>
      <c r="K357" s="22" t="str">
        <f ca="1">IF(ISNA(MATCH($A357,'Mock Database'!$C$3:$C$152,0)),"",IF(ISBLANK(OFFSET('Mock Database'!$AF$2,MATCH($A357,'Mock Database'!$C$3:$C$152,0),0)),"",INDEX('Mock Database'!$AF$3:$AF$152,MATCH($A357,'Mock Database'!$C$3:$C$152,0))))</f>
        <v/>
      </c>
      <c r="N357" t="e">
        <f t="shared" si="55"/>
        <v>#N/A</v>
      </c>
      <c r="O357" s="89" t="e">
        <f t="shared" ca="1" si="56"/>
        <v>#N/A</v>
      </c>
      <c r="P357" s="22" t="e">
        <f t="shared" ca="1" si="57"/>
        <v>#N/A</v>
      </c>
      <c r="Q357" s="89" t="e">
        <f t="shared" ca="1" si="58"/>
        <v>#N/A</v>
      </c>
      <c r="R357" s="22" t="e">
        <f t="shared" ca="1" si="59"/>
        <v>#N/A</v>
      </c>
      <c r="S357" s="89" t="e">
        <f t="shared" ca="1" si="60"/>
        <v>#N/A</v>
      </c>
      <c r="T357" s="22" t="e">
        <f t="shared" ca="1" si="61"/>
        <v>#N/A</v>
      </c>
      <c r="U357" s="89" t="e">
        <f t="shared" ca="1" si="62"/>
        <v>#N/A</v>
      </c>
      <c r="V357" s="22" t="e">
        <f t="shared" ca="1" si="63"/>
        <v>#N/A</v>
      </c>
      <c r="AM357" t="e">
        <f t="shared" si="64"/>
        <v>#N/A</v>
      </c>
      <c r="AN357" t="e">
        <f t="shared" ca="1" si="65"/>
        <v>#N/A</v>
      </c>
    </row>
    <row r="358" spans="1:40" x14ac:dyDescent="0.3">
      <c r="A358" s="87">
        <v>357</v>
      </c>
      <c r="B358" t="str">
        <f>IFERROR(INDEX('Mock Database'!$D$3:$D$152,MATCH($A358,'Mock Database'!$C$3:$C$152,0)),"")</f>
        <v/>
      </c>
      <c r="C358" s="88" t="str">
        <f>IFERROR(INDEX('Mock Database'!$I$3:$I$152,MATCH($A358,'Mock Database'!$C$3:$C$152,0)),"")</f>
        <v/>
      </c>
      <c r="D358" s="89" t="str">
        <f ca="1">IF(ISNA(MATCH($A358,'Mock Database'!$C$3:$C$152,0)),"",IF(ISBLANK(OFFSET('Mock Database'!$M$2,MATCH($A358,'Mock Database'!$C$3:$C$152,0),0)),"",INDEX('Mock Database'!$M$3:$M$152,MATCH($A358,'Mock Database'!$C$3:$C$152,0))))</f>
        <v/>
      </c>
      <c r="E358" s="22" t="str">
        <f ca="1">IF(ISNA(MATCH($A358,'Mock Database'!$C$3:$C$152,0)),"",IF(ISBLANK(OFFSET('Mock Database'!$N$2,MATCH($A358,'Mock Database'!$C$3:$C$152,0),0)),"",INDEX('Mock Database'!$N$3:$N$152,MATCH($A358,'Mock Database'!$C$3:$C$152,0))))</f>
        <v/>
      </c>
      <c r="F358" s="89" t="str">
        <f ca="1">IF(ISNA(MATCH($A358,'Mock Database'!$C$3:$C$152,0)),"",IF(ISBLANK(OFFSET('Mock Database'!$S$2,MATCH($A358,'Mock Database'!$C$3:$C$152,0),0)),"",INDEX('Mock Database'!$S$3:$S$152,MATCH($A358,'Mock Database'!$C$3:$C$152,0))))</f>
        <v/>
      </c>
      <c r="G358" s="22" t="str">
        <f ca="1">IF(ISNA(MATCH($A358,'Mock Database'!$C$3:$C$152,0)),"",IF(ISBLANK(OFFSET('Mock Database'!$T$2,MATCH($A358,'Mock Database'!$C$3:$C$152,0),0)),"",INDEX('Mock Database'!$T$3:$T$152,MATCH($A358,'Mock Database'!$C$3:$C$152,0))))</f>
        <v/>
      </c>
      <c r="H358" s="89" t="str">
        <f ca="1">IF(ISNA(MATCH($A358,'Mock Database'!$C$3:$C$152,0)),"",IF(ISBLANK(OFFSET('Mock Database'!$Y$2,MATCH($A358,'Mock Database'!$C$3:$C$152,0),0)),"",INDEX('Mock Database'!$Y$3:$Y$152,MATCH($A358,'Mock Database'!$C$3:$C$152,0))))</f>
        <v/>
      </c>
      <c r="I358" s="22" t="str">
        <f ca="1">IF(ISNA(MATCH($A358,'Mock Database'!$C$3:$C$152,0)),"",IF(ISBLANK(OFFSET('Mock Database'!$Z$2,MATCH($A358,'Mock Database'!$C$3:$C$152,0),0)),"",INDEX('Mock Database'!$Z$3:$Z$152,MATCH($A358,'Mock Database'!$C$3:$C$152,0))))</f>
        <v/>
      </c>
      <c r="J358" s="89" t="str">
        <f ca="1">IF(ISNA(MATCH($A358,'Mock Database'!$C$3:$C$152,0)),"",IF(ISBLANK(OFFSET('Mock Database'!$AE$2,MATCH($A358,'Mock Database'!$C$3:$C$152,0),0)),"",INDEX('Mock Database'!$AE$3:$AE$152,MATCH($A358,'Mock Database'!$C$3:$C$152,0))))</f>
        <v/>
      </c>
      <c r="K358" s="22" t="str">
        <f ca="1">IF(ISNA(MATCH($A358,'Mock Database'!$C$3:$C$152,0)),"",IF(ISBLANK(OFFSET('Mock Database'!$AF$2,MATCH($A358,'Mock Database'!$C$3:$C$152,0),0)),"",INDEX('Mock Database'!$AF$3:$AF$152,MATCH($A358,'Mock Database'!$C$3:$C$152,0))))</f>
        <v/>
      </c>
      <c r="N358" t="e">
        <f t="shared" si="55"/>
        <v>#N/A</v>
      </c>
      <c r="O358" s="89" t="e">
        <f t="shared" ca="1" si="56"/>
        <v>#N/A</v>
      </c>
      <c r="P358" s="22" t="e">
        <f t="shared" ca="1" si="57"/>
        <v>#N/A</v>
      </c>
      <c r="Q358" s="89" t="e">
        <f t="shared" ca="1" si="58"/>
        <v>#N/A</v>
      </c>
      <c r="R358" s="22" t="e">
        <f t="shared" ca="1" si="59"/>
        <v>#N/A</v>
      </c>
      <c r="S358" s="89" t="e">
        <f t="shared" ca="1" si="60"/>
        <v>#N/A</v>
      </c>
      <c r="T358" s="22" t="e">
        <f t="shared" ca="1" si="61"/>
        <v>#N/A</v>
      </c>
      <c r="U358" s="89" t="e">
        <f t="shared" ca="1" si="62"/>
        <v>#N/A</v>
      </c>
      <c r="V358" s="22" t="e">
        <f t="shared" ca="1" si="63"/>
        <v>#N/A</v>
      </c>
      <c r="AM358" t="e">
        <f t="shared" si="64"/>
        <v>#N/A</v>
      </c>
      <c r="AN358" t="e">
        <f t="shared" ca="1" si="65"/>
        <v>#N/A</v>
      </c>
    </row>
    <row r="359" spans="1:40" x14ac:dyDescent="0.3">
      <c r="A359" s="87">
        <v>358</v>
      </c>
      <c r="B359" t="str">
        <f>IFERROR(INDEX('Mock Database'!$D$3:$D$152,MATCH($A359,'Mock Database'!$C$3:$C$152,0)),"")</f>
        <v/>
      </c>
      <c r="C359" s="88" t="str">
        <f>IFERROR(INDEX('Mock Database'!$I$3:$I$152,MATCH($A359,'Mock Database'!$C$3:$C$152,0)),"")</f>
        <v/>
      </c>
      <c r="D359" s="89" t="str">
        <f ca="1">IF(ISNA(MATCH($A359,'Mock Database'!$C$3:$C$152,0)),"",IF(ISBLANK(OFFSET('Mock Database'!$M$2,MATCH($A359,'Mock Database'!$C$3:$C$152,0),0)),"",INDEX('Mock Database'!$M$3:$M$152,MATCH($A359,'Mock Database'!$C$3:$C$152,0))))</f>
        <v/>
      </c>
      <c r="E359" s="22" t="str">
        <f ca="1">IF(ISNA(MATCH($A359,'Mock Database'!$C$3:$C$152,0)),"",IF(ISBLANK(OFFSET('Mock Database'!$N$2,MATCH($A359,'Mock Database'!$C$3:$C$152,0),0)),"",INDEX('Mock Database'!$N$3:$N$152,MATCH($A359,'Mock Database'!$C$3:$C$152,0))))</f>
        <v/>
      </c>
      <c r="F359" s="89" t="str">
        <f ca="1">IF(ISNA(MATCH($A359,'Mock Database'!$C$3:$C$152,0)),"",IF(ISBLANK(OFFSET('Mock Database'!$S$2,MATCH($A359,'Mock Database'!$C$3:$C$152,0),0)),"",INDEX('Mock Database'!$S$3:$S$152,MATCH($A359,'Mock Database'!$C$3:$C$152,0))))</f>
        <v/>
      </c>
      <c r="G359" s="22" t="str">
        <f ca="1">IF(ISNA(MATCH($A359,'Mock Database'!$C$3:$C$152,0)),"",IF(ISBLANK(OFFSET('Mock Database'!$T$2,MATCH($A359,'Mock Database'!$C$3:$C$152,0),0)),"",INDEX('Mock Database'!$T$3:$T$152,MATCH($A359,'Mock Database'!$C$3:$C$152,0))))</f>
        <v/>
      </c>
      <c r="H359" s="89" t="str">
        <f ca="1">IF(ISNA(MATCH($A359,'Mock Database'!$C$3:$C$152,0)),"",IF(ISBLANK(OFFSET('Mock Database'!$Y$2,MATCH($A359,'Mock Database'!$C$3:$C$152,0),0)),"",INDEX('Mock Database'!$Y$3:$Y$152,MATCH($A359,'Mock Database'!$C$3:$C$152,0))))</f>
        <v/>
      </c>
      <c r="I359" s="22" t="str">
        <f ca="1">IF(ISNA(MATCH($A359,'Mock Database'!$C$3:$C$152,0)),"",IF(ISBLANK(OFFSET('Mock Database'!$Z$2,MATCH($A359,'Mock Database'!$C$3:$C$152,0),0)),"",INDEX('Mock Database'!$Z$3:$Z$152,MATCH($A359,'Mock Database'!$C$3:$C$152,0))))</f>
        <v/>
      </c>
      <c r="J359" s="89" t="str">
        <f ca="1">IF(ISNA(MATCH($A359,'Mock Database'!$C$3:$C$152,0)),"",IF(ISBLANK(OFFSET('Mock Database'!$AE$2,MATCH($A359,'Mock Database'!$C$3:$C$152,0),0)),"",INDEX('Mock Database'!$AE$3:$AE$152,MATCH($A359,'Mock Database'!$C$3:$C$152,0))))</f>
        <v/>
      </c>
      <c r="K359" s="22" t="str">
        <f ca="1">IF(ISNA(MATCH($A359,'Mock Database'!$C$3:$C$152,0)),"",IF(ISBLANK(OFFSET('Mock Database'!$AF$2,MATCH($A359,'Mock Database'!$C$3:$C$152,0),0)),"",INDEX('Mock Database'!$AF$3:$AF$152,MATCH($A359,'Mock Database'!$C$3:$C$152,0))))</f>
        <v/>
      </c>
      <c r="N359" t="e">
        <f t="shared" si="55"/>
        <v>#N/A</v>
      </c>
      <c r="O359" s="89" t="e">
        <f t="shared" ca="1" si="56"/>
        <v>#N/A</v>
      </c>
      <c r="P359" s="22" t="e">
        <f t="shared" ca="1" si="57"/>
        <v>#N/A</v>
      </c>
      <c r="Q359" s="89" t="e">
        <f t="shared" ca="1" si="58"/>
        <v>#N/A</v>
      </c>
      <c r="R359" s="22" t="e">
        <f t="shared" ca="1" si="59"/>
        <v>#N/A</v>
      </c>
      <c r="S359" s="89" t="e">
        <f t="shared" ca="1" si="60"/>
        <v>#N/A</v>
      </c>
      <c r="T359" s="22" t="e">
        <f t="shared" ca="1" si="61"/>
        <v>#N/A</v>
      </c>
      <c r="U359" s="89" t="e">
        <f t="shared" ca="1" si="62"/>
        <v>#N/A</v>
      </c>
      <c r="V359" s="22" t="e">
        <f t="shared" ca="1" si="63"/>
        <v>#N/A</v>
      </c>
      <c r="AM359" t="e">
        <f t="shared" si="64"/>
        <v>#N/A</v>
      </c>
      <c r="AN359" t="e">
        <f t="shared" ca="1" si="65"/>
        <v>#N/A</v>
      </c>
    </row>
    <row r="360" spans="1:40" x14ac:dyDescent="0.3">
      <c r="A360" s="87">
        <v>359</v>
      </c>
      <c r="B360" t="str">
        <f>IFERROR(INDEX('Mock Database'!$D$3:$D$152,MATCH($A360,'Mock Database'!$C$3:$C$152,0)),"")</f>
        <v/>
      </c>
      <c r="C360" s="88" t="str">
        <f>IFERROR(INDEX('Mock Database'!$I$3:$I$152,MATCH($A360,'Mock Database'!$C$3:$C$152,0)),"")</f>
        <v/>
      </c>
      <c r="D360" s="89" t="str">
        <f ca="1">IF(ISNA(MATCH($A360,'Mock Database'!$C$3:$C$152,0)),"",IF(ISBLANK(OFFSET('Mock Database'!$M$2,MATCH($A360,'Mock Database'!$C$3:$C$152,0),0)),"",INDEX('Mock Database'!$M$3:$M$152,MATCH($A360,'Mock Database'!$C$3:$C$152,0))))</f>
        <v/>
      </c>
      <c r="E360" s="22" t="str">
        <f ca="1">IF(ISNA(MATCH($A360,'Mock Database'!$C$3:$C$152,0)),"",IF(ISBLANK(OFFSET('Mock Database'!$N$2,MATCH($A360,'Mock Database'!$C$3:$C$152,0),0)),"",INDEX('Mock Database'!$N$3:$N$152,MATCH($A360,'Mock Database'!$C$3:$C$152,0))))</f>
        <v/>
      </c>
      <c r="F360" s="89" t="str">
        <f ca="1">IF(ISNA(MATCH($A360,'Mock Database'!$C$3:$C$152,0)),"",IF(ISBLANK(OFFSET('Mock Database'!$S$2,MATCH($A360,'Mock Database'!$C$3:$C$152,0),0)),"",INDEX('Mock Database'!$S$3:$S$152,MATCH($A360,'Mock Database'!$C$3:$C$152,0))))</f>
        <v/>
      </c>
      <c r="G360" s="22" t="str">
        <f ca="1">IF(ISNA(MATCH($A360,'Mock Database'!$C$3:$C$152,0)),"",IF(ISBLANK(OFFSET('Mock Database'!$T$2,MATCH($A360,'Mock Database'!$C$3:$C$152,0),0)),"",INDEX('Mock Database'!$T$3:$T$152,MATCH($A360,'Mock Database'!$C$3:$C$152,0))))</f>
        <v/>
      </c>
      <c r="H360" s="89" t="str">
        <f ca="1">IF(ISNA(MATCH($A360,'Mock Database'!$C$3:$C$152,0)),"",IF(ISBLANK(OFFSET('Mock Database'!$Y$2,MATCH($A360,'Mock Database'!$C$3:$C$152,0),0)),"",INDEX('Mock Database'!$Y$3:$Y$152,MATCH($A360,'Mock Database'!$C$3:$C$152,0))))</f>
        <v/>
      </c>
      <c r="I360" s="22" t="str">
        <f ca="1">IF(ISNA(MATCH($A360,'Mock Database'!$C$3:$C$152,0)),"",IF(ISBLANK(OFFSET('Mock Database'!$Z$2,MATCH($A360,'Mock Database'!$C$3:$C$152,0),0)),"",INDEX('Mock Database'!$Z$3:$Z$152,MATCH($A360,'Mock Database'!$C$3:$C$152,0))))</f>
        <v/>
      </c>
      <c r="J360" s="89" t="str">
        <f ca="1">IF(ISNA(MATCH($A360,'Mock Database'!$C$3:$C$152,0)),"",IF(ISBLANK(OFFSET('Mock Database'!$AE$2,MATCH($A360,'Mock Database'!$C$3:$C$152,0),0)),"",INDEX('Mock Database'!$AE$3:$AE$152,MATCH($A360,'Mock Database'!$C$3:$C$152,0))))</f>
        <v/>
      </c>
      <c r="K360" s="22" t="str">
        <f ca="1">IF(ISNA(MATCH($A360,'Mock Database'!$C$3:$C$152,0)),"",IF(ISBLANK(OFFSET('Mock Database'!$AF$2,MATCH($A360,'Mock Database'!$C$3:$C$152,0),0)),"",INDEX('Mock Database'!$AF$3:$AF$152,MATCH($A360,'Mock Database'!$C$3:$C$152,0))))</f>
        <v/>
      </c>
      <c r="N360" t="e">
        <f t="shared" si="55"/>
        <v>#N/A</v>
      </c>
      <c r="O360" s="89" t="e">
        <f t="shared" ca="1" si="56"/>
        <v>#N/A</v>
      </c>
      <c r="P360" s="22" t="e">
        <f t="shared" ca="1" si="57"/>
        <v>#N/A</v>
      </c>
      <c r="Q360" s="89" t="e">
        <f t="shared" ca="1" si="58"/>
        <v>#N/A</v>
      </c>
      <c r="R360" s="22" t="e">
        <f t="shared" ca="1" si="59"/>
        <v>#N/A</v>
      </c>
      <c r="S360" s="89" t="e">
        <f t="shared" ca="1" si="60"/>
        <v>#N/A</v>
      </c>
      <c r="T360" s="22" t="e">
        <f t="shared" ca="1" si="61"/>
        <v>#N/A</v>
      </c>
      <c r="U360" s="89" t="e">
        <f t="shared" ca="1" si="62"/>
        <v>#N/A</v>
      </c>
      <c r="V360" s="22" t="e">
        <f t="shared" ca="1" si="63"/>
        <v>#N/A</v>
      </c>
      <c r="AM360" t="e">
        <f t="shared" si="64"/>
        <v>#N/A</v>
      </c>
      <c r="AN360" t="e">
        <f t="shared" ca="1" si="65"/>
        <v>#N/A</v>
      </c>
    </row>
    <row r="361" spans="1:40" x14ac:dyDescent="0.3">
      <c r="A361" s="87">
        <v>360</v>
      </c>
      <c r="B361" t="str">
        <f>IFERROR(INDEX('Mock Database'!$D$3:$D$152,MATCH($A361,'Mock Database'!$C$3:$C$152,0)),"")</f>
        <v/>
      </c>
      <c r="C361" s="88" t="str">
        <f>IFERROR(INDEX('Mock Database'!$I$3:$I$152,MATCH($A361,'Mock Database'!$C$3:$C$152,0)),"")</f>
        <v/>
      </c>
      <c r="D361" s="89" t="str">
        <f ca="1">IF(ISNA(MATCH($A361,'Mock Database'!$C$3:$C$152,0)),"",IF(ISBLANK(OFFSET('Mock Database'!$M$2,MATCH($A361,'Mock Database'!$C$3:$C$152,0),0)),"",INDEX('Mock Database'!$M$3:$M$152,MATCH($A361,'Mock Database'!$C$3:$C$152,0))))</f>
        <v/>
      </c>
      <c r="E361" s="22" t="str">
        <f ca="1">IF(ISNA(MATCH($A361,'Mock Database'!$C$3:$C$152,0)),"",IF(ISBLANK(OFFSET('Mock Database'!$N$2,MATCH($A361,'Mock Database'!$C$3:$C$152,0),0)),"",INDEX('Mock Database'!$N$3:$N$152,MATCH($A361,'Mock Database'!$C$3:$C$152,0))))</f>
        <v/>
      </c>
      <c r="F361" s="89" t="str">
        <f ca="1">IF(ISNA(MATCH($A361,'Mock Database'!$C$3:$C$152,0)),"",IF(ISBLANK(OFFSET('Mock Database'!$S$2,MATCH($A361,'Mock Database'!$C$3:$C$152,0),0)),"",INDEX('Mock Database'!$S$3:$S$152,MATCH($A361,'Mock Database'!$C$3:$C$152,0))))</f>
        <v/>
      </c>
      <c r="G361" s="22" t="str">
        <f ca="1">IF(ISNA(MATCH($A361,'Mock Database'!$C$3:$C$152,0)),"",IF(ISBLANK(OFFSET('Mock Database'!$T$2,MATCH($A361,'Mock Database'!$C$3:$C$152,0),0)),"",INDEX('Mock Database'!$T$3:$T$152,MATCH($A361,'Mock Database'!$C$3:$C$152,0))))</f>
        <v/>
      </c>
      <c r="H361" s="89" t="str">
        <f ca="1">IF(ISNA(MATCH($A361,'Mock Database'!$C$3:$C$152,0)),"",IF(ISBLANK(OFFSET('Mock Database'!$Y$2,MATCH($A361,'Mock Database'!$C$3:$C$152,0),0)),"",INDEX('Mock Database'!$Y$3:$Y$152,MATCH($A361,'Mock Database'!$C$3:$C$152,0))))</f>
        <v/>
      </c>
      <c r="I361" s="22" t="str">
        <f ca="1">IF(ISNA(MATCH($A361,'Mock Database'!$C$3:$C$152,0)),"",IF(ISBLANK(OFFSET('Mock Database'!$Z$2,MATCH($A361,'Mock Database'!$C$3:$C$152,0),0)),"",INDEX('Mock Database'!$Z$3:$Z$152,MATCH($A361,'Mock Database'!$C$3:$C$152,0))))</f>
        <v/>
      </c>
      <c r="J361" s="89" t="str">
        <f ca="1">IF(ISNA(MATCH($A361,'Mock Database'!$C$3:$C$152,0)),"",IF(ISBLANK(OFFSET('Mock Database'!$AE$2,MATCH($A361,'Mock Database'!$C$3:$C$152,0),0)),"",INDEX('Mock Database'!$AE$3:$AE$152,MATCH($A361,'Mock Database'!$C$3:$C$152,0))))</f>
        <v/>
      </c>
      <c r="K361" s="22" t="str">
        <f ca="1">IF(ISNA(MATCH($A361,'Mock Database'!$C$3:$C$152,0)),"",IF(ISBLANK(OFFSET('Mock Database'!$AF$2,MATCH($A361,'Mock Database'!$C$3:$C$152,0),0)),"",INDEX('Mock Database'!$AF$3:$AF$152,MATCH($A361,'Mock Database'!$C$3:$C$152,0))))</f>
        <v/>
      </c>
      <c r="N361" t="e">
        <f t="shared" si="55"/>
        <v>#N/A</v>
      </c>
      <c r="O361" s="89" t="e">
        <f t="shared" ca="1" si="56"/>
        <v>#N/A</v>
      </c>
      <c r="P361" s="22" t="e">
        <f t="shared" ca="1" si="57"/>
        <v>#N/A</v>
      </c>
      <c r="Q361" s="89" t="e">
        <f t="shared" ca="1" si="58"/>
        <v>#N/A</v>
      </c>
      <c r="R361" s="22" t="e">
        <f t="shared" ca="1" si="59"/>
        <v>#N/A</v>
      </c>
      <c r="S361" s="89" t="e">
        <f t="shared" ca="1" si="60"/>
        <v>#N/A</v>
      </c>
      <c r="T361" s="22" t="e">
        <f t="shared" ca="1" si="61"/>
        <v>#N/A</v>
      </c>
      <c r="U361" s="89" t="e">
        <f t="shared" ca="1" si="62"/>
        <v>#N/A</v>
      </c>
      <c r="V361" s="22" t="e">
        <f t="shared" ca="1" si="63"/>
        <v>#N/A</v>
      </c>
      <c r="AM361" t="e">
        <f t="shared" si="64"/>
        <v>#N/A</v>
      </c>
      <c r="AN361" t="e">
        <f t="shared" ca="1" si="65"/>
        <v>#N/A</v>
      </c>
    </row>
    <row r="362" spans="1:40" x14ac:dyDescent="0.3">
      <c r="A362" s="87">
        <v>361</v>
      </c>
      <c r="B362" t="str">
        <f>IFERROR(INDEX('Mock Database'!$D$3:$D$152,MATCH($A362,'Mock Database'!$C$3:$C$152,0)),"")</f>
        <v/>
      </c>
      <c r="C362" s="88" t="str">
        <f>IFERROR(INDEX('Mock Database'!$I$3:$I$152,MATCH($A362,'Mock Database'!$C$3:$C$152,0)),"")</f>
        <v/>
      </c>
      <c r="D362" s="89" t="str">
        <f ca="1">IF(ISNA(MATCH($A362,'Mock Database'!$C$3:$C$152,0)),"",IF(ISBLANK(OFFSET('Mock Database'!$M$2,MATCH($A362,'Mock Database'!$C$3:$C$152,0),0)),"",INDEX('Mock Database'!$M$3:$M$152,MATCH($A362,'Mock Database'!$C$3:$C$152,0))))</f>
        <v/>
      </c>
      <c r="E362" s="22" t="str">
        <f ca="1">IF(ISNA(MATCH($A362,'Mock Database'!$C$3:$C$152,0)),"",IF(ISBLANK(OFFSET('Mock Database'!$N$2,MATCH($A362,'Mock Database'!$C$3:$C$152,0),0)),"",INDEX('Mock Database'!$N$3:$N$152,MATCH($A362,'Mock Database'!$C$3:$C$152,0))))</f>
        <v/>
      </c>
      <c r="F362" s="89" t="str">
        <f ca="1">IF(ISNA(MATCH($A362,'Mock Database'!$C$3:$C$152,0)),"",IF(ISBLANK(OFFSET('Mock Database'!$S$2,MATCH($A362,'Mock Database'!$C$3:$C$152,0),0)),"",INDEX('Mock Database'!$S$3:$S$152,MATCH($A362,'Mock Database'!$C$3:$C$152,0))))</f>
        <v/>
      </c>
      <c r="G362" s="22" t="str">
        <f ca="1">IF(ISNA(MATCH($A362,'Mock Database'!$C$3:$C$152,0)),"",IF(ISBLANK(OFFSET('Mock Database'!$T$2,MATCH($A362,'Mock Database'!$C$3:$C$152,0),0)),"",INDEX('Mock Database'!$T$3:$T$152,MATCH($A362,'Mock Database'!$C$3:$C$152,0))))</f>
        <v/>
      </c>
      <c r="H362" s="89" t="str">
        <f ca="1">IF(ISNA(MATCH($A362,'Mock Database'!$C$3:$C$152,0)),"",IF(ISBLANK(OFFSET('Mock Database'!$Y$2,MATCH($A362,'Mock Database'!$C$3:$C$152,0),0)),"",INDEX('Mock Database'!$Y$3:$Y$152,MATCH($A362,'Mock Database'!$C$3:$C$152,0))))</f>
        <v/>
      </c>
      <c r="I362" s="22" t="str">
        <f ca="1">IF(ISNA(MATCH($A362,'Mock Database'!$C$3:$C$152,0)),"",IF(ISBLANK(OFFSET('Mock Database'!$Z$2,MATCH($A362,'Mock Database'!$C$3:$C$152,0),0)),"",INDEX('Mock Database'!$Z$3:$Z$152,MATCH($A362,'Mock Database'!$C$3:$C$152,0))))</f>
        <v/>
      </c>
      <c r="J362" s="89" t="str">
        <f ca="1">IF(ISNA(MATCH($A362,'Mock Database'!$C$3:$C$152,0)),"",IF(ISBLANK(OFFSET('Mock Database'!$AE$2,MATCH($A362,'Mock Database'!$C$3:$C$152,0),0)),"",INDEX('Mock Database'!$AE$3:$AE$152,MATCH($A362,'Mock Database'!$C$3:$C$152,0))))</f>
        <v/>
      </c>
      <c r="K362" s="22" t="str">
        <f ca="1">IF(ISNA(MATCH($A362,'Mock Database'!$C$3:$C$152,0)),"",IF(ISBLANK(OFFSET('Mock Database'!$AF$2,MATCH($A362,'Mock Database'!$C$3:$C$152,0),0)),"",INDEX('Mock Database'!$AF$3:$AF$152,MATCH($A362,'Mock Database'!$C$3:$C$152,0))))</f>
        <v/>
      </c>
      <c r="N362" t="e">
        <f t="shared" si="55"/>
        <v>#N/A</v>
      </c>
      <c r="O362" s="89" t="e">
        <f t="shared" ca="1" si="56"/>
        <v>#N/A</v>
      </c>
      <c r="P362" s="22" t="e">
        <f t="shared" ca="1" si="57"/>
        <v>#N/A</v>
      </c>
      <c r="Q362" s="89" t="e">
        <f t="shared" ca="1" si="58"/>
        <v>#N/A</v>
      </c>
      <c r="R362" s="22" t="e">
        <f t="shared" ca="1" si="59"/>
        <v>#N/A</v>
      </c>
      <c r="S362" s="89" t="e">
        <f t="shared" ca="1" si="60"/>
        <v>#N/A</v>
      </c>
      <c r="T362" s="22" t="e">
        <f t="shared" ca="1" si="61"/>
        <v>#N/A</v>
      </c>
      <c r="U362" s="89" t="e">
        <f t="shared" ca="1" si="62"/>
        <v>#N/A</v>
      </c>
      <c r="V362" s="22" t="e">
        <f t="shared" ca="1" si="63"/>
        <v>#N/A</v>
      </c>
      <c r="AM362" t="e">
        <f t="shared" si="64"/>
        <v>#N/A</v>
      </c>
      <c r="AN362" t="e">
        <f t="shared" ca="1" si="65"/>
        <v>#N/A</v>
      </c>
    </row>
    <row r="363" spans="1:40" x14ac:dyDescent="0.3">
      <c r="A363" s="87">
        <v>362</v>
      </c>
      <c r="B363" t="str">
        <f>IFERROR(INDEX('Mock Database'!$D$3:$D$152,MATCH($A363,'Mock Database'!$C$3:$C$152,0)),"")</f>
        <v/>
      </c>
      <c r="C363" s="88" t="str">
        <f>IFERROR(INDEX('Mock Database'!$I$3:$I$152,MATCH($A363,'Mock Database'!$C$3:$C$152,0)),"")</f>
        <v/>
      </c>
      <c r="D363" s="89" t="str">
        <f ca="1">IF(ISNA(MATCH($A363,'Mock Database'!$C$3:$C$152,0)),"",IF(ISBLANK(OFFSET('Mock Database'!$M$2,MATCH($A363,'Mock Database'!$C$3:$C$152,0),0)),"",INDEX('Mock Database'!$M$3:$M$152,MATCH($A363,'Mock Database'!$C$3:$C$152,0))))</f>
        <v/>
      </c>
      <c r="E363" s="22" t="str">
        <f ca="1">IF(ISNA(MATCH($A363,'Mock Database'!$C$3:$C$152,0)),"",IF(ISBLANK(OFFSET('Mock Database'!$N$2,MATCH($A363,'Mock Database'!$C$3:$C$152,0),0)),"",INDEX('Mock Database'!$N$3:$N$152,MATCH($A363,'Mock Database'!$C$3:$C$152,0))))</f>
        <v/>
      </c>
      <c r="F363" s="89" t="str">
        <f ca="1">IF(ISNA(MATCH($A363,'Mock Database'!$C$3:$C$152,0)),"",IF(ISBLANK(OFFSET('Mock Database'!$S$2,MATCH($A363,'Mock Database'!$C$3:$C$152,0),0)),"",INDEX('Mock Database'!$S$3:$S$152,MATCH($A363,'Mock Database'!$C$3:$C$152,0))))</f>
        <v/>
      </c>
      <c r="G363" s="22" t="str">
        <f ca="1">IF(ISNA(MATCH($A363,'Mock Database'!$C$3:$C$152,0)),"",IF(ISBLANK(OFFSET('Mock Database'!$T$2,MATCH($A363,'Mock Database'!$C$3:$C$152,0),0)),"",INDEX('Mock Database'!$T$3:$T$152,MATCH($A363,'Mock Database'!$C$3:$C$152,0))))</f>
        <v/>
      </c>
      <c r="H363" s="89" t="str">
        <f ca="1">IF(ISNA(MATCH($A363,'Mock Database'!$C$3:$C$152,0)),"",IF(ISBLANK(OFFSET('Mock Database'!$Y$2,MATCH($A363,'Mock Database'!$C$3:$C$152,0),0)),"",INDEX('Mock Database'!$Y$3:$Y$152,MATCH($A363,'Mock Database'!$C$3:$C$152,0))))</f>
        <v/>
      </c>
      <c r="I363" s="22" t="str">
        <f ca="1">IF(ISNA(MATCH($A363,'Mock Database'!$C$3:$C$152,0)),"",IF(ISBLANK(OFFSET('Mock Database'!$Z$2,MATCH($A363,'Mock Database'!$C$3:$C$152,0),0)),"",INDEX('Mock Database'!$Z$3:$Z$152,MATCH($A363,'Mock Database'!$C$3:$C$152,0))))</f>
        <v/>
      </c>
      <c r="J363" s="89" t="str">
        <f ca="1">IF(ISNA(MATCH($A363,'Mock Database'!$C$3:$C$152,0)),"",IF(ISBLANK(OFFSET('Mock Database'!$AE$2,MATCH($A363,'Mock Database'!$C$3:$C$152,0),0)),"",INDEX('Mock Database'!$AE$3:$AE$152,MATCH($A363,'Mock Database'!$C$3:$C$152,0))))</f>
        <v/>
      </c>
      <c r="K363" s="22" t="str">
        <f ca="1">IF(ISNA(MATCH($A363,'Mock Database'!$C$3:$C$152,0)),"",IF(ISBLANK(OFFSET('Mock Database'!$AF$2,MATCH($A363,'Mock Database'!$C$3:$C$152,0),0)),"",INDEX('Mock Database'!$AF$3:$AF$152,MATCH($A363,'Mock Database'!$C$3:$C$152,0))))</f>
        <v/>
      </c>
      <c r="N363" t="e">
        <f t="shared" si="55"/>
        <v>#N/A</v>
      </c>
      <c r="O363" s="89" t="e">
        <f t="shared" ca="1" si="56"/>
        <v>#N/A</v>
      </c>
      <c r="P363" s="22" t="e">
        <f t="shared" ca="1" si="57"/>
        <v>#N/A</v>
      </c>
      <c r="Q363" s="89" t="e">
        <f t="shared" ca="1" si="58"/>
        <v>#N/A</v>
      </c>
      <c r="R363" s="22" t="e">
        <f t="shared" ca="1" si="59"/>
        <v>#N/A</v>
      </c>
      <c r="S363" s="89" t="e">
        <f t="shared" ca="1" si="60"/>
        <v>#N/A</v>
      </c>
      <c r="T363" s="22" t="e">
        <f t="shared" ca="1" si="61"/>
        <v>#N/A</v>
      </c>
      <c r="U363" s="89" t="e">
        <f t="shared" ca="1" si="62"/>
        <v>#N/A</v>
      </c>
      <c r="V363" s="22" t="e">
        <f t="shared" ca="1" si="63"/>
        <v>#N/A</v>
      </c>
      <c r="AM363" t="e">
        <f t="shared" si="64"/>
        <v>#N/A</v>
      </c>
      <c r="AN363" t="e">
        <f t="shared" ca="1" si="65"/>
        <v>#N/A</v>
      </c>
    </row>
    <row r="364" spans="1:40" x14ac:dyDescent="0.3">
      <c r="A364" s="87">
        <v>363</v>
      </c>
      <c r="B364" t="str">
        <f>IFERROR(INDEX('Mock Database'!$D$3:$D$152,MATCH($A364,'Mock Database'!$C$3:$C$152,0)),"")</f>
        <v/>
      </c>
      <c r="C364" s="88" t="str">
        <f>IFERROR(INDEX('Mock Database'!$I$3:$I$152,MATCH($A364,'Mock Database'!$C$3:$C$152,0)),"")</f>
        <v/>
      </c>
      <c r="D364" s="89" t="str">
        <f ca="1">IF(ISNA(MATCH($A364,'Mock Database'!$C$3:$C$152,0)),"",IF(ISBLANK(OFFSET('Mock Database'!$M$2,MATCH($A364,'Mock Database'!$C$3:$C$152,0),0)),"",INDEX('Mock Database'!$M$3:$M$152,MATCH($A364,'Mock Database'!$C$3:$C$152,0))))</f>
        <v/>
      </c>
      <c r="E364" s="22" t="str">
        <f ca="1">IF(ISNA(MATCH($A364,'Mock Database'!$C$3:$C$152,0)),"",IF(ISBLANK(OFFSET('Mock Database'!$N$2,MATCH($A364,'Mock Database'!$C$3:$C$152,0),0)),"",INDEX('Mock Database'!$N$3:$N$152,MATCH($A364,'Mock Database'!$C$3:$C$152,0))))</f>
        <v/>
      </c>
      <c r="F364" s="89" t="str">
        <f ca="1">IF(ISNA(MATCH($A364,'Mock Database'!$C$3:$C$152,0)),"",IF(ISBLANK(OFFSET('Mock Database'!$S$2,MATCH($A364,'Mock Database'!$C$3:$C$152,0),0)),"",INDEX('Mock Database'!$S$3:$S$152,MATCH($A364,'Mock Database'!$C$3:$C$152,0))))</f>
        <v/>
      </c>
      <c r="G364" s="22" t="str">
        <f ca="1">IF(ISNA(MATCH($A364,'Mock Database'!$C$3:$C$152,0)),"",IF(ISBLANK(OFFSET('Mock Database'!$T$2,MATCH($A364,'Mock Database'!$C$3:$C$152,0),0)),"",INDEX('Mock Database'!$T$3:$T$152,MATCH($A364,'Mock Database'!$C$3:$C$152,0))))</f>
        <v/>
      </c>
      <c r="H364" s="89" t="str">
        <f ca="1">IF(ISNA(MATCH($A364,'Mock Database'!$C$3:$C$152,0)),"",IF(ISBLANK(OFFSET('Mock Database'!$Y$2,MATCH($A364,'Mock Database'!$C$3:$C$152,0),0)),"",INDEX('Mock Database'!$Y$3:$Y$152,MATCH($A364,'Mock Database'!$C$3:$C$152,0))))</f>
        <v/>
      </c>
      <c r="I364" s="22" t="str">
        <f ca="1">IF(ISNA(MATCH($A364,'Mock Database'!$C$3:$C$152,0)),"",IF(ISBLANK(OFFSET('Mock Database'!$Z$2,MATCH($A364,'Mock Database'!$C$3:$C$152,0),0)),"",INDEX('Mock Database'!$Z$3:$Z$152,MATCH($A364,'Mock Database'!$C$3:$C$152,0))))</f>
        <v/>
      </c>
      <c r="J364" s="89" t="str">
        <f ca="1">IF(ISNA(MATCH($A364,'Mock Database'!$C$3:$C$152,0)),"",IF(ISBLANK(OFFSET('Mock Database'!$AE$2,MATCH($A364,'Mock Database'!$C$3:$C$152,0),0)),"",INDEX('Mock Database'!$AE$3:$AE$152,MATCH($A364,'Mock Database'!$C$3:$C$152,0))))</f>
        <v/>
      </c>
      <c r="K364" s="22" t="str">
        <f ca="1">IF(ISNA(MATCH($A364,'Mock Database'!$C$3:$C$152,0)),"",IF(ISBLANK(OFFSET('Mock Database'!$AF$2,MATCH($A364,'Mock Database'!$C$3:$C$152,0),0)),"",INDEX('Mock Database'!$AF$3:$AF$152,MATCH($A364,'Mock Database'!$C$3:$C$152,0))))</f>
        <v/>
      </c>
      <c r="N364" t="e">
        <f t="shared" si="55"/>
        <v>#N/A</v>
      </c>
      <c r="O364" s="89" t="e">
        <f t="shared" ca="1" si="56"/>
        <v>#N/A</v>
      </c>
      <c r="P364" s="22" t="e">
        <f t="shared" ca="1" si="57"/>
        <v>#N/A</v>
      </c>
      <c r="Q364" s="89" t="e">
        <f t="shared" ca="1" si="58"/>
        <v>#N/A</v>
      </c>
      <c r="R364" s="22" t="e">
        <f t="shared" ca="1" si="59"/>
        <v>#N/A</v>
      </c>
      <c r="S364" s="89" t="e">
        <f t="shared" ca="1" si="60"/>
        <v>#N/A</v>
      </c>
      <c r="T364" s="22" t="e">
        <f t="shared" ca="1" si="61"/>
        <v>#N/A</v>
      </c>
      <c r="U364" s="89" t="e">
        <f t="shared" ca="1" si="62"/>
        <v>#N/A</v>
      </c>
      <c r="V364" s="22" t="e">
        <f t="shared" ca="1" si="63"/>
        <v>#N/A</v>
      </c>
      <c r="AM364" t="e">
        <f t="shared" si="64"/>
        <v>#N/A</v>
      </c>
      <c r="AN364" t="e">
        <f t="shared" ca="1" si="65"/>
        <v>#N/A</v>
      </c>
    </row>
    <row r="365" spans="1:40" x14ac:dyDescent="0.3">
      <c r="A365" s="87">
        <v>364</v>
      </c>
      <c r="B365" t="str">
        <f>IFERROR(INDEX('Mock Database'!$D$3:$D$152,MATCH($A365,'Mock Database'!$C$3:$C$152,0)),"")</f>
        <v/>
      </c>
      <c r="C365" s="88" t="str">
        <f>IFERROR(INDEX('Mock Database'!$I$3:$I$152,MATCH($A365,'Mock Database'!$C$3:$C$152,0)),"")</f>
        <v/>
      </c>
      <c r="D365" s="89" t="str">
        <f ca="1">IF(ISNA(MATCH($A365,'Mock Database'!$C$3:$C$152,0)),"",IF(ISBLANK(OFFSET('Mock Database'!$M$2,MATCH($A365,'Mock Database'!$C$3:$C$152,0),0)),"",INDEX('Mock Database'!$M$3:$M$152,MATCH($A365,'Mock Database'!$C$3:$C$152,0))))</f>
        <v/>
      </c>
      <c r="E365" s="22" t="str">
        <f ca="1">IF(ISNA(MATCH($A365,'Mock Database'!$C$3:$C$152,0)),"",IF(ISBLANK(OFFSET('Mock Database'!$N$2,MATCH($A365,'Mock Database'!$C$3:$C$152,0),0)),"",INDEX('Mock Database'!$N$3:$N$152,MATCH($A365,'Mock Database'!$C$3:$C$152,0))))</f>
        <v/>
      </c>
      <c r="F365" s="89" t="str">
        <f ca="1">IF(ISNA(MATCH($A365,'Mock Database'!$C$3:$C$152,0)),"",IF(ISBLANK(OFFSET('Mock Database'!$S$2,MATCH($A365,'Mock Database'!$C$3:$C$152,0),0)),"",INDEX('Mock Database'!$S$3:$S$152,MATCH($A365,'Mock Database'!$C$3:$C$152,0))))</f>
        <v/>
      </c>
      <c r="G365" s="22" t="str">
        <f ca="1">IF(ISNA(MATCH($A365,'Mock Database'!$C$3:$C$152,0)),"",IF(ISBLANK(OFFSET('Mock Database'!$T$2,MATCH($A365,'Mock Database'!$C$3:$C$152,0),0)),"",INDEX('Mock Database'!$T$3:$T$152,MATCH($A365,'Mock Database'!$C$3:$C$152,0))))</f>
        <v/>
      </c>
      <c r="H365" s="89" t="str">
        <f ca="1">IF(ISNA(MATCH($A365,'Mock Database'!$C$3:$C$152,0)),"",IF(ISBLANK(OFFSET('Mock Database'!$Y$2,MATCH($A365,'Mock Database'!$C$3:$C$152,0),0)),"",INDEX('Mock Database'!$Y$3:$Y$152,MATCH($A365,'Mock Database'!$C$3:$C$152,0))))</f>
        <v/>
      </c>
      <c r="I365" s="22" t="str">
        <f ca="1">IF(ISNA(MATCH($A365,'Mock Database'!$C$3:$C$152,0)),"",IF(ISBLANK(OFFSET('Mock Database'!$Z$2,MATCH($A365,'Mock Database'!$C$3:$C$152,0),0)),"",INDEX('Mock Database'!$Z$3:$Z$152,MATCH($A365,'Mock Database'!$C$3:$C$152,0))))</f>
        <v/>
      </c>
      <c r="J365" s="89" t="str">
        <f ca="1">IF(ISNA(MATCH($A365,'Mock Database'!$C$3:$C$152,0)),"",IF(ISBLANK(OFFSET('Mock Database'!$AE$2,MATCH($A365,'Mock Database'!$C$3:$C$152,0),0)),"",INDEX('Mock Database'!$AE$3:$AE$152,MATCH($A365,'Mock Database'!$C$3:$C$152,0))))</f>
        <v/>
      </c>
      <c r="K365" s="22" t="str">
        <f ca="1">IF(ISNA(MATCH($A365,'Mock Database'!$C$3:$C$152,0)),"",IF(ISBLANK(OFFSET('Mock Database'!$AF$2,MATCH($A365,'Mock Database'!$C$3:$C$152,0),0)),"",INDEX('Mock Database'!$AF$3:$AF$152,MATCH($A365,'Mock Database'!$C$3:$C$152,0))))</f>
        <v/>
      </c>
      <c r="N365" t="e">
        <f t="shared" si="55"/>
        <v>#N/A</v>
      </c>
      <c r="O365" s="89" t="e">
        <f t="shared" ca="1" si="56"/>
        <v>#N/A</v>
      </c>
      <c r="P365" s="22" t="e">
        <f t="shared" ca="1" si="57"/>
        <v>#N/A</v>
      </c>
      <c r="Q365" s="89" t="e">
        <f t="shared" ca="1" si="58"/>
        <v>#N/A</v>
      </c>
      <c r="R365" s="22" t="e">
        <f t="shared" ca="1" si="59"/>
        <v>#N/A</v>
      </c>
      <c r="S365" s="89" t="e">
        <f t="shared" ca="1" si="60"/>
        <v>#N/A</v>
      </c>
      <c r="T365" s="22" t="e">
        <f t="shared" ca="1" si="61"/>
        <v>#N/A</v>
      </c>
      <c r="U365" s="89" t="e">
        <f t="shared" ca="1" si="62"/>
        <v>#N/A</v>
      </c>
      <c r="V365" s="22" t="e">
        <f t="shared" ca="1" si="63"/>
        <v>#N/A</v>
      </c>
      <c r="AM365" t="e">
        <f t="shared" si="64"/>
        <v>#N/A</v>
      </c>
      <c r="AN365" t="e">
        <f t="shared" ca="1" si="65"/>
        <v>#N/A</v>
      </c>
    </row>
    <row r="366" spans="1:40" x14ac:dyDescent="0.3">
      <c r="A366" s="87">
        <v>365</v>
      </c>
      <c r="B366" t="str">
        <f>IFERROR(INDEX('Mock Database'!$D$3:$D$152,MATCH($A366,'Mock Database'!$C$3:$C$152,0)),"")</f>
        <v/>
      </c>
      <c r="C366" s="88" t="str">
        <f>IFERROR(INDEX('Mock Database'!$I$3:$I$152,MATCH($A366,'Mock Database'!$C$3:$C$152,0)),"")</f>
        <v/>
      </c>
      <c r="D366" s="89" t="str">
        <f ca="1">IF(ISNA(MATCH($A366,'Mock Database'!$C$3:$C$152,0)),"",IF(ISBLANK(OFFSET('Mock Database'!$M$2,MATCH($A366,'Mock Database'!$C$3:$C$152,0),0)),"",INDEX('Mock Database'!$M$3:$M$152,MATCH($A366,'Mock Database'!$C$3:$C$152,0))))</f>
        <v/>
      </c>
      <c r="E366" s="22" t="str">
        <f ca="1">IF(ISNA(MATCH($A366,'Mock Database'!$C$3:$C$152,0)),"",IF(ISBLANK(OFFSET('Mock Database'!$N$2,MATCH($A366,'Mock Database'!$C$3:$C$152,0),0)),"",INDEX('Mock Database'!$N$3:$N$152,MATCH($A366,'Mock Database'!$C$3:$C$152,0))))</f>
        <v/>
      </c>
      <c r="F366" s="89" t="str">
        <f ca="1">IF(ISNA(MATCH($A366,'Mock Database'!$C$3:$C$152,0)),"",IF(ISBLANK(OFFSET('Mock Database'!$S$2,MATCH($A366,'Mock Database'!$C$3:$C$152,0),0)),"",INDEX('Mock Database'!$S$3:$S$152,MATCH($A366,'Mock Database'!$C$3:$C$152,0))))</f>
        <v/>
      </c>
      <c r="G366" s="22" t="str">
        <f ca="1">IF(ISNA(MATCH($A366,'Mock Database'!$C$3:$C$152,0)),"",IF(ISBLANK(OFFSET('Mock Database'!$T$2,MATCH($A366,'Mock Database'!$C$3:$C$152,0),0)),"",INDEX('Mock Database'!$T$3:$T$152,MATCH($A366,'Mock Database'!$C$3:$C$152,0))))</f>
        <v/>
      </c>
      <c r="H366" s="89" t="str">
        <f ca="1">IF(ISNA(MATCH($A366,'Mock Database'!$C$3:$C$152,0)),"",IF(ISBLANK(OFFSET('Mock Database'!$Y$2,MATCH($A366,'Mock Database'!$C$3:$C$152,0),0)),"",INDEX('Mock Database'!$Y$3:$Y$152,MATCH($A366,'Mock Database'!$C$3:$C$152,0))))</f>
        <v/>
      </c>
      <c r="I366" s="22" t="str">
        <f ca="1">IF(ISNA(MATCH($A366,'Mock Database'!$C$3:$C$152,0)),"",IF(ISBLANK(OFFSET('Mock Database'!$Z$2,MATCH($A366,'Mock Database'!$C$3:$C$152,0),0)),"",INDEX('Mock Database'!$Z$3:$Z$152,MATCH($A366,'Mock Database'!$C$3:$C$152,0))))</f>
        <v/>
      </c>
      <c r="J366" s="89" t="str">
        <f ca="1">IF(ISNA(MATCH($A366,'Mock Database'!$C$3:$C$152,0)),"",IF(ISBLANK(OFFSET('Mock Database'!$AE$2,MATCH($A366,'Mock Database'!$C$3:$C$152,0),0)),"",INDEX('Mock Database'!$AE$3:$AE$152,MATCH($A366,'Mock Database'!$C$3:$C$152,0))))</f>
        <v/>
      </c>
      <c r="K366" s="22" t="str">
        <f ca="1">IF(ISNA(MATCH($A366,'Mock Database'!$C$3:$C$152,0)),"",IF(ISBLANK(OFFSET('Mock Database'!$AF$2,MATCH($A366,'Mock Database'!$C$3:$C$152,0),0)),"",INDEX('Mock Database'!$AF$3:$AF$152,MATCH($A366,'Mock Database'!$C$3:$C$152,0))))</f>
        <v/>
      </c>
      <c r="N366" t="e">
        <f t="shared" si="55"/>
        <v>#N/A</v>
      </c>
      <c r="O366" s="89" t="e">
        <f t="shared" ca="1" si="56"/>
        <v>#N/A</v>
      </c>
      <c r="P366" s="22" t="e">
        <f t="shared" ca="1" si="57"/>
        <v>#N/A</v>
      </c>
      <c r="Q366" s="89" t="e">
        <f t="shared" ca="1" si="58"/>
        <v>#N/A</v>
      </c>
      <c r="R366" s="22" t="e">
        <f t="shared" ca="1" si="59"/>
        <v>#N/A</v>
      </c>
      <c r="S366" s="89" t="e">
        <f t="shared" ca="1" si="60"/>
        <v>#N/A</v>
      </c>
      <c r="T366" s="22" t="e">
        <f t="shared" ca="1" si="61"/>
        <v>#N/A</v>
      </c>
      <c r="U366" s="89" t="e">
        <f t="shared" ca="1" si="62"/>
        <v>#N/A</v>
      </c>
      <c r="V366" s="22" t="e">
        <f t="shared" ca="1" si="63"/>
        <v>#N/A</v>
      </c>
      <c r="AM366" t="e">
        <f t="shared" si="64"/>
        <v>#N/A</v>
      </c>
      <c r="AN366" t="e">
        <f t="shared" ca="1" si="65"/>
        <v>#N/A</v>
      </c>
    </row>
    <row r="367" spans="1:40" x14ac:dyDescent="0.3">
      <c r="A367" s="87">
        <v>366</v>
      </c>
      <c r="B367" t="str">
        <f>IFERROR(INDEX('Mock Database'!$D$3:$D$152,MATCH($A367,'Mock Database'!$C$3:$C$152,0)),"")</f>
        <v/>
      </c>
      <c r="C367" s="88" t="str">
        <f>IFERROR(INDEX('Mock Database'!$I$3:$I$152,MATCH($A367,'Mock Database'!$C$3:$C$152,0)),"")</f>
        <v/>
      </c>
      <c r="D367" s="89" t="str">
        <f ca="1">IF(ISNA(MATCH($A367,'Mock Database'!$C$3:$C$152,0)),"",IF(ISBLANK(OFFSET('Mock Database'!$M$2,MATCH($A367,'Mock Database'!$C$3:$C$152,0),0)),"",INDEX('Mock Database'!$M$3:$M$152,MATCH($A367,'Mock Database'!$C$3:$C$152,0))))</f>
        <v/>
      </c>
      <c r="E367" s="22" t="str">
        <f ca="1">IF(ISNA(MATCH($A367,'Mock Database'!$C$3:$C$152,0)),"",IF(ISBLANK(OFFSET('Mock Database'!$N$2,MATCH($A367,'Mock Database'!$C$3:$C$152,0),0)),"",INDEX('Mock Database'!$N$3:$N$152,MATCH($A367,'Mock Database'!$C$3:$C$152,0))))</f>
        <v/>
      </c>
      <c r="F367" s="89" t="str">
        <f ca="1">IF(ISNA(MATCH($A367,'Mock Database'!$C$3:$C$152,0)),"",IF(ISBLANK(OFFSET('Mock Database'!$S$2,MATCH($A367,'Mock Database'!$C$3:$C$152,0),0)),"",INDEX('Mock Database'!$S$3:$S$152,MATCH($A367,'Mock Database'!$C$3:$C$152,0))))</f>
        <v/>
      </c>
      <c r="G367" s="22" t="str">
        <f ca="1">IF(ISNA(MATCH($A367,'Mock Database'!$C$3:$C$152,0)),"",IF(ISBLANK(OFFSET('Mock Database'!$T$2,MATCH($A367,'Mock Database'!$C$3:$C$152,0),0)),"",INDEX('Mock Database'!$T$3:$T$152,MATCH($A367,'Mock Database'!$C$3:$C$152,0))))</f>
        <v/>
      </c>
      <c r="H367" s="89" t="str">
        <f ca="1">IF(ISNA(MATCH($A367,'Mock Database'!$C$3:$C$152,0)),"",IF(ISBLANK(OFFSET('Mock Database'!$Y$2,MATCH($A367,'Mock Database'!$C$3:$C$152,0),0)),"",INDEX('Mock Database'!$Y$3:$Y$152,MATCH($A367,'Mock Database'!$C$3:$C$152,0))))</f>
        <v/>
      </c>
      <c r="I367" s="22" t="str">
        <f ca="1">IF(ISNA(MATCH($A367,'Mock Database'!$C$3:$C$152,0)),"",IF(ISBLANK(OFFSET('Mock Database'!$Z$2,MATCH($A367,'Mock Database'!$C$3:$C$152,0),0)),"",INDEX('Mock Database'!$Z$3:$Z$152,MATCH($A367,'Mock Database'!$C$3:$C$152,0))))</f>
        <v/>
      </c>
      <c r="J367" s="89" t="str">
        <f ca="1">IF(ISNA(MATCH($A367,'Mock Database'!$C$3:$C$152,0)),"",IF(ISBLANK(OFFSET('Mock Database'!$AE$2,MATCH($A367,'Mock Database'!$C$3:$C$152,0),0)),"",INDEX('Mock Database'!$AE$3:$AE$152,MATCH($A367,'Mock Database'!$C$3:$C$152,0))))</f>
        <v/>
      </c>
      <c r="K367" s="22" t="str">
        <f ca="1">IF(ISNA(MATCH($A367,'Mock Database'!$C$3:$C$152,0)),"",IF(ISBLANK(OFFSET('Mock Database'!$AF$2,MATCH($A367,'Mock Database'!$C$3:$C$152,0),0)),"",INDEX('Mock Database'!$AF$3:$AF$152,MATCH($A367,'Mock Database'!$C$3:$C$152,0))))</f>
        <v/>
      </c>
      <c r="N367" t="e">
        <f t="shared" si="55"/>
        <v>#N/A</v>
      </c>
      <c r="O367" s="89" t="e">
        <f t="shared" ca="1" si="56"/>
        <v>#N/A</v>
      </c>
      <c r="P367" s="22" t="e">
        <f t="shared" ca="1" si="57"/>
        <v>#N/A</v>
      </c>
      <c r="Q367" s="89" t="e">
        <f t="shared" ca="1" si="58"/>
        <v>#N/A</v>
      </c>
      <c r="R367" s="22" t="e">
        <f t="shared" ca="1" si="59"/>
        <v>#N/A</v>
      </c>
      <c r="S367" s="89" t="e">
        <f t="shared" ca="1" si="60"/>
        <v>#N/A</v>
      </c>
      <c r="T367" s="22" t="e">
        <f t="shared" ca="1" si="61"/>
        <v>#N/A</v>
      </c>
      <c r="U367" s="89" t="e">
        <f t="shared" ca="1" si="62"/>
        <v>#N/A</v>
      </c>
      <c r="V367" s="22" t="e">
        <f t="shared" ca="1" si="63"/>
        <v>#N/A</v>
      </c>
      <c r="AM367" t="e">
        <f t="shared" si="64"/>
        <v>#N/A</v>
      </c>
      <c r="AN367" t="e">
        <f t="shared" ca="1" si="65"/>
        <v>#N/A</v>
      </c>
    </row>
    <row r="368" spans="1:40" x14ac:dyDescent="0.3">
      <c r="A368" s="87">
        <v>367</v>
      </c>
      <c r="B368" t="str">
        <f>IFERROR(INDEX('Mock Database'!$D$3:$D$152,MATCH($A368,'Mock Database'!$C$3:$C$152,0)),"")</f>
        <v/>
      </c>
      <c r="C368" s="88" t="str">
        <f>IFERROR(INDEX('Mock Database'!$I$3:$I$152,MATCH($A368,'Mock Database'!$C$3:$C$152,0)),"")</f>
        <v/>
      </c>
      <c r="D368" s="89" t="str">
        <f ca="1">IF(ISNA(MATCH($A368,'Mock Database'!$C$3:$C$152,0)),"",IF(ISBLANK(OFFSET('Mock Database'!$M$2,MATCH($A368,'Mock Database'!$C$3:$C$152,0),0)),"",INDEX('Mock Database'!$M$3:$M$152,MATCH($A368,'Mock Database'!$C$3:$C$152,0))))</f>
        <v/>
      </c>
      <c r="E368" s="22" t="str">
        <f ca="1">IF(ISNA(MATCH($A368,'Mock Database'!$C$3:$C$152,0)),"",IF(ISBLANK(OFFSET('Mock Database'!$N$2,MATCH($A368,'Mock Database'!$C$3:$C$152,0),0)),"",INDEX('Mock Database'!$N$3:$N$152,MATCH($A368,'Mock Database'!$C$3:$C$152,0))))</f>
        <v/>
      </c>
      <c r="F368" s="89" t="str">
        <f ca="1">IF(ISNA(MATCH($A368,'Mock Database'!$C$3:$C$152,0)),"",IF(ISBLANK(OFFSET('Mock Database'!$S$2,MATCH($A368,'Mock Database'!$C$3:$C$152,0),0)),"",INDEX('Mock Database'!$S$3:$S$152,MATCH($A368,'Mock Database'!$C$3:$C$152,0))))</f>
        <v/>
      </c>
      <c r="G368" s="22" t="str">
        <f ca="1">IF(ISNA(MATCH($A368,'Mock Database'!$C$3:$C$152,0)),"",IF(ISBLANK(OFFSET('Mock Database'!$T$2,MATCH($A368,'Mock Database'!$C$3:$C$152,0),0)),"",INDEX('Mock Database'!$T$3:$T$152,MATCH($A368,'Mock Database'!$C$3:$C$152,0))))</f>
        <v/>
      </c>
      <c r="H368" s="89" t="str">
        <f ca="1">IF(ISNA(MATCH($A368,'Mock Database'!$C$3:$C$152,0)),"",IF(ISBLANK(OFFSET('Mock Database'!$Y$2,MATCH($A368,'Mock Database'!$C$3:$C$152,0),0)),"",INDEX('Mock Database'!$Y$3:$Y$152,MATCH($A368,'Mock Database'!$C$3:$C$152,0))))</f>
        <v/>
      </c>
      <c r="I368" s="22" t="str">
        <f ca="1">IF(ISNA(MATCH($A368,'Mock Database'!$C$3:$C$152,0)),"",IF(ISBLANK(OFFSET('Mock Database'!$Z$2,MATCH($A368,'Mock Database'!$C$3:$C$152,0),0)),"",INDEX('Mock Database'!$Z$3:$Z$152,MATCH($A368,'Mock Database'!$C$3:$C$152,0))))</f>
        <v/>
      </c>
      <c r="J368" s="89" t="str">
        <f ca="1">IF(ISNA(MATCH($A368,'Mock Database'!$C$3:$C$152,0)),"",IF(ISBLANK(OFFSET('Mock Database'!$AE$2,MATCH($A368,'Mock Database'!$C$3:$C$152,0),0)),"",INDEX('Mock Database'!$AE$3:$AE$152,MATCH($A368,'Mock Database'!$C$3:$C$152,0))))</f>
        <v/>
      </c>
      <c r="K368" s="22" t="str">
        <f ca="1">IF(ISNA(MATCH($A368,'Mock Database'!$C$3:$C$152,0)),"",IF(ISBLANK(OFFSET('Mock Database'!$AF$2,MATCH($A368,'Mock Database'!$C$3:$C$152,0),0)),"",INDEX('Mock Database'!$AF$3:$AF$152,MATCH($A368,'Mock Database'!$C$3:$C$152,0))))</f>
        <v/>
      </c>
      <c r="N368" t="e">
        <f t="shared" si="55"/>
        <v>#N/A</v>
      </c>
      <c r="O368" s="89" t="e">
        <f t="shared" ca="1" si="56"/>
        <v>#N/A</v>
      </c>
      <c r="P368" s="22" t="e">
        <f t="shared" ca="1" si="57"/>
        <v>#N/A</v>
      </c>
      <c r="Q368" s="89" t="e">
        <f t="shared" ca="1" si="58"/>
        <v>#N/A</v>
      </c>
      <c r="R368" s="22" t="e">
        <f t="shared" ca="1" si="59"/>
        <v>#N/A</v>
      </c>
      <c r="S368" s="89" t="e">
        <f t="shared" ca="1" si="60"/>
        <v>#N/A</v>
      </c>
      <c r="T368" s="22" t="e">
        <f t="shared" ca="1" si="61"/>
        <v>#N/A</v>
      </c>
      <c r="U368" s="89" t="e">
        <f t="shared" ca="1" si="62"/>
        <v>#N/A</v>
      </c>
      <c r="V368" s="22" t="e">
        <f t="shared" ca="1" si="63"/>
        <v>#N/A</v>
      </c>
      <c r="AM368" t="e">
        <f t="shared" si="64"/>
        <v>#N/A</v>
      </c>
      <c r="AN368" t="e">
        <f t="shared" ca="1" si="65"/>
        <v>#N/A</v>
      </c>
    </row>
    <row r="369" spans="1:40" x14ac:dyDescent="0.3">
      <c r="A369" s="87">
        <v>368</v>
      </c>
      <c r="B369" t="str">
        <f>IFERROR(INDEX('Mock Database'!$D$3:$D$152,MATCH($A369,'Mock Database'!$C$3:$C$152,0)),"")</f>
        <v/>
      </c>
      <c r="C369" s="88" t="str">
        <f>IFERROR(INDEX('Mock Database'!$I$3:$I$152,MATCH($A369,'Mock Database'!$C$3:$C$152,0)),"")</f>
        <v/>
      </c>
      <c r="D369" s="89" t="str">
        <f ca="1">IF(ISNA(MATCH($A369,'Mock Database'!$C$3:$C$152,0)),"",IF(ISBLANK(OFFSET('Mock Database'!$M$2,MATCH($A369,'Mock Database'!$C$3:$C$152,0),0)),"",INDEX('Mock Database'!$M$3:$M$152,MATCH($A369,'Mock Database'!$C$3:$C$152,0))))</f>
        <v/>
      </c>
      <c r="E369" s="22" t="str">
        <f ca="1">IF(ISNA(MATCH($A369,'Mock Database'!$C$3:$C$152,0)),"",IF(ISBLANK(OFFSET('Mock Database'!$N$2,MATCH($A369,'Mock Database'!$C$3:$C$152,0),0)),"",INDEX('Mock Database'!$N$3:$N$152,MATCH($A369,'Mock Database'!$C$3:$C$152,0))))</f>
        <v/>
      </c>
      <c r="F369" s="89" t="str">
        <f ca="1">IF(ISNA(MATCH($A369,'Mock Database'!$C$3:$C$152,0)),"",IF(ISBLANK(OFFSET('Mock Database'!$S$2,MATCH($A369,'Mock Database'!$C$3:$C$152,0),0)),"",INDEX('Mock Database'!$S$3:$S$152,MATCH($A369,'Mock Database'!$C$3:$C$152,0))))</f>
        <v/>
      </c>
      <c r="G369" s="22" t="str">
        <f ca="1">IF(ISNA(MATCH($A369,'Mock Database'!$C$3:$C$152,0)),"",IF(ISBLANK(OFFSET('Mock Database'!$T$2,MATCH($A369,'Mock Database'!$C$3:$C$152,0),0)),"",INDEX('Mock Database'!$T$3:$T$152,MATCH($A369,'Mock Database'!$C$3:$C$152,0))))</f>
        <v/>
      </c>
      <c r="H369" s="89" t="str">
        <f ca="1">IF(ISNA(MATCH($A369,'Mock Database'!$C$3:$C$152,0)),"",IF(ISBLANK(OFFSET('Mock Database'!$Y$2,MATCH($A369,'Mock Database'!$C$3:$C$152,0),0)),"",INDEX('Mock Database'!$Y$3:$Y$152,MATCH($A369,'Mock Database'!$C$3:$C$152,0))))</f>
        <v/>
      </c>
      <c r="I369" s="22" t="str">
        <f ca="1">IF(ISNA(MATCH($A369,'Mock Database'!$C$3:$C$152,0)),"",IF(ISBLANK(OFFSET('Mock Database'!$Z$2,MATCH($A369,'Mock Database'!$C$3:$C$152,0),0)),"",INDEX('Mock Database'!$Z$3:$Z$152,MATCH($A369,'Mock Database'!$C$3:$C$152,0))))</f>
        <v/>
      </c>
      <c r="J369" s="89" t="str">
        <f ca="1">IF(ISNA(MATCH($A369,'Mock Database'!$C$3:$C$152,0)),"",IF(ISBLANK(OFFSET('Mock Database'!$AE$2,MATCH($A369,'Mock Database'!$C$3:$C$152,0),0)),"",INDEX('Mock Database'!$AE$3:$AE$152,MATCH($A369,'Mock Database'!$C$3:$C$152,0))))</f>
        <v/>
      </c>
      <c r="K369" s="22" t="str">
        <f ca="1">IF(ISNA(MATCH($A369,'Mock Database'!$C$3:$C$152,0)),"",IF(ISBLANK(OFFSET('Mock Database'!$AF$2,MATCH($A369,'Mock Database'!$C$3:$C$152,0),0)),"",INDEX('Mock Database'!$AF$3:$AF$152,MATCH($A369,'Mock Database'!$C$3:$C$152,0))))</f>
        <v/>
      </c>
      <c r="N369" t="e">
        <f t="shared" si="55"/>
        <v>#N/A</v>
      </c>
      <c r="O369" s="89" t="e">
        <f t="shared" ca="1" si="56"/>
        <v>#N/A</v>
      </c>
      <c r="P369" s="22" t="e">
        <f t="shared" ca="1" si="57"/>
        <v>#N/A</v>
      </c>
      <c r="Q369" s="89" t="e">
        <f t="shared" ca="1" si="58"/>
        <v>#N/A</v>
      </c>
      <c r="R369" s="22" t="e">
        <f t="shared" ca="1" si="59"/>
        <v>#N/A</v>
      </c>
      <c r="S369" s="89" t="e">
        <f t="shared" ca="1" si="60"/>
        <v>#N/A</v>
      </c>
      <c r="T369" s="22" t="e">
        <f t="shared" ca="1" si="61"/>
        <v>#N/A</v>
      </c>
      <c r="U369" s="89" t="e">
        <f t="shared" ca="1" si="62"/>
        <v>#N/A</v>
      </c>
      <c r="V369" s="22" t="e">
        <f t="shared" ca="1" si="63"/>
        <v>#N/A</v>
      </c>
      <c r="AM369" t="e">
        <f t="shared" si="64"/>
        <v>#N/A</v>
      </c>
      <c r="AN369" t="e">
        <f t="shared" ca="1" si="65"/>
        <v>#N/A</v>
      </c>
    </row>
    <row r="370" spans="1:40" x14ac:dyDescent="0.3">
      <c r="A370" s="87">
        <v>369</v>
      </c>
      <c r="B370" t="str">
        <f>IFERROR(INDEX('Mock Database'!$D$3:$D$152,MATCH($A370,'Mock Database'!$C$3:$C$152,0)),"")</f>
        <v/>
      </c>
      <c r="C370" s="88" t="str">
        <f>IFERROR(INDEX('Mock Database'!$I$3:$I$152,MATCH($A370,'Mock Database'!$C$3:$C$152,0)),"")</f>
        <v/>
      </c>
      <c r="D370" s="89" t="str">
        <f ca="1">IF(ISNA(MATCH($A370,'Mock Database'!$C$3:$C$152,0)),"",IF(ISBLANK(OFFSET('Mock Database'!$M$2,MATCH($A370,'Mock Database'!$C$3:$C$152,0),0)),"",INDEX('Mock Database'!$M$3:$M$152,MATCH($A370,'Mock Database'!$C$3:$C$152,0))))</f>
        <v/>
      </c>
      <c r="E370" s="22" t="str">
        <f ca="1">IF(ISNA(MATCH($A370,'Mock Database'!$C$3:$C$152,0)),"",IF(ISBLANK(OFFSET('Mock Database'!$N$2,MATCH($A370,'Mock Database'!$C$3:$C$152,0),0)),"",INDEX('Mock Database'!$N$3:$N$152,MATCH($A370,'Mock Database'!$C$3:$C$152,0))))</f>
        <v/>
      </c>
      <c r="F370" s="89" t="str">
        <f ca="1">IF(ISNA(MATCH($A370,'Mock Database'!$C$3:$C$152,0)),"",IF(ISBLANK(OFFSET('Mock Database'!$S$2,MATCH($A370,'Mock Database'!$C$3:$C$152,0),0)),"",INDEX('Mock Database'!$S$3:$S$152,MATCH($A370,'Mock Database'!$C$3:$C$152,0))))</f>
        <v/>
      </c>
      <c r="G370" s="22" t="str">
        <f ca="1">IF(ISNA(MATCH($A370,'Mock Database'!$C$3:$C$152,0)),"",IF(ISBLANK(OFFSET('Mock Database'!$T$2,MATCH($A370,'Mock Database'!$C$3:$C$152,0),0)),"",INDEX('Mock Database'!$T$3:$T$152,MATCH($A370,'Mock Database'!$C$3:$C$152,0))))</f>
        <v/>
      </c>
      <c r="H370" s="89" t="str">
        <f ca="1">IF(ISNA(MATCH($A370,'Mock Database'!$C$3:$C$152,0)),"",IF(ISBLANK(OFFSET('Mock Database'!$Y$2,MATCH($A370,'Mock Database'!$C$3:$C$152,0),0)),"",INDEX('Mock Database'!$Y$3:$Y$152,MATCH($A370,'Mock Database'!$C$3:$C$152,0))))</f>
        <v/>
      </c>
      <c r="I370" s="22" t="str">
        <f ca="1">IF(ISNA(MATCH($A370,'Mock Database'!$C$3:$C$152,0)),"",IF(ISBLANK(OFFSET('Mock Database'!$Z$2,MATCH($A370,'Mock Database'!$C$3:$C$152,0),0)),"",INDEX('Mock Database'!$Z$3:$Z$152,MATCH($A370,'Mock Database'!$C$3:$C$152,0))))</f>
        <v/>
      </c>
      <c r="J370" s="89" t="str">
        <f ca="1">IF(ISNA(MATCH($A370,'Mock Database'!$C$3:$C$152,0)),"",IF(ISBLANK(OFFSET('Mock Database'!$AE$2,MATCH($A370,'Mock Database'!$C$3:$C$152,0),0)),"",INDEX('Mock Database'!$AE$3:$AE$152,MATCH($A370,'Mock Database'!$C$3:$C$152,0))))</f>
        <v/>
      </c>
      <c r="K370" s="22" t="str">
        <f ca="1">IF(ISNA(MATCH($A370,'Mock Database'!$C$3:$C$152,0)),"",IF(ISBLANK(OFFSET('Mock Database'!$AF$2,MATCH($A370,'Mock Database'!$C$3:$C$152,0),0)),"",INDEX('Mock Database'!$AF$3:$AF$152,MATCH($A370,'Mock Database'!$C$3:$C$152,0))))</f>
        <v/>
      </c>
      <c r="N370" t="e">
        <f t="shared" si="55"/>
        <v>#N/A</v>
      </c>
      <c r="O370" s="89" t="e">
        <f t="shared" ca="1" si="56"/>
        <v>#N/A</v>
      </c>
      <c r="P370" s="22" t="e">
        <f t="shared" ca="1" si="57"/>
        <v>#N/A</v>
      </c>
      <c r="Q370" s="89" t="e">
        <f t="shared" ca="1" si="58"/>
        <v>#N/A</v>
      </c>
      <c r="R370" s="22" t="e">
        <f t="shared" ca="1" si="59"/>
        <v>#N/A</v>
      </c>
      <c r="S370" s="89" t="e">
        <f t="shared" ca="1" si="60"/>
        <v>#N/A</v>
      </c>
      <c r="T370" s="22" t="e">
        <f t="shared" ca="1" si="61"/>
        <v>#N/A</v>
      </c>
      <c r="U370" s="89" t="e">
        <f t="shared" ca="1" si="62"/>
        <v>#N/A</v>
      </c>
      <c r="V370" s="22" t="e">
        <f t="shared" ca="1" si="63"/>
        <v>#N/A</v>
      </c>
      <c r="AM370" t="e">
        <f t="shared" si="64"/>
        <v>#N/A</v>
      </c>
      <c r="AN370" t="e">
        <f t="shared" ca="1" si="65"/>
        <v>#N/A</v>
      </c>
    </row>
    <row r="371" spans="1:40" x14ac:dyDescent="0.3">
      <c r="A371" s="87">
        <v>370</v>
      </c>
      <c r="B371" t="str">
        <f>IFERROR(INDEX('Mock Database'!$D$3:$D$152,MATCH($A371,'Mock Database'!$C$3:$C$152,0)),"")</f>
        <v/>
      </c>
      <c r="C371" s="88" t="str">
        <f>IFERROR(INDEX('Mock Database'!$I$3:$I$152,MATCH($A371,'Mock Database'!$C$3:$C$152,0)),"")</f>
        <v/>
      </c>
      <c r="D371" s="89" t="str">
        <f ca="1">IF(ISNA(MATCH($A371,'Mock Database'!$C$3:$C$152,0)),"",IF(ISBLANK(OFFSET('Mock Database'!$M$2,MATCH($A371,'Mock Database'!$C$3:$C$152,0),0)),"",INDEX('Mock Database'!$M$3:$M$152,MATCH($A371,'Mock Database'!$C$3:$C$152,0))))</f>
        <v/>
      </c>
      <c r="E371" s="22" t="str">
        <f ca="1">IF(ISNA(MATCH($A371,'Mock Database'!$C$3:$C$152,0)),"",IF(ISBLANK(OFFSET('Mock Database'!$N$2,MATCH($A371,'Mock Database'!$C$3:$C$152,0),0)),"",INDEX('Mock Database'!$N$3:$N$152,MATCH($A371,'Mock Database'!$C$3:$C$152,0))))</f>
        <v/>
      </c>
      <c r="F371" s="89" t="str">
        <f ca="1">IF(ISNA(MATCH($A371,'Mock Database'!$C$3:$C$152,0)),"",IF(ISBLANK(OFFSET('Mock Database'!$S$2,MATCH($A371,'Mock Database'!$C$3:$C$152,0),0)),"",INDEX('Mock Database'!$S$3:$S$152,MATCH($A371,'Mock Database'!$C$3:$C$152,0))))</f>
        <v/>
      </c>
      <c r="G371" s="22" t="str">
        <f ca="1">IF(ISNA(MATCH($A371,'Mock Database'!$C$3:$C$152,0)),"",IF(ISBLANK(OFFSET('Mock Database'!$T$2,MATCH($A371,'Mock Database'!$C$3:$C$152,0),0)),"",INDEX('Mock Database'!$T$3:$T$152,MATCH($A371,'Mock Database'!$C$3:$C$152,0))))</f>
        <v/>
      </c>
      <c r="H371" s="89" t="str">
        <f ca="1">IF(ISNA(MATCH($A371,'Mock Database'!$C$3:$C$152,0)),"",IF(ISBLANK(OFFSET('Mock Database'!$Y$2,MATCH($A371,'Mock Database'!$C$3:$C$152,0),0)),"",INDEX('Mock Database'!$Y$3:$Y$152,MATCH($A371,'Mock Database'!$C$3:$C$152,0))))</f>
        <v/>
      </c>
      <c r="I371" s="22" t="str">
        <f ca="1">IF(ISNA(MATCH($A371,'Mock Database'!$C$3:$C$152,0)),"",IF(ISBLANK(OFFSET('Mock Database'!$Z$2,MATCH($A371,'Mock Database'!$C$3:$C$152,0),0)),"",INDEX('Mock Database'!$Z$3:$Z$152,MATCH($A371,'Mock Database'!$C$3:$C$152,0))))</f>
        <v/>
      </c>
      <c r="J371" s="89" t="str">
        <f ca="1">IF(ISNA(MATCH($A371,'Mock Database'!$C$3:$C$152,0)),"",IF(ISBLANK(OFFSET('Mock Database'!$AE$2,MATCH($A371,'Mock Database'!$C$3:$C$152,0),0)),"",INDEX('Mock Database'!$AE$3:$AE$152,MATCH($A371,'Mock Database'!$C$3:$C$152,0))))</f>
        <v/>
      </c>
      <c r="K371" s="22" t="str">
        <f ca="1">IF(ISNA(MATCH($A371,'Mock Database'!$C$3:$C$152,0)),"",IF(ISBLANK(OFFSET('Mock Database'!$AF$2,MATCH($A371,'Mock Database'!$C$3:$C$152,0),0)),"",INDEX('Mock Database'!$AF$3:$AF$152,MATCH($A371,'Mock Database'!$C$3:$C$152,0))))</f>
        <v/>
      </c>
      <c r="N371" t="e">
        <f t="shared" si="55"/>
        <v>#N/A</v>
      </c>
      <c r="O371" s="89" t="e">
        <f t="shared" ca="1" si="56"/>
        <v>#N/A</v>
      </c>
      <c r="P371" s="22" t="e">
        <f t="shared" ca="1" si="57"/>
        <v>#N/A</v>
      </c>
      <c r="Q371" s="89" t="e">
        <f t="shared" ca="1" si="58"/>
        <v>#N/A</v>
      </c>
      <c r="R371" s="22" t="e">
        <f t="shared" ca="1" si="59"/>
        <v>#N/A</v>
      </c>
      <c r="S371" s="89" t="e">
        <f t="shared" ca="1" si="60"/>
        <v>#N/A</v>
      </c>
      <c r="T371" s="22" t="e">
        <f t="shared" ca="1" si="61"/>
        <v>#N/A</v>
      </c>
      <c r="U371" s="89" t="e">
        <f t="shared" ca="1" si="62"/>
        <v>#N/A</v>
      </c>
      <c r="V371" s="22" t="e">
        <f t="shared" ca="1" si="63"/>
        <v>#N/A</v>
      </c>
      <c r="AM371" t="e">
        <f t="shared" si="64"/>
        <v>#N/A</v>
      </c>
      <c r="AN371" t="e">
        <f t="shared" ca="1" si="65"/>
        <v>#N/A</v>
      </c>
    </row>
    <row r="372" spans="1:40" x14ac:dyDescent="0.3">
      <c r="A372" s="87">
        <v>371</v>
      </c>
      <c r="B372" t="str">
        <f>IFERROR(INDEX('Mock Database'!$D$3:$D$152,MATCH($A372,'Mock Database'!$C$3:$C$152,0)),"")</f>
        <v/>
      </c>
      <c r="C372" s="88" t="str">
        <f>IFERROR(INDEX('Mock Database'!$I$3:$I$152,MATCH($A372,'Mock Database'!$C$3:$C$152,0)),"")</f>
        <v/>
      </c>
      <c r="D372" s="89" t="str">
        <f ca="1">IF(ISNA(MATCH($A372,'Mock Database'!$C$3:$C$152,0)),"",IF(ISBLANK(OFFSET('Mock Database'!$M$2,MATCH($A372,'Mock Database'!$C$3:$C$152,0),0)),"",INDEX('Mock Database'!$M$3:$M$152,MATCH($A372,'Mock Database'!$C$3:$C$152,0))))</f>
        <v/>
      </c>
      <c r="E372" s="22" t="str">
        <f ca="1">IF(ISNA(MATCH($A372,'Mock Database'!$C$3:$C$152,0)),"",IF(ISBLANK(OFFSET('Mock Database'!$N$2,MATCH($A372,'Mock Database'!$C$3:$C$152,0),0)),"",INDEX('Mock Database'!$N$3:$N$152,MATCH($A372,'Mock Database'!$C$3:$C$152,0))))</f>
        <v/>
      </c>
      <c r="F372" s="89" t="str">
        <f ca="1">IF(ISNA(MATCH($A372,'Mock Database'!$C$3:$C$152,0)),"",IF(ISBLANK(OFFSET('Mock Database'!$S$2,MATCH($A372,'Mock Database'!$C$3:$C$152,0),0)),"",INDEX('Mock Database'!$S$3:$S$152,MATCH($A372,'Mock Database'!$C$3:$C$152,0))))</f>
        <v/>
      </c>
      <c r="G372" s="22" t="str">
        <f ca="1">IF(ISNA(MATCH($A372,'Mock Database'!$C$3:$C$152,0)),"",IF(ISBLANK(OFFSET('Mock Database'!$T$2,MATCH($A372,'Mock Database'!$C$3:$C$152,0),0)),"",INDEX('Mock Database'!$T$3:$T$152,MATCH($A372,'Mock Database'!$C$3:$C$152,0))))</f>
        <v/>
      </c>
      <c r="H372" s="89" t="str">
        <f ca="1">IF(ISNA(MATCH($A372,'Mock Database'!$C$3:$C$152,0)),"",IF(ISBLANK(OFFSET('Mock Database'!$Y$2,MATCH($A372,'Mock Database'!$C$3:$C$152,0),0)),"",INDEX('Mock Database'!$Y$3:$Y$152,MATCH($A372,'Mock Database'!$C$3:$C$152,0))))</f>
        <v/>
      </c>
      <c r="I372" s="22" t="str">
        <f ca="1">IF(ISNA(MATCH($A372,'Mock Database'!$C$3:$C$152,0)),"",IF(ISBLANK(OFFSET('Mock Database'!$Z$2,MATCH($A372,'Mock Database'!$C$3:$C$152,0),0)),"",INDEX('Mock Database'!$Z$3:$Z$152,MATCH($A372,'Mock Database'!$C$3:$C$152,0))))</f>
        <v/>
      </c>
      <c r="J372" s="89" t="str">
        <f ca="1">IF(ISNA(MATCH($A372,'Mock Database'!$C$3:$C$152,0)),"",IF(ISBLANK(OFFSET('Mock Database'!$AE$2,MATCH($A372,'Mock Database'!$C$3:$C$152,0),0)),"",INDEX('Mock Database'!$AE$3:$AE$152,MATCH($A372,'Mock Database'!$C$3:$C$152,0))))</f>
        <v/>
      </c>
      <c r="K372" s="22" t="str">
        <f ca="1">IF(ISNA(MATCH($A372,'Mock Database'!$C$3:$C$152,0)),"",IF(ISBLANK(OFFSET('Mock Database'!$AF$2,MATCH($A372,'Mock Database'!$C$3:$C$152,0),0)),"",INDEX('Mock Database'!$AF$3:$AF$152,MATCH($A372,'Mock Database'!$C$3:$C$152,0))))</f>
        <v/>
      </c>
      <c r="N372" t="e">
        <f t="shared" si="55"/>
        <v>#N/A</v>
      </c>
      <c r="O372" s="89" t="e">
        <f t="shared" ca="1" si="56"/>
        <v>#N/A</v>
      </c>
      <c r="P372" s="22" t="e">
        <f t="shared" ca="1" si="57"/>
        <v>#N/A</v>
      </c>
      <c r="Q372" s="89" t="e">
        <f t="shared" ca="1" si="58"/>
        <v>#N/A</v>
      </c>
      <c r="R372" s="22" t="e">
        <f t="shared" ca="1" si="59"/>
        <v>#N/A</v>
      </c>
      <c r="S372" s="89" t="e">
        <f t="shared" ca="1" si="60"/>
        <v>#N/A</v>
      </c>
      <c r="T372" s="22" t="e">
        <f t="shared" ca="1" si="61"/>
        <v>#N/A</v>
      </c>
      <c r="U372" s="89" t="e">
        <f t="shared" ca="1" si="62"/>
        <v>#N/A</v>
      </c>
      <c r="V372" s="22" t="e">
        <f t="shared" ca="1" si="63"/>
        <v>#N/A</v>
      </c>
      <c r="AM372" t="e">
        <f t="shared" si="64"/>
        <v>#N/A</v>
      </c>
      <c r="AN372" t="e">
        <f t="shared" ca="1" si="65"/>
        <v>#N/A</v>
      </c>
    </row>
    <row r="373" spans="1:40" x14ac:dyDescent="0.3">
      <c r="A373" s="87">
        <v>372</v>
      </c>
      <c r="B373" t="str">
        <f>IFERROR(INDEX('Mock Database'!$D$3:$D$152,MATCH($A373,'Mock Database'!$C$3:$C$152,0)),"")</f>
        <v/>
      </c>
      <c r="C373" s="88" t="str">
        <f>IFERROR(INDEX('Mock Database'!$I$3:$I$152,MATCH($A373,'Mock Database'!$C$3:$C$152,0)),"")</f>
        <v/>
      </c>
      <c r="D373" s="89" t="str">
        <f ca="1">IF(ISNA(MATCH($A373,'Mock Database'!$C$3:$C$152,0)),"",IF(ISBLANK(OFFSET('Mock Database'!$M$2,MATCH($A373,'Mock Database'!$C$3:$C$152,0),0)),"",INDEX('Mock Database'!$M$3:$M$152,MATCH($A373,'Mock Database'!$C$3:$C$152,0))))</f>
        <v/>
      </c>
      <c r="E373" s="22" t="str">
        <f ca="1">IF(ISNA(MATCH($A373,'Mock Database'!$C$3:$C$152,0)),"",IF(ISBLANK(OFFSET('Mock Database'!$N$2,MATCH($A373,'Mock Database'!$C$3:$C$152,0),0)),"",INDEX('Mock Database'!$N$3:$N$152,MATCH($A373,'Mock Database'!$C$3:$C$152,0))))</f>
        <v/>
      </c>
      <c r="F373" s="89" t="str">
        <f ca="1">IF(ISNA(MATCH($A373,'Mock Database'!$C$3:$C$152,0)),"",IF(ISBLANK(OFFSET('Mock Database'!$S$2,MATCH($A373,'Mock Database'!$C$3:$C$152,0),0)),"",INDEX('Mock Database'!$S$3:$S$152,MATCH($A373,'Mock Database'!$C$3:$C$152,0))))</f>
        <v/>
      </c>
      <c r="G373" s="22" t="str">
        <f ca="1">IF(ISNA(MATCH($A373,'Mock Database'!$C$3:$C$152,0)),"",IF(ISBLANK(OFFSET('Mock Database'!$T$2,MATCH($A373,'Mock Database'!$C$3:$C$152,0),0)),"",INDEX('Mock Database'!$T$3:$T$152,MATCH($A373,'Mock Database'!$C$3:$C$152,0))))</f>
        <v/>
      </c>
      <c r="H373" s="89" t="str">
        <f ca="1">IF(ISNA(MATCH($A373,'Mock Database'!$C$3:$C$152,0)),"",IF(ISBLANK(OFFSET('Mock Database'!$Y$2,MATCH($A373,'Mock Database'!$C$3:$C$152,0),0)),"",INDEX('Mock Database'!$Y$3:$Y$152,MATCH($A373,'Mock Database'!$C$3:$C$152,0))))</f>
        <v/>
      </c>
      <c r="I373" s="22" t="str">
        <f ca="1">IF(ISNA(MATCH($A373,'Mock Database'!$C$3:$C$152,0)),"",IF(ISBLANK(OFFSET('Mock Database'!$Z$2,MATCH($A373,'Mock Database'!$C$3:$C$152,0),0)),"",INDEX('Mock Database'!$Z$3:$Z$152,MATCH($A373,'Mock Database'!$C$3:$C$152,0))))</f>
        <v/>
      </c>
      <c r="J373" s="89" t="str">
        <f ca="1">IF(ISNA(MATCH($A373,'Mock Database'!$C$3:$C$152,0)),"",IF(ISBLANK(OFFSET('Mock Database'!$AE$2,MATCH($A373,'Mock Database'!$C$3:$C$152,0),0)),"",INDEX('Mock Database'!$AE$3:$AE$152,MATCH($A373,'Mock Database'!$C$3:$C$152,0))))</f>
        <v/>
      </c>
      <c r="K373" s="22" t="str">
        <f ca="1">IF(ISNA(MATCH($A373,'Mock Database'!$C$3:$C$152,0)),"",IF(ISBLANK(OFFSET('Mock Database'!$AF$2,MATCH($A373,'Mock Database'!$C$3:$C$152,0),0)),"",INDEX('Mock Database'!$AF$3:$AF$152,MATCH($A373,'Mock Database'!$C$3:$C$152,0))))</f>
        <v/>
      </c>
      <c r="N373" t="e">
        <f t="shared" si="55"/>
        <v>#N/A</v>
      </c>
      <c r="O373" s="89" t="e">
        <f t="shared" ca="1" si="56"/>
        <v>#N/A</v>
      </c>
      <c r="P373" s="22" t="e">
        <f t="shared" ca="1" si="57"/>
        <v>#N/A</v>
      </c>
      <c r="Q373" s="89" t="e">
        <f t="shared" ca="1" si="58"/>
        <v>#N/A</v>
      </c>
      <c r="R373" s="22" t="e">
        <f t="shared" ca="1" si="59"/>
        <v>#N/A</v>
      </c>
      <c r="S373" s="89" t="e">
        <f t="shared" ca="1" si="60"/>
        <v>#N/A</v>
      </c>
      <c r="T373" s="22" t="e">
        <f t="shared" ca="1" si="61"/>
        <v>#N/A</v>
      </c>
      <c r="U373" s="89" t="e">
        <f t="shared" ca="1" si="62"/>
        <v>#N/A</v>
      </c>
      <c r="V373" s="22" t="e">
        <f t="shared" ca="1" si="63"/>
        <v>#N/A</v>
      </c>
      <c r="AM373" t="e">
        <f t="shared" si="64"/>
        <v>#N/A</v>
      </c>
      <c r="AN373" t="e">
        <f t="shared" ca="1" si="65"/>
        <v>#N/A</v>
      </c>
    </row>
    <row r="374" spans="1:40" x14ac:dyDescent="0.3">
      <c r="A374" s="87">
        <v>373</v>
      </c>
      <c r="B374" t="str">
        <f>IFERROR(INDEX('Mock Database'!$D$3:$D$152,MATCH($A374,'Mock Database'!$C$3:$C$152,0)),"")</f>
        <v/>
      </c>
      <c r="C374" s="88" t="str">
        <f>IFERROR(INDEX('Mock Database'!$I$3:$I$152,MATCH($A374,'Mock Database'!$C$3:$C$152,0)),"")</f>
        <v/>
      </c>
      <c r="D374" s="89" t="str">
        <f ca="1">IF(ISNA(MATCH($A374,'Mock Database'!$C$3:$C$152,0)),"",IF(ISBLANK(OFFSET('Mock Database'!$M$2,MATCH($A374,'Mock Database'!$C$3:$C$152,0),0)),"",INDEX('Mock Database'!$M$3:$M$152,MATCH($A374,'Mock Database'!$C$3:$C$152,0))))</f>
        <v/>
      </c>
      <c r="E374" s="22" t="str">
        <f ca="1">IF(ISNA(MATCH($A374,'Mock Database'!$C$3:$C$152,0)),"",IF(ISBLANK(OFFSET('Mock Database'!$N$2,MATCH($A374,'Mock Database'!$C$3:$C$152,0),0)),"",INDEX('Mock Database'!$N$3:$N$152,MATCH($A374,'Mock Database'!$C$3:$C$152,0))))</f>
        <v/>
      </c>
      <c r="F374" s="89" t="str">
        <f ca="1">IF(ISNA(MATCH($A374,'Mock Database'!$C$3:$C$152,0)),"",IF(ISBLANK(OFFSET('Mock Database'!$S$2,MATCH($A374,'Mock Database'!$C$3:$C$152,0),0)),"",INDEX('Mock Database'!$S$3:$S$152,MATCH($A374,'Mock Database'!$C$3:$C$152,0))))</f>
        <v/>
      </c>
      <c r="G374" s="22" t="str">
        <f ca="1">IF(ISNA(MATCH($A374,'Mock Database'!$C$3:$C$152,0)),"",IF(ISBLANK(OFFSET('Mock Database'!$T$2,MATCH($A374,'Mock Database'!$C$3:$C$152,0),0)),"",INDEX('Mock Database'!$T$3:$T$152,MATCH($A374,'Mock Database'!$C$3:$C$152,0))))</f>
        <v/>
      </c>
      <c r="H374" s="89" t="str">
        <f ca="1">IF(ISNA(MATCH($A374,'Mock Database'!$C$3:$C$152,0)),"",IF(ISBLANK(OFFSET('Mock Database'!$Y$2,MATCH($A374,'Mock Database'!$C$3:$C$152,0),0)),"",INDEX('Mock Database'!$Y$3:$Y$152,MATCH($A374,'Mock Database'!$C$3:$C$152,0))))</f>
        <v/>
      </c>
      <c r="I374" s="22" t="str">
        <f ca="1">IF(ISNA(MATCH($A374,'Mock Database'!$C$3:$C$152,0)),"",IF(ISBLANK(OFFSET('Mock Database'!$Z$2,MATCH($A374,'Mock Database'!$C$3:$C$152,0),0)),"",INDEX('Mock Database'!$Z$3:$Z$152,MATCH($A374,'Mock Database'!$C$3:$C$152,0))))</f>
        <v/>
      </c>
      <c r="J374" s="89" t="str">
        <f ca="1">IF(ISNA(MATCH($A374,'Mock Database'!$C$3:$C$152,0)),"",IF(ISBLANK(OFFSET('Mock Database'!$AE$2,MATCH($A374,'Mock Database'!$C$3:$C$152,0),0)),"",INDEX('Mock Database'!$AE$3:$AE$152,MATCH($A374,'Mock Database'!$C$3:$C$152,0))))</f>
        <v/>
      </c>
      <c r="K374" s="22" t="str">
        <f ca="1">IF(ISNA(MATCH($A374,'Mock Database'!$C$3:$C$152,0)),"",IF(ISBLANK(OFFSET('Mock Database'!$AF$2,MATCH($A374,'Mock Database'!$C$3:$C$152,0),0)),"",INDEX('Mock Database'!$AF$3:$AF$152,MATCH($A374,'Mock Database'!$C$3:$C$152,0))))</f>
        <v/>
      </c>
      <c r="N374" t="e">
        <f t="shared" si="55"/>
        <v>#N/A</v>
      </c>
      <c r="O374" s="89" t="e">
        <f t="shared" ca="1" si="56"/>
        <v>#N/A</v>
      </c>
      <c r="P374" s="22" t="e">
        <f t="shared" ca="1" si="57"/>
        <v>#N/A</v>
      </c>
      <c r="Q374" s="89" t="e">
        <f t="shared" ca="1" si="58"/>
        <v>#N/A</v>
      </c>
      <c r="R374" s="22" t="e">
        <f t="shared" ca="1" si="59"/>
        <v>#N/A</v>
      </c>
      <c r="S374" s="89" t="e">
        <f t="shared" ca="1" si="60"/>
        <v>#N/A</v>
      </c>
      <c r="T374" s="22" t="e">
        <f t="shared" ca="1" si="61"/>
        <v>#N/A</v>
      </c>
      <c r="U374" s="89" t="e">
        <f t="shared" ca="1" si="62"/>
        <v>#N/A</v>
      </c>
      <c r="V374" s="22" t="e">
        <f t="shared" ca="1" si="63"/>
        <v>#N/A</v>
      </c>
      <c r="AM374" t="e">
        <f t="shared" si="64"/>
        <v>#N/A</v>
      </c>
      <c r="AN374" t="e">
        <f t="shared" ca="1" si="65"/>
        <v>#N/A</v>
      </c>
    </row>
    <row r="375" spans="1:40" x14ac:dyDescent="0.3">
      <c r="A375" s="87">
        <v>374</v>
      </c>
      <c r="B375" t="str">
        <f>IFERROR(INDEX('Mock Database'!$D$3:$D$152,MATCH($A375,'Mock Database'!$C$3:$C$152,0)),"")</f>
        <v/>
      </c>
      <c r="C375" s="88" t="str">
        <f>IFERROR(INDEX('Mock Database'!$I$3:$I$152,MATCH($A375,'Mock Database'!$C$3:$C$152,0)),"")</f>
        <v/>
      </c>
      <c r="D375" s="89" t="str">
        <f ca="1">IF(ISNA(MATCH($A375,'Mock Database'!$C$3:$C$152,0)),"",IF(ISBLANK(OFFSET('Mock Database'!$M$2,MATCH($A375,'Mock Database'!$C$3:$C$152,0),0)),"",INDEX('Mock Database'!$M$3:$M$152,MATCH($A375,'Mock Database'!$C$3:$C$152,0))))</f>
        <v/>
      </c>
      <c r="E375" s="22" t="str">
        <f ca="1">IF(ISNA(MATCH($A375,'Mock Database'!$C$3:$C$152,0)),"",IF(ISBLANK(OFFSET('Mock Database'!$N$2,MATCH($A375,'Mock Database'!$C$3:$C$152,0),0)),"",INDEX('Mock Database'!$N$3:$N$152,MATCH($A375,'Mock Database'!$C$3:$C$152,0))))</f>
        <v/>
      </c>
      <c r="F375" s="89" t="str">
        <f ca="1">IF(ISNA(MATCH($A375,'Mock Database'!$C$3:$C$152,0)),"",IF(ISBLANK(OFFSET('Mock Database'!$S$2,MATCH($A375,'Mock Database'!$C$3:$C$152,0),0)),"",INDEX('Mock Database'!$S$3:$S$152,MATCH($A375,'Mock Database'!$C$3:$C$152,0))))</f>
        <v/>
      </c>
      <c r="G375" s="22" t="str">
        <f ca="1">IF(ISNA(MATCH($A375,'Mock Database'!$C$3:$C$152,0)),"",IF(ISBLANK(OFFSET('Mock Database'!$T$2,MATCH($A375,'Mock Database'!$C$3:$C$152,0),0)),"",INDEX('Mock Database'!$T$3:$T$152,MATCH($A375,'Mock Database'!$C$3:$C$152,0))))</f>
        <v/>
      </c>
      <c r="H375" s="89" t="str">
        <f ca="1">IF(ISNA(MATCH($A375,'Mock Database'!$C$3:$C$152,0)),"",IF(ISBLANK(OFFSET('Mock Database'!$Y$2,MATCH($A375,'Mock Database'!$C$3:$C$152,0),0)),"",INDEX('Mock Database'!$Y$3:$Y$152,MATCH($A375,'Mock Database'!$C$3:$C$152,0))))</f>
        <v/>
      </c>
      <c r="I375" s="22" t="str">
        <f ca="1">IF(ISNA(MATCH($A375,'Mock Database'!$C$3:$C$152,0)),"",IF(ISBLANK(OFFSET('Mock Database'!$Z$2,MATCH($A375,'Mock Database'!$C$3:$C$152,0),0)),"",INDEX('Mock Database'!$Z$3:$Z$152,MATCH($A375,'Mock Database'!$C$3:$C$152,0))))</f>
        <v/>
      </c>
      <c r="J375" s="89" t="str">
        <f ca="1">IF(ISNA(MATCH($A375,'Mock Database'!$C$3:$C$152,0)),"",IF(ISBLANK(OFFSET('Mock Database'!$AE$2,MATCH($A375,'Mock Database'!$C$3:$C$152,0),0)),"",INDEX('Mock Database'!$AE$3:$AE$152,MATCH($A375,'Mock Database'!$C$3:$C$152,0))))</f>
        <v/>
      </c>
      <c r="K375" s="22" t="str">
        <f ca="1">IF(ISNA(MATCH($A375,'Mock Database'!$C$3:$C$152,0)),"",IF(ISBLANK(OFFSET('Mock Database'!$AF$2,MATCH($A375,'Mock Database'!$C$3:$C$152,0),0)),"",INDEX('Mock Database'!$AF$3:$AF$152,MATCH($A375,'Mock Database'!$C$3:$C$152,0))))</f>
        <v/>
      </c>
      <c r="N375" t="e">
        <f t="shared" si="55"/>
        <v>#N/A</v>
      </c>
      <c r="O375" s="89" t="e">
        <f t="shared" ca="1" si="56"/>
        <v>#N/A</v>
      </c>
      <c r="P375" s="22" t="e">
        <f t="shared" ca="1" si="57"/>
        <v>#N/A</v>
      </c>
      <c r="Q375" s="89" t="e">
        <f t="shared" ca="1" si="58"/>
        <v>#N/A</v>
      </c>
      <c r="R375" s="22" t="e">
        <f t="shared" ca="1" si="59"/>
        <v>#N/A</v>
      </c>
      <c r="S375" s="89" t="e">
        <f t="shared" ca="1" si="60"/>
        <v>#N/A</v>
      </c>
      <c r="T375" s="22" t="e">
        <f t="shared" ca="1" si="61"/>
        <v>#N/A</v>
      </c>
      <c r="U375" s="89" t="e">
        <f t="shared" ca="1" si="62"/>
        <v>#N/A</v>
      </c>
      <c r="V375" s="22" t="e">
        <f t="shared" ca="1" si="63"/>
        <v>#N/A</v>
      </c>
      <c r="AM375" t="e">
        <f t="shared" si="64"/>
        <v>#N/A</v>
      </c>
      <c r="AN375" t="e">
        <f t="shared" ca="1" si="65"/>
        <v>#N/A</v>
      </c>
    </row>
    <row r="376" spans="1:40" x14ac:dyDescent="0.3">
      <c r="A376" s="87">
        <v>375</v>
      </c>
      <c r="B376" t="str">
        <f>IFERROR(INDEX('Mock Database'!$D$3:$D$152,MATCH($A376,'Mock Database'!$C$3:$C$152,0)),"")</f>
        <v/>
      </c>
      <c r="C376" s="88" t="str">
        <f>IFERROR(INDEX('Mock Database'!$I$3:$I$152,MATCH($A376,'Mock Database'!$C$3:$C$152,0)),"")</f>
        <v/>
      </c>
      <c r="D376" s="89" t="str">
        <f ca="1">IF(ISNA(MATCH($A376,'Mock Database'!$C$3:$C$152,0)),"",IF(ISBLANK(OFFSET('Mock Database'!$M$2,MATCH($A376,'Mock Database'!$C$3:$C$152,0),0)),"",INDEX('Mock Database'!$M$3:$M$152,MATCH($A376,'Mock Database'!$C$3:$C$152,0))))</f>
        <v/>
      </c>
      <c r="E376" s="22" t="str">
        <f ca="1">IF(ISNA(MATCH($A376,'Mock Database'!$C$3:$C$152,0)),"",IF(ISBLANK(OFFSET('Mock Database'!$N$2,MATCH($A376,'Mock Database'!$C$3:$C$152,0),0)),"",INDEX('Mock Database'!$N$3:$N$152,MATCH($A376,'Mock Database'!$C$3:$C$152,0))))</f>
        <v/>
      </c>
      <c r="F376" s="89" t="str">
        <f ca="1">IF(ISNA(MATCH($A376,'Mock Database'!$C$3:$C$152,0)),"",IF(ISBLANK(OFFSET('Mock Database'!$S$2,MATCH($A376,'Mock Database'!$C$3:$C$152,0),0)),"",INDEX('Mock Database'!$S$3:$S$152,MATCH($A376,'Mock Database'!$C$3:$C$152,0))))</f>
        <v/>
      </c>
      <c r="G376" s="22" t="str">
        <f ca="1">IF(ISNA(MATCH($A376,'Mock Database'!$C$3:$C$152,0)),"",IF(ISBLANK(OFFSET('Mock Database'!$T$2,MATCH($A376,'Mock Database'!$C$3:$C$152,0),0)),"",INDEX('Mock Database'!$T$3:$T$152,MATCH($A376,'Mock Database'!$C$3:$C$152,0))))</f>
        <v/>
      </c>
      <c r="H376" s="89" t="str">
        <f ca="1">IF(ISNA(MATCH($A376,'Mock Database'!$C$3:$C$152,0)),"",IF(ISBLANK(OFFSET('Mock Database'!$Y$2,MATCH($A376,'Mock Database'!$C$3:$C$152,0),0)),"",INDEX('Mock Database'!$Y$3:$Y$152,MATCH($A376,'Mock Database'!$C$3:$C$152,0))))</f>
        <v/>
      </c>
      <c r="I376" s="22" t="str">
        <f ca="1">IF(ISNA(MATCH($A376,'Mock Database'!$C$3:$C$152,0)),"",IF(ISBLANK(OFFSET('Mock Database'!$Z$2,MATCH($A376,'Mock Database'!$C$3:$C$152,0),0)),"",INDEX('Mock Database'!$Z$3:$Z$152,MATCH($A376,'Mock Database'!$C$3:$C$152,0))))</f>
        <v/>
      </c>
      <c r="J376" s="89" t="str">
        <f ca="1">IF(ISNA(MATCH($A376,'Mock Database'!$C$3:$C$152,0)),"",IF(ISBLANK(OFFSET('Mock Database'!$AE$2,MATCH($A376,'Mock Database'!$C$3:$C$152,0),0)),"",INDEX('Mock Database'!$AE$3:$AE$152,MATCH($A376,'Mock Database'!$C$3:$C$152,0))))</f>
        <v/>
      </c>
      <c r="K376" s="22" t="str">
        <f ca="1">IF(ISNA(MATCH($A376,'Mock Database'!$C$3:$C$152,0)),"",IF(ISBLANK(OFFSET('Mock Database'!$AF$2,MATCH($A376,'Mock Database'!$C$3:$C$152,0),0)),"",INDEX('Mock Database'!$AF$3:$AF$152,MATCH($A376,'Mock Database'!$C$3:$C$152,0))))</f>
        <v/>
      </c>
      <c r="N376" t="e">
        <f t="shared" si="55"/>
        <v>#N/A</v>
      </c>
      <c r="O376" s="89" t="e">
        <f t="shared" ca="1" si="56"/>
        <v>#N/A</v>
      </c>
      <c r="P376" s="22" t="e">
        <f t="shared" ca="1" si="57"/>
        <v>#N/A</v>
      </c>
      <c r="Q376" s="89" t="e">
        <f t="shared" ca="1" si="58"/>
        <v>#N/A</v>
      </c>
      <c r="R376" s="22" t="e">
        <f t="shared" ca="1" si="59"/>
        <v>#N/A</v>
      </c>
      <c r="S376" s="89" t="e">
        <f t="shared" ca="1" si="60"/>
        <v>#N/A</v>
      </c>
      <c r="T376" s="22" t="e">
        <f t="shared" ca="1" si="61"/>
        <v>#N/A</v>
      </c>
      <c r="U376" s="89" t="e">
        <f t="shared" ca="1" si="62"/>
        <v>#N/A</v>
      </c>
      <c r="V376" s="22" t="e">
        <f t="shared" ca="1" si="63"/>
        <v>#N/A</v>
      </c>
      <c r="AM376" t="e">
        <f t="shared" si="64"/>
        <v>#N/A</v>
      </c>
      <c r="AN376" t="e">
        <f t="shared" ca="1" si="65"/>
        <v>#N/A</v>
      </c>
    </row>
    <row r="377" spans="1:40" x14ac:dyDescent="0.3">
      <c r="A377" s="87">
        <v>376</v>
      </c>
      <c r="B377" t="str">
        <f>IFERROR(INDEX('Mock Database'!$D$3:$D$152,MATCH($A377,'Mock Database'!$C$3:$C$152,0)),"")</f>
        <v/>
      </c>
      <c r="C377" s="88" t="str">
        <f>IFERROR(INDEX('Mock Database'!$I$3:$I$152,MATCH($A377,'Mock Database'!$C$3:$C$152,0)),"")</f>
        <v/>
      </c>
      <c r="D377" s="89" t="str">
        <f ca="1">IF(ISNA(MATCH($A377,'Mock Database'!$C$3:$C$152,0)),"",IF(ISBLANK(OFFSET('Mock Database'!$M$2,MATCH($A377,'Mock Database'!$C$3:$C$152,0),0)),"",INDEX('Mock Database'!$M$3:$M$152,MATCH($A377,'Mock Database'!$C$3:$C$152,0))))</f>
        <v/>
      </c>
      <c r="E377" s="22" t="str">
        <f ca="1">IF(ISNA(MATCH($A377,'Mock Database'!$C$3:$C$152,0)),"",IF(ISBLANK(OFFSET('Mock Database'!$N$2,MATCH($A377,'Mock Database'!$C$3:$C$152,0),0)),"",INDEX('Mock Database'!$N$3:$N$152,MATCH($A377,'Mock Database'!$C$3:$C$152,0))))</f>
        <v/>
      </c>
      <c r="F377" s="89" t="str">
        <f ca="1">IF(ISNA(MATCH($A377,'Mock Database'!$C$3:$C$152,0)),"",IF(ISBLANK(OFFSET('Mock Database'!$S$2,MATCH($A377,'Mock Database'!$C$3:$C$152,0),0)),"",INDEX('Mock Database'!$S$3:$S$152,MATCH($A377,'Mock Database'!$C$3:$C$152,0))))</f>
        <v/>
      </c>
      <c r="G377" s="22" t="str">
        <f ca="1">IF(ISNA(MATCH($A377,'Mock Database'!$C$3:$C$152,0)),"",IF(ISBLANK(OFFSET('Mock Database'!$T$2,MATCH($A377,'Mock Database'!$C$3:$C$152,0),0)),"",INDEX('Mock Database'!$T$3:$T$152,MATCH($A377,'Mock Database'!$C$3:$C$152,0))))</f>
        <v/>
      </c>
      <c r="H377" s="89" t="str">
        <f ca="1">IF(ISNA(MATCH($A377,'Mock Database'!$C$3:$C$152,0)),"",IF(ISBLANK(OFFSET('Mock Database'!$Y$2,MATCH($A377,'Mock Database'!$C$3:$C$152,0),0)),"",INDEX('Mock Database'!$Y$3:$Y$152,MATCH($A377,'Mock Database'!$C$3:$C$152,0))))</f>
        <v/>
      </c>
      <c r="I377" s="22" t="str">
        <f ca="1">IF(ISNA(MATCH($A377,'Mock Database'!$C$3:$C$152,0)),"",IF(ISBLANK(OFFSET('Mock Database'!$Z$2,MATCH($A377,'Mock Database'!$C$3:$C$152,0),0)),"",INDEX('Mock Database'!$Z$3:$Z$152,MATCH($A377,'Mock Database'!$C$3:$C$152,0))))</f>
        <v/>
      </c>
      <c r="J377" s="89" t="str">
        <f ca="1">IF(ISNA(MATCH($A377,'Mock Database'!$C$3:$C$152,0)),"",IF(ISBLANK(OFFSET('Mock Database'!$AE$2,MATCH($A377,'Mock Database'!$C$3:$C$152,0),0)),"",INDEX('Mock Database'!$AE$3:$AE$152,MATCH($A377,'Mock Database'!$C$3:$C$152,0))))</f>
        <v/>
      </c>
      <c r="K377" s="22" t="str">
        <f ca="1">IF(ISNA(MATCH($A377,'Mock Database'!$C$3:$C$152,0)),"",IF(ISBLANK(OFFSET('Mock Database'!$AF$2,MATCH($A377,'Mock Database'!$C$3:$C$152,0),0)),"",INDEX('Mock Database'!$AF$3:$AF$152,MATCH($A377,'Mock Database'!$C$3:$C$152,0))))</f>
        <v/>
      </c>
      <c r="N377" t="e">
        <f t="shared" si="55"/>
        <v>#N/A</v>
      </c>
      <c r="O377" s="89" t="e">
        <f t="shared" ca="1" si="56"/>
        <v>#N/A</v>
      </c>
      <c r="P377" s="22" t="e">
        <f t="shared" ca="1" si="57"/>
        <v>#N/A</v>
      </c>
      <c r="Q377" s="89" t="e">
        <f t="shared" ca="1" si="58"/>
        <v>#N/A</v>
      </c>
      <c r="R377" s="22" t="e">
        <f t="shared" ca="1" si="59"/>
        <v>#N/A</v>
      </c>
      <c r="S377" s="89" t="e">
        <f t="shared" ca="1" si="60"/>
        <v>#N/A</v>
      </c>
      <c r="T377" s="22" t="e">
        <f t="shared" ca="1" si="61"/>
        <v>#N/A</v>
      </c>
      <c r="U377" s="89" t="e">
        <f t="shared" ca="1" si="62"/>
        <v>#N/A</v>
      </c>
      <c r="V377" s="22" t="e">
        <f t="shared" ca="1" si="63"/>
        <v>#N/A</v>
      </c>
      <c r="AM377" t="e">
        <f t="shared" si="64"/>
        <v>#N/A</v>
      </c>
      <c r="AN377" t="e">
        <f t="shared" ca="1" si="65"/>
        <v>#N/A</v>
      </c>
    </row>
    <row r="378" spans="1:40" x14ac:dyDescent="0.3">
      <c r="A378" s="87">
        <v>377</v>
      </c>
      <c r="B378" t="str">
        <f>IFERROR(INDEX('Mock Database'!$D$3:$D$152,MATCH($A378,'Mock Database'!$C$3:$C$152,0)),"")</f>
        <v/>
      </c>
      <c r="C378" s="88" t="str">
        <f>IFERROR(INDEX('Mock Database'!$I$3:$I$152,MATCH($A378,'Mock Database'!$C$3:$C$152,0)),"")</f>
        <v/>
      </c>
      <c r="D378" s="89" t="str">
        <f ca="1">IF(ISNA(MATCH($A378,'Mock Database'!$C$3:$C$152,0)),"",IF(ISBLANK(OFFSET('Mock Database'!$M$2,MATCH($A378,'Mock Database'!$C$3:$C$152,0),0)),"",INDEX('Mock Database'!$M$3:$M$152,MATCH($A378,'Mock Database'!$C$3:$C$152,0))))</f>
        <v/>
      </c>
      <c r="E378" s="22" t="str">
        <f ca="1">IF(ISNA(MATCH($A378,'Mock Database'!$C$3:$C$152,0)),"",IF(ISBLANK(OFFSET('Mock Database'!$N$2,MATCH($A378,'Mock Database'!$C$3:$C$152,0),0)),"",INDEX('Mock Database'!$N$3:$N$152,MATCH($A378,'Mock Database'!$C$3:$C$152,0))))</f>
        <v/>
      </c>
      <c r="F378" s="89" t="str">
        <f ca="1">IF(ISNA(MATCH($A378,'Mock Database'!$C$3:$C$152,0)),"",IF(ISBLANK(OFFSET('Mock Database'!$S$2,MATCH($A378,'Mock Database'!$C$3:$C$152,0),0)),"",INDEX('Mock Database'!$S$3:$S$152,MATCH($A378,'Mock Database'!$C$3:$C$152,0))))</f>
        <v/>
      </c>
      <c r="G378" s="22" t="str">
        <f ca="1">IF(ISNA(MATCH($A378,'Mock Database'!$C$3:$C$152,0)),"",IF(ISBLANK(OFFSET('Mock Database'!$T$2,MATCH($A378,'Mock Database'!$C$3:$C$152,0),0)),"",INDEX('Mock Database'!$T$3:$T$152,MATCH($A378,'Mock Database'!$C$3:$C$152,0))))</f>
        <v/>
      </c>
      <c r="H378" s="89" t="str">
        <f ca="1">IF(ISNA(MATCH($A378,'Mock Database'!$C$3:$C$152,0)),"",IF(ISBLANK(OFFSET('Mock Database'!$Y$2,MATCH($A378,'Mock Database'!$C$3:$C$152,0),0)),"",INDEX('Mock Database'!$Y$3:$Y$152,MATCH($A378,'Mock Database'!$C$3:$C$152,0))))</f>
        <v/>
      </c>
      <c r="I378" s="22" t="str">
        <f ca="1">IF(ISNA(MATCH($A378,'Mock Database'!$C$3:$C$152,0)),"",IF(ISBLANK(OFFSET('Mock Database'!$Z$2,MATCH($A378,'Mock Database'!$C$3:$C$152,0),0)),"",INDEX('Mock Database'!$Z$3:$Z$152,MATCH($A378,'Mock Database'!$C$3:$C$152,0))))</f>
        <v/>
      </c>
      <c r="J378" s="89" t="str">
        <f ca="1">IF(ISNA(MATCH($A378,'Mock Database'!$C$3:$C$152,0)),"",IF(ISBLANK(OFFSET('Mock Database'!$AE$2,MATCH($A378,'Mock Database'!$C$3:$C$152,0),0)),"",INDEX('Mock Database'!$AE$3:$AE$152,MATCH($A378,'Mock Database'!$C$3:$C$152,0))))</f>
        <v/>
      </c>
      <c r="K378" s="22" t="str">
        <f ca="1">IF(ISNA(MATCH($A378,'Mock Database'!$C$3:$C$152,0)),"",IF(ISBLANK(OFFSET('Mock Database'!$AF$2,MATCH($A378,'Mock Database'!$C$3:$C$152,0),0)),"",INDEX('Mock Database'!$AF$3:$AF$152,MATCH($A378,'Mock Database'!$C$3:$C$152,0))))</f>
        <v/>
      </c>
      <c r="N378" t="e">
        <f t="shared" si="55"/>
        <v>#N/A</v>
      </c>
      <c r="O378" s="89" t="e">
        <f t="shared" ca="1" si="56"/>
        <v>#N/A</v>
      </c>
      <c r="P378" s="22" t="e">
        <f t="shared" ca="1" si="57"/>
        <v>#N/A</v>
      </c>
      <c r="Q378" s="89" t="e">
        <f t="shared" ca="1" si="58"/>
        <v>#N/A</v>
      </c>
      <c r="R378" s="22" t="e">
        <f t="shared" ca="1" si="59"/>
        <v>#N/A</v>
      </c>
      <c r="S378" s="89" t="e">
        <f t="shared" ca="1" si="60"/>
        <v>#N/A</v>
      </c>
      <c r="T378" s="22" t="e">
        <f t="shared" ca="1" si="61"/>
        <v>#N/A</v>
      </c>
      <c r="U378" s="89" t="e">
        <f t="shared" ca="1" si="62"/>
        <v>#N/A</v>
      </c>
      <c r="V378" s="22" t="e">
        <f t="shared" ca="1" si="63"/>
        <v>#N/A</v>
      </c>
      <c r="AM378" t="e">
        <f t="shared" si="64"/>
        <v>#N/A</v>
      </c>
      <c r="AN378" t="e">
        <f t="shared" ca="1" si="65"/>
        <v>#N/A</v>
      </c>
    </row>
    <row r="379" spans="1:40" x14ac:dyDescent="0.3">
      <c r="A379" s="87">
        <v>378</v>
      </c>
      <c r="B379" t="str">
        <f>IFERROR(INDEX('Mock Database'!$D$3:$D$152,MATCH($A379,'Mock Database'!$C$3:$C$152,0)),"")</f>
        <v/>
      </c>
      <c r="C379" s="88" t="str">
        <f>IFERROR(INDEX('Mock Database'!$I$3:$I$152,MATCH($A379,'Mock Database'!$C$3:$C$152,0)),"")</f>
        <v/>
      </c>
      <c r="D379" s="89" t="str">
        <f ca="1">IF(ISNA(MATCH($A379,'Mock Database'!$C$3:$C$152,0)),"",IF(ISBLANK(OFFSET('Mock Database'!$M$2,MATCH($A379,'Mock Database'!$C$3:$C$152,0),0)),"",INDEX('Mock Database'!$M$3:$M$152,MATCH($A379,'Mock Database'!$C$3:$C$152,0))))</f>
        <v/>
      </c>
      <c r="E379" s="22" t="str">
        <f ca="1">IF(ISNA(MATCH($A379,'Mock Database'!$C$3:$C$152,0)),"",IF(ISBLANK(OFFSET('Mock Database'!$N$2,MATCH($A379,'Mock Database'!$C$3:$C$152,0),0)),"",INDEX('Mock Database'!$N$3:$N$152,MATCH($A379,'Mock Database'!$C$3:$C$152,0))))</f>
        <v/>
      </c>
      <c r="F379" s="89" t="str">
        <f ca="1">IF(ISNA(MATCH($A379,'Mock Database'!$C$3:$C$152,0)),"",IF(ISBLANK(OFFSET('Mock Database'!$S$2,MATCH($A379,'Mock Database'!$C$3:$C$152,0),0)),"",INDEX('Mock Database'!$S$3:$S$152,MATCH($A379,'Mock Database'!$C$3:$C$152,0))))</f>
        <v/>
      </c>
      <c r="G379" s="22" t="str">
        <f ca="1">IF(ISNA(MATCH($A379,'Mock Database'!$C$3:$C$152,0)),"",IF(ISBLANK(OFFSET('Mock Database'!$T$2,MATCH($A379,'Mock Database'!$C$3:$C$152,0),0)),"",INDEX('Mock Database'!$T$3:$T$152,MATCH($A379,'Mock Database'!$C$3:$C$152,0))))</f>
        <v/>
      </c>
      <c r="H379" s="89" t="str">
        <f ca="1">IF(ISNA(MATCH($A379,'Mock Database'!$C$3:$C$152,0)),"",IF(ISBLANK(OFFSET('Mock Database'!$Y$2,MATCH($A379,'Mock Database'!$C$3:$C$152,0),0)),"",INDEX('Mock Database'!$Y$3:$Y$152,MATCH($A379,'Mock Database'!$C$3:$C$152,0))))</f>
        <v/>
      </c>
      <c r="I379" s="22" t="str">
        <f ca="1">IF(ISNA(MATCH($A379,'Mock Database'!$C$3:$C$152,0)),"",IF(ISBLANK(OFFSET('Mock Database'!$Z$2,MATCH($A379,'Mock Database'!$C$3:$C$152,0),0)),"",INDEX('Mock Database'!$Z$3:$Z$152,MATCH($A379,'Mock Database'!$C$3:$C$152,0))))</f>
        <v/>
      </c>
      <c r="J379" s="89" t="str">
        <f ca="1">IF(ISNA(MATCH($A379,'Mock Database'!$C$3:$C$152,0)),"",IF(ISBLANK(OFFSET('Mock Database'!$AE$2,MATCH($A379,'Mock Database'!$C$3:$C$152,0),0)),"",INDEX('Mock Database'!$AE$3:$AE$152,MATCH($A379,'Mock Database'!$C$3:$C$152,0))))</f>
        <v/>
      </c>
      <c r="K379" s="22" t="str">
        <f ca="1">IF(ISNA(MATCH($A379,'Mock Database'!$C$3:$C$152,0)),"",IF(ISBLANK(OFFSET('Mock Database'!$AF$2,MATCH($A379,'Mock Database'!$C$3:$C$152,0),0)),"",INDEX('Mock Database'!$AF$3:$AF$152,MATCH($A379,'Mock Database'!$C$3:$C$152,0))))</f>
        <v/>
      </c>
      <c r="N379" t="e">
        <f t="shared" si="55"/>
        <v>#N/A</v>
      </c>
      <c r="O379" s="89" t="e">
        <f t="shared" ca="1" si="56"/>
        <v>#N/A</v>
      </c>
      <c r="P379" s="22" t="e">
        <f t="shared" ca="1" si="57"/>
        <v>#N/A</v>
      </c>
      <c r="Q379" s="89" t="e">
        <f t="shared" ca="1" si="58"/>
        <v>#N/A</v>
      </c>
      <c r="R379" s="22" t="e">
        <f t="shared" ca="1" si="59"/>
        <v>#N/A</v>
      </c>
      <c r="S379" s="89" t="e">
        <f t="shared" ca="1" si="60"/>
        <v>#N/A</v>
      </c>
      <c r="T379" s="22" t="e">
        <f t="shared" ca="1" si="61"/>
        <v>#N/A</v>
      </c>
      <c r="U379" s="89" t="e">
        <f t="shared" ca="1" si="62"/>
        <v>#N/A</v>
      </c>
      <c r="V379" s="22" t="e">
        <f t="shared" ca="1" si="63"/>
        <v>#N/A</v>
      </c>
      <c r="AM379" t="e">
        <f t="shared" si="64"/>
        <v>#N/A</v>
      </c>
      <c r="AN379" t="e">
        <f t="shared" ca="1" si="65"/>
        <v>#N/A</v>
      </c>
    </row>
    <row r="380" spans="1:40" x14ac:dyDescent="0.3">
      <c r="A380" s="87">
        <v>379</v>
      </c>
      <c r="B380" t="str">
        <f>IFERROR(INDEX('Mock Database'!$D$3:$D$152,MATCH($A380,'Mock Database'!$C$3:$C$152,0)),"")</f>
        <v/>
      </c>
      <c r="C380" s="88" t="str">
        <f>IFERROR(INDEX('Mock Database'!$I$3:$I$152,MATCH($A380,'Mock Database'!$C$3:$C$152,0)),"")</f>
        <v/>
      </c>
      <c r="D380" s="89" t="str">
        <f ca="1">IF(ISNA(MATCH($A380,'Mock Database'!$C$3:$C$152,0)),"",IF(ISBLANK(OFFSET('Mock Database'!$M$2,MATCH($A380,'Mock Database'!$C$3:$C$152,0),0)),"",INDEX('Mock Database'!$M$3:$M$152,MATCH($A380,'Mock Database'!$C$3:$C$152,0))))</f>
        <v/>
      </c>
      <c r="E380" s="22" t="str">
        <f ca="1">IF(ISNA(MATCH($A380,'Mock Database'!$C$3:$C$152,0)),"",IF(ISBLANK(OFFSET('Mock Database'!$N$2,MATCH($A380,'Mock Database'!$C$3:$C$152,0),0)),"",INDEX('Mock Database'!$N$3:$N$152,MATCH($A380,'Mock Database'!$C$3:$C$152,0))))</f>
        <v/>
      </c>
      <c r="F380" s="89" t="str">
        <f ca="1">IF(ISNA(MATCH($A380,'Mock Database'!$C$3:$C$152,0)),"",IF(ISBLANK(OFFSET('Mock Database'!$S$2,MATCH($A380,'Mock Database'!$C$3:$C$152,0),0)),"",INDEX('Mock Database'!$S$3:$S$152,MATCH($A380,'Mock Database'!$C$3:$C$152,0))))</f>
        <v/>
      </c>
      <c r="G380" s="22" t="str">
        <f ca="1">IF(ISNA(MATCH($A380,'Mock Database'!$C$3:$C$152,0)),"",IF(ISBLANK(OFFSET('Mock Database'!$T$2,MATCH($A380,'Mock Database'!$C$3:$C$152,0),0)),"",INDEX('Mock Database'!$T$3:$T$152,MATCH($A380,'Mock Database'!$C$3:$C$152,0))))</f>
        <v/>
      </c>
      <c r="H380" s="89" t="str">
        <f ca="1">IF(ISNA(MATCH($A380,'Mock Database'!$C$3:$C$152,0)),"",IF(ISBLANK(OFFSET('Mock Database'!$Y$2,MATCH($A380,'Mock Database'!$C$3:$C$152,0),0)),"",INDEX('Mock Database'!$Y$3:$Y$152,MATCH($A380,'Mock Database'!$C$3:$C$152,0))))</f>
        <v/>
      </c>
      <c r="I380" s="22" t="str">
        <f ca="1">IF(ISNA(MATCH($A380,'Mock Database'!$C$3:$C$152,0)),"",IF(ISBLANK(OFFSET('Mock Database'!$Z$2,MATCH($A380,'Mock Database'!$C$3:$C$152,0),0)),"",INDEX('Mock Database'!$Z$3:$Z$152,MATCH($A380,'Mock Database'!$C$3:$C$152,0))))</f>
        <v/>
      </c>
      <c r="J380" s="89" t="str">
        <f ca="1">IF(ISNA(MATCH($A380,'Mock Database'!$C$3:$C$152,0)),"",IF(ISBLANK(OFFSET('Mock Database'!$AE$2,MATCH($A380,'Mock Database'!$C$3:$C$152,0),0)),"",INDEX('Mock Database'!$AE$3:$AE$152,MATCH($A380,'Mock Database'!$C$3:$C$152,0))))</f>
        <v/>
      </c>
      <c r="K380" s="22" t="str">
        <f ca="1">IF(ISNA(MATCH($A380,'Mock Database'!$C$3:$C$152,0)),"",IF(ISBLANK(OFFSET('Mock Database'!$AF$2,MATCH($A380,'Mock Database'!$C$3:$C$152,0),0)),"",INDEX('Mock Database'!$AF$3:$AF$152,MATCH($A380,'Mock Database'!$C$3:$C$152,0))))</f>
        <v/>
      </c>
      <c r="N380" t="e">
        <f t="shared" si="55"/>
        <v>#N/A</v>
      </c>
      <c r="O380" s="89" t="e">
        <f t="shared" ca="1" si="56"/>
        <v>#N/A</v>
      </c>
      <c r="P380" s="22" t="e">
        <f t="shared" ca="1" si="57"/>
        <v>#N/A</v>
      </c>
      <c r="Q380" s="89" t="e">
        <f t="shared" ca="1" si="58"/>
        <v>#N/A</v>
      </c>
      <c r="R380" s="22" t="e">
        <f t="shared" ca="1" si="59"/>
        <v>#N/A</v>
      </c>
      <c r="S380" s="89" t="e">
        <f t="shared" ca="1" si="60"/>
        <v>#N/A</v>
      </c>
      <c r="T380" s="22" t="e">
        <f t="shared" ca="1" si="61"/>
        <v>#N/A</v>
      </c>
      <c r="U380" s="89" t="e">
        <f t="shared" ca="1" si="62"/>
        <v>#N/A</v>
      </c>
      <c r="V380" s="22" t="e">
        <f t="shared" ca="1" si="63"/>
        <v>#N/A</v>
      </c>
      <c r="AM380" t="e">
        <f t="shared" si="64"/>
        <v>#N/A</v>
      </c>
      <c r="AN380" t="e">
        <f t="shared" ca="1" si="65"/>
        <v>#N/A</v>
      </c>
    </row>
    <row r="381" spans="1:40" x14ac:dyDescent="0.3">
      <c r="A381" s="87">
        <v>380</v>
      </c>
      <c r="B381" t="str">
        <f>IFERROR(INDEX('Mock Database'!$D$3:$D$152,MATCH($A381,'Mock Database'!$C$3:$C$152,0)),"")</f>
        <v/>
      </c>
      <c r="C381" s="88" t="str">
        <f>IFERROR(INDEX('Mock Database'!$I$3:$I$152,MATCH($A381,'Mock Database'!$C$3:$C$152,0)),"")</f>
        <v/>
      </c>
      <c r="D381" s="89" t="str">
        <f ca="1">IF(ISNA(MATCH($A381,'Mock Database'!$C$3:$C$152,0)),"",IF(ISBLANK(OFFSET('Mock Database'!$M$2,MATCH($A381,'Mock Database'!$C$3:$C$152,0),0)),"",INDEX('Mock Database'!$M$3:$M$152,MATCH($A381,'Mock Database'!$C$3:$C$152,0))))</f>
        <v/>
      </c>
      <c r="E381" s="22" t="str">
        <f ca="1">IF(ISNA(MATCH($A381,'Mock Database'!$C$3:$C$152,0)),"",IF(ISBLANK(OFFSET('Mock Database'!$N$2,MATCH($A381,'Mock Database'!$C$3:$C$152,0),0)),"",INDEX('Mock Database'!$N$3:$N$152,MATCH($A381,'Mock Database'!$C$3:$C$152,0))))</f>
        <v/>
      </c>
      <c r="F381" s="89" t="str">
        <f ca="1">IF(ISNA(MATCH($A381,'Mock Database'!$C$3:$C$152,0)),"",IF(ISBLANK(OFFSET('Mock Database'!$S$2,MATCH($A381,'Mock Database'!$C$3:$C$152,0),0)),"",INDEX('Mock Database'!$S$3:$S$152,MATCH($A381,'Mock Database'!$C$3:$C$152,0))))</f>
        <v/>
      </c>
      <c r="G381" s="22" t="str">
        <f ca="1">IF(ISNA(MATCH($A381,'Mock Database'!$C$3:$C$152,0)),"",IF(ISBLANK(OFFSET('Mock Database'!$T$2,MATCH($A381,'Mock Database'!$C$3:$C$152,0),0)),"",INDEX('Mock Database'!$T$3:$T$152,MATCH($A381,'Mock Database'!$C$3:$C$152,0))))</f>
        <v/>
      </c>
      <c r="H381" s="89" t="str">
        <f ca="1">IF(ISNA(MATCH($A381,'Mock Database'!$C$3:$C$152,0)),"",IF(ISBLANK(OFFSET('Mock Database'!$Y$2,MATCH($A381,'Mock Database'!$C$3:$C$152,0),0)),"",INDEX('Mock Database'!$Y$3:$Y$152,MATCH($A381,'Mock Database'!$C$3:$C$152,0))))</f>
        <v/>
      </c>
      <c r="I381" s="22" t="str">
        <f ca="1">IF(ISNA(MATCH($A381,'Mock Database'!$C$3:$C$152,0)),"",IF(ISBLANK(OFFSET('Mock Database'!$Z$2,MATCH($A381,'Mock Database'!$C$3:$C$152,0),0)),"",INDEX('Mock Database'!$Z$3:$Z$152,MATCH($A381,'Mock Database'!$C$3:$C$152,0))))</f>
        <v/>
      </c>
      <c r="J381" s="89" t="str">
        <f ca="1">IF(ISNA(MATCH($A381,'Mock Database'!$C$3:$C$152,0)),"",IF(ISBLANK(OFFSET('Mock Database'!$AE$2,MATCH($A381,'Mock Database'!$C$3:$C$152,0),0)),"",INDEX('Mock Database'!$AE$3:$AE$152,MATCH($A381,'Mock Database'!$C$3:$C$152,0))))</f>
        <v/>
      </c>
      <c r="K381" s="22" t="str">
        <f ca="1">IF(ISNA(MATCH($A381,'Mock Database'!$C$3:$C$152,0)),"",IF(ISBLANK(OFFSET('Mock Database'!$AF$2,MATCH($A381,'Mock Database'!$C$3:$C$152,0),0)),"",INDEX('Mock Database'!$AF$3:$AF$152,MATCH($A381,'Mock Database'!$C$3:$C$152,0))))</f>
        <v/>
      </c>
      <c r="N381" t="e">
        <f t="shared" si="55"/>
        <v>#N/A</v>
      </c>
      <c r="O381" s="89" t="e">
        <f t="shared" ca="1" si="56"/>
        <v>#N/A</v>
      </c>
      <c r="P381" s="22" t="e">
        <f t="shared" ca="1" si="57"/>
        <v>#N/A</v>
      </c>
      <c r="Q381" s="89" t="e">
        <f t="shared" ca="1" si="58"/>
        <v>#N/A</v>
      </c>
      <c r="R381" s="22" t="e">
        <f t="shared" ca="1" si="59"/>
        <v>#N/A</v>
      </c>
      <c r="S381" s="89" t="e">
        <f t="shared" ca="1" si="60"/>
        <v>#N/A</v>
      </c>
      <c r="T381" s="22" t="e">
        <f t="shared" ca="1" si="61"/>
        <v>#N/A</v>
      </c>
      <c r="U381" s="89" t="e">
        <f t="shared" ca="1" si="62"/>
        <v>#N/A</v>
      </c>
      <c r="V381" s="22" t="e">
        <f t="shared" ca="1" si="63"/>
        <v>#N/A</v>
      </c>
      <c r="AM381" t="e">
        <f t="shared" si="64"/>
        <v>#N/A</v>
      </c>
      <c r="AN381" t="e">
        <f t="shared" ca="1" si="65"/>
        <v>#N/A</v>
      </c>
    </row>
    <row r="382" spans="1:40" x14ac:dyDescent="0.3">
      <c r="A382" s="87">
        <v>381</v>
      </c>
      <c r="B382" t="str">
        <f>IFERROR(INDEX('Mock Database'!$D$3:$D$152,MATCH($A382,'Mock Database'!$C$3:$C$152,0)),"")</f>
        <v/>
      </c>
      <c r="C382" s="88" t="str">
        <f>IFERROR(INDEX('Mock Database'!$I$3:$I$152,MATCH($A382,'Mock Database'!$C$3:$C$152,0)),"")</f>
        <v/>
      </c>
      <c r="D382" s="89" t="str">
        <f ca="1">IF(ISNA(MATCH($A382,'Mock Database'!$C$3:$C$152,0)),"",IF(ISBLANK(OFFSET('Mock Database'!$M$2,MATCH($A382,'Mock Database'!$C$3:$C$152,0),0)),"",INDEX('Mock Database'!$M$3:$M$152,MATCH($A382,'Mock Database'!$C$3:$C$152,0))))</f>
        <v/>
      </c>
      <c r="E382" s="22" t="str">
        <f ca="1">IF(ISNA(MATCH($A382,'Mock Database'!$C$3:$C$152,0)),"",IF(ISBLANK(OFFSET('Mock Database'!$N$2,MATCH($A382,'Mock Database'!$C$3:$C$152,0),0)),"",INDEX('Mock Database'!$N$3:$N$152,MATCH($A382,'Mock Database'!$C$3:$C$152,0))))</f>
        <v/>
      </c>
      <c r="F382" s="89" t="str">
        <f ca="1">IF(ISNA(MATCH($A382,'Mock Database'!$C$3:$C$152,0)),"",IF(ISBLANK(OFFSET('Mock Database'!$S$2,MATCH($A382,'Mock Database'!$C$3:$C$152,0),0)),"",INDEX('Mock Database'!$S$3:$S$152,MATCH($A382,'Mock Database'!$C$3:$C$152,0))))</f>
        <v/>
      </c>
      <c r="G382" s="22" t="str">
        <f ca="1">IF(ISNA(MATCH($A382,'Mock Database'!$C$3:$C$152,0)),"",IF(ISBLANK(OFFSET('Mock Database'!$T$2,MATCH($A382,'Mock Database'!$C$3:$C$152,0),0)),"",INDEX('Mock Database'!$T$3:$T$152,MATCH($A382,'Mock Database'!$C$3:$C$152,0))))</f>
        <v/>
      </c>
      <c r="H382" s="89" t="str">
        <f ca="1">IF(ISNA(MATCH($A382,'Mock Database'!$C$3:$C$152,0)),"",IF(ISBLANK(OFFSET('Mock Database'!$Y$2,MATCH($A382,'Mock Database'!$C$3:$C$152,0),0)),"",INDEX('Mock Database'!$Y$3:$Y$152,MATCH($A382,'Mock Database'!$C$3:$C$152,0))))</f>
        <v/>
      </c>
      <c r="I382" s="22" t="str">
        <f ca="1">IF(ISNA(MATCH($A382,'Mock Database'!$C$3:$C$152,0)),"",IF(ISBLANK(OFFSET('Mock Database'!$Z$2,MATCH($A382,'Mock Database'!$C$3:$C$152,0),0)),"",INDEX('Mock Database'!$Z$3:$Z$152,MATCH($A382,'Mock Database'!$C$3:$C$152,0))))</f>
        <v/>
      </c>
      <c r="J382" s="89" t="str">
        <f ca="1">IF(ISNA(MATCH($A382,'Mock Database'!$C$3:$C$152,0)),"",IF(ISBLANK(OFFSET('Mock Database'!$AE$2,MATCH($A382,'Mock Database'!$C$3:$C$152,0),0)),"",INDEX('Mock Database'!$AE$3:$AE$152,MATCH($A382,'Mock Database'!$C$3:$C$152,0))))</f>
        <v/>
      </c>
      <c r="K382" s="22" t="str">
        <f ca="1">IF(ISNA(MATCH($A382,'Mock Database'!$C$3:$C$152,0)),"",IF(ISBLANK(OFFSET('Mock Database'!$AF$2,MATCH($A382,'Mock Database'!$C$3:$C$152,0),0)),"",INDEX('Mock Database'!$AF$3:$AF$152,MATCH($A382,'Mock Database'!$C$3:$C$152,0))))</f>
        <v/>
      </c>
      <c r="N382" t="e">
        <f t="shared" si="55"/>
        <v>#N/A</v>
      </c>
      <c r="O382" s="89" t="e">
        <f t="shared" ca="1" si="56"/>
        <v>#N/A</v>
      </c>
      <c r="P382" s="22" t="e">
        <f t="shared" ca="1" si="57"/>
        <v>#N/A</v>
      </c>
      <c r="Q382" s="89" t="e">
        <f t="shared" ca="1" si="58"/>
        <v>#N/A</v>
      </c>
      <c r="R382" s="22" t="e">
        <f t="shared" ca="1" si="59"/>
        <v>#N/A</v>
      </c>
      <c r="S382" s="89" t="e">
        <f t="shared" ca="1" si="60"/>
        <v>#N/A</v>
      </c>
      <c r="T382" s="22" t="e">
        <f t="shared" ca="1" si="61"/>
        <v>#N/A</v>
      </c>
      <c r="U382" s="89" t="e">
        <f t="shared" ca="1" si="62"/>
        <v>#N/A</v>
      </c>
      <c r="V382" s="22" t="e">
        <f t="shared" ca="1" si="63"/>
        <v>#N/A</v>
      </c>
      <c r="AM382" t="e">
        <f t="shared" si="64"/>
        <v>#N/A</v>
      </c>
      <c r="AN382" t="e">
        <f t="shared" ca="1" si="65"/>
        <v>#N/A</v>
      </c>
    </row>
    <row r="383" spans="1:40" x14ac:dyDescent="0.3">
      <c r="A383" s="87">
        <v>382</v>
      </c>
      <c r="B383" t="str">
        <f>IFERROR(INDEX('Mock Database'!$D$3:$D$152,MATCH($A383,'Mock Database'!$C$3:$C$152,0)),"")</f>
        <v/>
      </c>
      <c r="C383" s="88" t="str">
        <f>IFERROR(INDEX('Mock Database'!$I$3:$I$152,MATCH($A383,'Mock Database'!$C$3:$C$152,0)),"")</f>
        <v/>
      </c>
      <c r="D383" s="89" t="str">
        <f ca="1">IF(ISNA(MATCH($A383,'Mock Database'!$C$3:$C$152,0)),"",IF(ISBLANK(OFFSET('Mock Database'!$M$2,MATCH($A383,'Mock Database'!$C$3:$C$152,0),0)),"",INDEX('Mock Database'!$M$3:$M$152,MATCH($A383,'Mock Database'!$C$3:$C$152,0))))</f>
        <v/>
      </c>
      <c r="E383" s="22" t="str">
        <f ca="1">IF(ISNA(MATCH($A383,'Mock Database'!$C$3:$C$152,0)),"",IF(ISBLANK(OFFSET('Mock Database'!$N$2,MATCH($A383,'Mock Database'!$C$3:$C$152,0),0)),"",INDEX('Mock Database'!$N$3:$N$152,MATCH($A383,'Mock Database'!$C$3:$C$152,0))))</f>
        <v/>
      </c>
      <c r="F383" s="89" t="str">
        <f ca="1">IF(ISNA(MATCH($A383,'Mock Database'!$C$3:$C$152,0)),"",IF(ISBLANK(OFFSET('Mock Database'!$S$2,MATCH($A383,'Mock Database'!$C$3:$C$152,0),0)),"",INDEX('Mock Database'!$S$3:$S$152,MATCH($A383,'Mock Database'!$C$3:$C$152,0))))</f>
        <v/>
      </c>
      <c r="G383" s="22" t="str">
        <f ca="1">IF(ISNA(MATCH($A383,'Mock Database'!$C$3:$C$152,0)),"",IF(ISBLANK(OFFSET('Mock Database'!$T$2,MATCH($A383,'Mock Database'!$C$3:$C$152,0),0)),"",INDEX('Mock Database'!$T$3:$T$152,MATCH($A383,'Mock Database'!$C$3:$C$152,0))))</f>
        <v/>
      </c>
      <c r="H383" s="89" t="str">
        <f ca="1">IF(ISNA(MATCH($A383,'Mock Database'!$C$3:$C$152,0)),"",IF(ISBLANK(OFFSET('Mock Database'!$Y$2,MATCH($A383,'Mock Database'!$C$3:$C$152,0),0)),"",INDEX('Mock Database'!$Y$3:$Y$152,MATCH($A383,'Mock Database'!$C$3:$C$152,0))))</f>
        <v/>
      </c>
      <c r="I383" s="22" t="str">
        <f ca="1">IF(ISNA(MATCH($A383,'Mock Database'!$C$3:$C$152,0)),"",IF(ISBLANK(OFFSET('Mock Database'!$Z$2,MATCH($A383,'Mock Database'!$C$3:$C$152,0),0)),"",INDEX('Mock Database'!$Z$3:$Z$152,MATCH($A383,'Mock Database'!$C$3:$C$152,0))))</f>
        <v/>
      </c>
      <c r="J383" s="89" t="str">
        <f ca="1">IF(ISNA(MATCH($A383,'Mock Database'!$C$3:$C$152,0)),"",IF(ISBLANK(OFFSET('Mock Database'!$AE$2,MATCH($A383,'Mock Database'!$C$3:$C$152,0),0)),"",INDEX('Mock Database'!$AE$3:$AE$152,MATCH($A383,'Mock Database'!$C$3:$C$152,0))))</f>
        <v/>
      </c>
      <c r="K383" s="22" t="str">
        <f ca="1">IF(ISNA(MATCH($A383,'Mock Database'!$C$3:$C$152,0)),"",IF(ISBLANK(OFFSET('Mock Database'!$AF$2,MATCH($A383,'Mock Database'!$C$3:$C$152,0),0)),"",INDEX('Mock Database'!$AF$3:$AF$152,MATCH($A383,'Mock Database'!$C$3:$C$152,0))))</f>
        <v/>
      </c>
      <c r="N383" t="e">
        <f t="shared" si="55"/>
        <v>#N/A</v>
      </c>
      <c r="O383" s="89" t="e">
        <f t="shared" ca="1" si="56"/>
        <v>#N/A</v>
      </c>
      <c r="P383" s="22" t="e">
        <f t="shared" ca="1" si="57"/>
        <v>#N/A</v>
      </c>
      <c r="Q383" s="89" t="e">
        <f t="shared" ca="1" si="58"/>
        <v>#N/A</v>
      </c>
      <c r="R383" s="22" t="e">
        <f t="shared" ca="1" si="59"/>
        <v>#N/A</v>
      </c>
      <c r="S383" s="89" t="e">
        <f t="shared" ca="1" si="60"/>
        <v>#N/A</v>
      </c>
      <c r="T383" s="22" t="e">
        <f t="shared" ca="1" si="61"/>
        <v>#N/A</v>
      </c>
      <c r="U383" s="89" t="e">
        <f t="shared" ca="1" si="62"/>
        <v>#N/A</v>
      </c>
      <c r="V383" s="22" t="e">
        <f t="shared" ca="1" si="63"/>
        <v>#N/A</v>
      </c>
      <c r="AM383" t="e">
        <f t="shared" si="64"/>
        <v>#N/A</v>
      </c>
      <c r="AN383" t="e">
        <f t="shared" ca="1" si="65"/>
        <v>#N/A</v>
      </c>
    </row>
    <row r="384" spans="1:40" x14ac:dyDescent="0.3">
      <c r="A384" s="87">
        <v>383</v>
      </c>
      <c r="B384" t="str">
        <f>IFERROR(INDEX('Mock Database'!$D$3:$D$152,MATCH($A384,'Mock Database'!$C$3:$C$152,0)),"")</f>
        <v/>
      </c>
      <c r="C384" s="88" t="str">
        <f>IFERROR(INDEX('Mock Database'!$I$3:$I$152,MATCH($A384,'Mock Database'!$C$3:$C$152,0)),"")</f>
        <v/>
      </c>
      <c r="D384" s="89" t="str">
        <f ca="1">IF(ISNA(MATCH($A384,'Mock Database'!$C$3:$C$152,0)),"",IF(ISBLANK(OFFSET('Mock Database'!$M$2,MATCH($A384,'Mock Database'!$C$3:$C$152,0),0)),"",INDEX('Mock Database'!$M$3:$M$152,MATCH($A384,'Mock Database'!$C$3:$C$152,0))))</f>
        <v/>
      </c>
      <c r="E384" s="22" t="str">
        <f ca="1">IF(ISNA(MATCH($A384,'Mock Database'!$C$3:$C$152,0)),"",IF(ISBLANK(OFFSET('Mock Database'!$N$2,MATCH($A384,'Mock Database'!$C$3:$C$152,0),0)),"",INDEX('Mock Database'!$N$3:$N$152,MATCH($A384,'Mock Database'!$C$3:$C$152,0))))</f>
        <v/>
      </c>
      <c r="F384" s="89" t="str">
        <f ca="1">IF(ISNA(MATCH($A384,'Mock Database'!$C$3:$C$152,0)),"",IF(ISBLANK(OFFSET('Mock Database'!$S$2,MATCH($A384,'Mock Database'!$C$3:$C$152,0),0)),"",INDEX('Mock Database'!$S$3:$S$152,MATCH($A384,'Mock Database'!$C$3:$C$152,0))))</f>
        <v/>
      </c>
      <c r="G384" s="22" t="str">
        <f ca="1">IF(ISNA(MATCH($A384,'Mock Database'!$C$3:$C$152,0)),"",IF(ISBLANK(OFFSET('Mock Database'!$T$2,MATCH($A384,'Mock Database'!$C$3:$C$152,0),0)),"",INDEX('Mock Database'!$T$3:$T$152,MATCH($A384,'Mock Database'!$C$3:$C$152,0))))</f>
        <v/>
      </c>
      <c r="H384" s="89" t="str">
        <f ca="1">IF(ISNA(MATCH($A384,'Mock Database'!$C$3:$C$152,0)),"",IF(ISBLANK(OFFSET('Mock Database'!$Y$2,MATCH($A384,'Mock Database'!$C$3:$C$152,0),0)),"",INDEX('Mock Database'!$Y$3:$Y$152,MATCH($A384,'Mock Database'!$C$3:$C$152,0))))</f>
        <v/>
      </c>
      <c r="I384" s="22" t="str">
        <f ca="1">IF(ISNA(MATCH($A384,'Mock Database'!$C$3:$C$152,0)),"",IF(ISBLANK(OFFSET('Mock Database'!$Z$2,MATCH($A384,'Mock Database'!$C$3:$C$152,0),0)),"",INDEX('Mock Database'!$Z$3:$Z$152,MATCH($A384,'Mock Database'!$C$3:$C$152,0))))</f>
        <v/>
      </c>
      <c r="J384" s="89" t="str">
        <f ca="1">IF(ISNA(MATCH($A384,'Mock Database'!$C$3:$C$152,0)),"",IF(ISBLANK(OFFSET('Mock Database'!$AE$2,MATCH($A384,'Mock Database'!$C$3:$C$152,0),0)),"",INDEX('Mock Database'!$AE$3:$AE$152,MATCH($A384,'Mock Database'!$C$3:$C$152,0))))</f>
        <v/>
      </c>
      <c r="K384" s="22" t="str">
        <f ca="1">IF(ISNA(MATCH($A384,'Mock Database'!$C$3:$C$152,0)),"",IF(ISBLANK(OFFSET('Mock Database'!$AF$2,MATCH($A384,'Mock Database'!$C$3:$C$152,0),0)),"",INDEX('Mock Database'!$AF$3:$AF$152,MATCH($A384,'Mock Database'!$C$3:$C$152,0))))</f>
        <v/>
      </c>
      <c r="N384" t="e">
        <f t="shared" si="55"/>
        <v>#N/A</v>
      </c>
      <c r="O384" s="89" t="e">
        <f t="shared" ca="1" si="56"/>
        <v>#N/A</v>
      </c>
      <c r="P384" s="22" t="e">
        <f t="shared" ca="1" si="57"/>
        <v>#N/A</v>
      </c>
      <c r="Q384" s="89" t="e">
        <f t="shared" ca="1" si="58"/>
        <v>#N/A</v>
      </c>
      <c r="R384" s="22" t="e">
        <f t="shared" ca="1" si="59"/>
        <v>#N/A</v>
      </c>
      <c r="S384" s="89" t="e">
        <f t="shared" ca="1" si="60"/>
        <v>#N/A</v>
      </c>
      <c r="T384" s="22" t="e">
        <f t="shared" ca="1" si="61"/>
        <v>#N/A</v>
      </c>
      <c r="U384" s="89" t="e">
        <f t="shared" ca="1" si="62"/>
        <v>#N/A</v>
      </c>
      <c r="V384" s="22" t="e">
        <f t="shared" ca="1" si="63"/>
        <v>#N/A</v>
      </c>
      <c r="AM384" t="e">
        <f t="shared" si="64"/>
        <v>#N/A</v>
      </c>
      <c r="AN384" t="e">
        <f t="shared" ca="1" si="65"/>
        <v>#N/A</v>
      </c>
    </row>
    <row r="385" spans="1:40" x14ac:dyDescent="0.3">
      <c r="A385" s="87">
        <v>384</v>
      </c>
      <c r="B385" t="str">
        <f>IFERROR(INDEX('Mock Database'!$D$3:$D$152,MATCH($A385,'Mock Database'!$C$3:$C$152,0)),"")</f>
        <v/>
      </c>
      <c r="C385" s="88" t="str">
        <f>IFERROR(INDEX('Mock Database'!$I$3:$I$152,MATCH($A385,'Mock Database'!$C$3:$C$152,0)),"")</f>
        <v/>
      </c>
      <c r="D385" s="89" t="str">
        <f ca="1">IF(ISNA(MATCH($A385,'Mock Database'!$C$3:$C$152,0)),"",IF(ISBLANK(OFFSET('Mock Database'!$M$2,MATCH($A385,'Mock Database'!$C$3:$C$152,0),0)),"",INDEX('Mock Database'!$M$3:$M$152,MATCH($A385,'Mock Database'!$C$3:$C$152,0))))</f>
        <v/>
      </c>
      <c r="E385" s="22" t="str">
        <f ca="1">IF(ISNA(MATCH($A385,'Mock Database'!$C$3:$C$152,0)),"",IF(ISBLANK(OFFSET('Mock Database'!$N$2,MATCH($A385,'Mock Database'!$C$3:$C$152,0),0)),"",INDEX('Mock Database'!$N$3:$N$152,MATCH($A385,'Mock Database'!$C$3:$C$152,0))))</f>
        <v/>
      </c>
      <c r="F385" s="89" t="str">
        <f ca="1">IF(ISNA(MATCH($A385,'Mock Database'!$C$3:$C$152,0)),"",IF(ISBLANK(OFFSET('Mock Database'!$S$2,MATCH($A385,'Mock Database'!$C$3:$C$152,0),0)),"",INDEX('Mock Database'!$S$3:$S$152,MATCH($A385,'Mock Database'!$C$3:$C$152,0))))</f>
        <v/>
      </c>
      <c r="G385" s="22" t="str">
        <f ca="1">IF(ISNA(MATCH($A385,'Mock Database'!$C$3:$C$152,0)),"",IF(ISBLANK(OFFSET('Mock Database'!$T$2,MATCH($A385,'Mock Database'!$C$3:$C$152,0),0)),"",INDEX('Mock Database'!$T$3:$T$152,MATCH($A385,'Mock Database'!$C$3:$C$152,0))))</f>
        <v/>
      </c>
      <c r="H385" s="89" t="str">
        <f ca="1">IF(ISNA(MATCH($A385,'Mock Database'!$C$3:$C$152,0)),"",IF(ISBLANK(OFFSET('Mock Database'!$Y$2,MATCH($A385,'Mock Database'!$C$3:$C$152,0),0)),"",INDEX('Mock Database'!$Y$3:$Y$152,MATCH($A385,'Mock Database'!$C$3:$C$152,0))))</f>
        <v/>
      </c>
      <c r="I385" s="22" t="str">
        <f ca="1">IF(ISNA(MATCH($A385,'Mock Database'!$C$3:$C$152,0)),"",IF(ISBLANK(OFFSET('Mock Database'!$Z$2,MATCH($A385,'Mock Database'!$C$3:$C$152,0),0)),"",INDEX('Mock Database'!$Z$3:$Z$152,MATCH($A385,'Mock Database'!$C$3:$C$152,0))))</f>
        <v/>
      </c>
      <c r="J385" s="89" t="str">
        <f ca="1">IF(ISNA(MATCH($A385,'Mock Database'!$C$3:$C$152,0)),"",IF(ISBLANK(OFFSET('Mock Database'!$AE$2,MATCH($A385,'Mock Database'!$C$3:$C$152,0),0)),"",INDEX('Mock Database'!$AE$3:$AE$152,MATCH($A385,'Mock Database'!$C$3:$C$152,0))))</f>
        <v/>
      </c>
      <c r="K385" s="22" t="str">
        <f ca="1">IF(ISNA(MATCH($A385,'Mock Database'!$C$3:$C$152,0)),"",IF(ISBLANK(OFFSET('Mock Database'!$AF$2,MATCH($A385,'Mock Database'!$C$3:$C$152,0),0)),"",INDEX('Mock Database'!$AF$3:$AF$152,MATCH($A385,'Mock Database'!$C$3:$C$152,0))))</f>
        <v/>
      </c>
      <c r="N385" t="e">
        <f t="shared" si="55"/>
        <v>#N/A</v>
      </c>
      <c r="O385" s="89" t="e">
        <f t="shared" ca="1" si="56"/>
        <v>#N/A</v>
      </c>
      <c r="P385" s="22" t="e">
        <f t="shared" ca="1" si="57"/>
        <v>#N/A</v>
      </c>
      <c r="Q385" s="89" t="e">
        <f t="shared" ca="1" si="58"/>
        <v>#N/A</v>
      </c>
      <c r="R385" s="22" t="e">
        <f t="shared" ca="1" si="59"/>
        <v>#N/A</v>
      </c>
      <c r="S385" s="89" t="e">
        <f t="shared" ca="1" si="60"/>
        <v>#N/A</v>
      </c>
      <c r="T385" s="22" t="e">
        <f t="shared" ca="1" si="61"/>
        <v>#N/A</v>
      </c>
      <c r="U385" s="89" t="e">
        <f t="shared" ca="1" si="62"/>
        <v>#N/A</v>
      </c>
      <c r="V385" s="22" t="e">
        <f t="shared" ca="1" si="63"/>
        <v>#N/A</v>
      </c>
      <c r="AM385" t="e">
        <f t="shared" si="64"/>
        <v>#N/A</v>
      </c>
      <c r="AN385" t="e">
        <f t="shared" ca="1" si="65"/>
        <v>#N/A</v>
      </c>
    </row>
    <row r="386" spans="1:40" x14ac:dyDescent="0.3">
      <c r="A386" s="87">
        <v>385</v>
      </c>
      <c r="B386" t="str">
        <f>IFERROR(INDEX('Mock Database'!$D$3:$D$152,MATCH($A386,'Mock Database'!$C$3:$C$152,0)),"")</f>
        <v/>
      </c>
      <c r="C386" s="88" t="str">
        <f>IFERROR(INDEX('Mock Database'!$I$3:$I$152,MATCH($A386,'Mock Database'!$C$3:$C$152,0)),"")</f>
        <v/>
      </c>
      <c r="D386" s="89" t="str">
        <f ca="1">IF(ISNA(MATCH($A386,'Mock Database'!$C$3:$C$152,0)),"",IF(ISBLANK(OFFSET('Mock Database'!$M$2,MATCH($A386,'Mock Database'!$C$3:$C$152,0),0)),"",INDEX('Mock Database'!$M$3:$M$152,MATCH($A386,'Mock Database'!$C$3:$C$152,0))))</f>
        <v/>
      </c>
      <c r="E386" s="22" t="str">
        <f ca="1">IF(ISNA(MATCH($A386,'Mock Database'!$C$3:$C$152,0)),"",IF(ISBLANK(OFFSET('Mock Database'!$N$2,MATCH($A386,'Mock Database'!$C$3:$C$152,0),0)),"",INDEX('Mock Database'!$N$3:$N$152,MATCH($A386,'Mock Database'!$C$3:$C$152,0))))</f>
        <v/>
      </c>
      <c r="F386" s="89" t="str">
        <f ca="1">IF(ISNA(MATCH($A386,'Mock Database'!$C$3:$C$152,0)),"",IF(ISBLANK(OFFSET('Mock Database'!$S$2,MATCH($A386,'Mock Database'!$C$3:$C$152,0),0)),"",INDEX('Mock Database'!$S$3:$S$152,MATCH($A386,'Mock Database'!$C$3:$C$152,0))))</f>
        <v/>
      </c>
      <c r="G386" s="22" t="str">
        <f ca="1">IF(ISNA(MATCH($A386,'Mock Database'!$C$3:$C$152,0)),"",IF(ISBLANK(OFFSET('Mock Database'!$T$2,MATCH($A386,'Mock Database'!$C$3:$C$152,0),0)),"",INDEX('Mock Database'!$T$3:$T$152,MATCH($A386,'Mock Database'!$C$3:$C$152,0))))</f>
        <v/>
      </c>
      <c r="H386" s="89" t="str">
        <f ca="1">IF(ISNA(MATCH($A386,'Mock Database'!$C$3:$C$152,0)),"",IF(ISBLANK(OFFSET('Mock Database'!$Y$2,MATCH($A386,'Mock Database'!$C$3:$C$152,0),0)),"",INDEX('Mock Database'!$Y$3:$Y$152,MATCH($A386,'Mock Database'!$C$3:$C$152,0))))</f>
        <v/>
      </c>
      <c r="I386" s="22" t="str">
        <f ca="1">IF(ISNA(MATCH($A386,'Mock Database'!$C$3:$C$152,0)),"",IF(ISBLANK(OFFSET('Mock Database'!$Z$2,MATCH($A386,'Mock Database'!$C$3:$C$152,0),0)),"",INDEX('Mock Database'!$Z$3:$Z$152,MATCH($A386,'Mock Database'!$C$3:$C$152,0))))</f>
        <v/>
      </c>
      <c r="J386" s="89" t="str">
        <f ca="1">IF(ISNA(MATCH($A386,'Mock Database'!$C$3:$C$152,0)),"",IF(ISBLANK(OFFSET('Mock Database'!$AE$2,MATCH($A386,'Mock Database'!$C$3:$C$152,0),0)),"",INDEX('Mock Database'!$AE$3:$AE$152,MATCH($A386,'Mock Database'!$C$3:$C$152,0))))</f>
        <v/>
      </c>
      <c r="K386" s="22" t="str">
        <f ca="1">IF(ISNA(MATCH($A386,'Mock Database'!$C$3:$C$152,0)),"",IF(ISBLANK(OFFSET('Mock Database'!$AF$2,MATCH($A386,'Mock Database'!$C$3:$C$152,0),0)),"",INDEX('Mock Database'!$AF$3:$AF$152,MATCH($A386,'Mock Database'!$C$3:$C$152,0))))</f>
        <v/>
      </c>
      <c r="N386" t="e">
        <f t="shared" si="55"/>
        <v>#N/A</v>
      </c>
      <c r="O386" s="89" t="e">
        <f t="shared" ca="1" si="56"/>
        <v>#N/A</v>
      </c>
      <c r="P386" s="22" t="e">
        <f t="shared" ca="1" si="57"/>
        <v>#N/A</v>
      </c>
      <c r="Q386" s="89" t="e">
        <f t="shared" ca="1" si="58"/>
        <v>#N/A</v>
      </c>
      <c r="R386" s="22" t="e">
        <f t="shared" ca="1" si="59"/>
        <v>#N/A</v>
      </c>
      <c r="S386" s="89" t="e">
        <f t="shared" ca="1" si="60"/>
        <v>#N/A</v>
      </c>
      <c r="T386" s="22" t="e">
        <f t="shared" ca="1" si="61"/>
        <v>#N/A</v>
      </c>
      <c r="U386" s="89" t="e">
        <f t="shared" ca="1" si="62"/>
        <v>#N/A</v>
      </c>
      <c r="V386" s="22" t="e">
        <f t="shared" ca="1" si="63"/>
        <v>#N/A</v>
      </c>
      <c r="AM386" t="e">
        <f t="shared" si="64"/>
        <v>#N/A</v>
      </c>
      <c r="AN386" t="e">
        <f t="shared" ca="1" si="65"/>
        <v>#N/A</v>
      </c>
    </row>
    <row r="387" spans="1:40" x14ac:dyDescent="0.3">
      <c r="A387" s="87">
        <v>386</v>
      </c>
      <c r="B387" t="str">
        <f>IFERROR(INDEX('Mock Database'!$D$3:$D$152,MATCH($A387,'Mock Database'!$C$3:$C$152,0)),"")</f>
        <v/>
      </c>
      <c r="C387" s="88" t="str">
        <f>IFERROR(INDEX('Mock Database'!$I$3:$I$152,MATCH($A387,'Mock Database'!$C$3:$C$152,0)),"")</f>
        <v/>
      </c>
      <c r="D387" s="89" t="str">
        <f ca="1">IF(ISNA(MATCH($A387,'Mock Database'!$C$3:$C$152,0)),"",IF(ISBLANK(OFFSET('Mock Database'!$M$2,MATCH($A387,'Mock Database'!$C$3:$C$152,0),0)),"",INDEX('Mock Database'!$M$3:$M$152,MATCH($A387,'Mock Database'!$C$3:$C$152,0))))</f>
        <v/>
      </c>
      <c r="E387" s="22" t="str">
        <f ca="1">IF(ISNA(MATCH($A387,'Mock Database'!$C$3:$C$152,0)),"",IF(ISBLANK(OFFSET('Mock Database'!$N$2,MATCH($A387,'Mock Database'!$C$3:$C$152,0),0)),"",INDEX('Mock Database'!$N$3:$N$152,MATCH($A387,'Mock Database'!$C$3:$C$152,0))))</f>
        <v/>
      </c>
      <c r="F387" s="89" t="str">
        <f ca="1">IF(ISNA(MATCH($A387,'Mock Database'!$C$3:$C$152,0)),"",IF(ISBLANK(OFFSET('Mock Database'!$S$2,MATCH($A387,'Mock Database'!$C$3:$C$152,0),0)),"",INDEX('Mock Database'!$S$3:$S$152,MATCH($A387,'Mock Database'!$C$3:$C$152,0))))</f>
        <v/>
      </c>
      <c r="G387" s="22" t="str">
        <f ca="1">IF(ISNA(MATCH($A387,'Mock Database'!$C$3:$C$152,0)),"",IF(ISBLANK(OFFSET('Mock Database'!$T$2,MATCH($A387,'Mock Database'!$C$3:$C$152,0),0)),"",INDEX('Mock Database'!$T$3:$T$152,MATCH($A387,'Mock Database'!$C$3:$C$152,0))))</f>
        <v/>
      </c>
      <c r="H387" s="89" t="str">
        <f ca="1">IF(ISNA(MATCH($A387,'Mock Database'!$C$3:$C$152,0)),"",IF(ISBLANK(OFFSET('Mock Database'!$Y$2,MATCH($A387,'Mock Database'!$C$3:$C$152,0),0)),"",INDEX('Mock Database'!$Y$3:$Y$152,MATCH($A387,'Mock Database'!$C$3:$C$152,0))))</f>
        <v/>
      </c>
      <c r="I387" s="22" t="str">
        <f ca="1">IF(ISNA(MATCH($A387,'Mock Database'!$C$3:$C$152,0)),"",IF(ISBLANK(OFFSET('Mock Database'!$Z$2,MATCH($A387,'Mock Database'!$C$3:$C$152,0),0)),"",INDEX('Mock Database'!$Z$3:$Z$152,MATCH($A387,'Mock Database'!$C$3:$C$152,0))))</f>
        <v/>
      </c>
      <c r="J387" s="89" t="str">
        <f ca="1">IF(ISNA(MATCH($A387,'Mock Database'!$C$3:$C$152,0)),"",IF(ISBLANK(OFFSET('Mock Database'!$AE$2,MATCH($A387,'Mock Database'!$C$3:$C$152,0),0)),"",INDEX('Mock Database'!$AE$3:$AE$152,MATCH($A387,'Mock Database'!$C$3:$C$152,0))))</f>
        <v/>
      </c>
      <c r="K387" s="22" t="str">
        <f ca="1">IF(ISNA(MATCH($A387,'Mock Database'!$C$3:$C$152,0)),"",IF(ISBLANK(OFFSET('Mock Database'!$AF$2,MATCH($A387,'Mock Database'!$C$3:$C$152,0),0)),"",INDEX('Mock Database'!$AF$3:$AF$152,MATCH($A387,'Mock Database'!$C$3:$C$152,0))))</f>
        <v/>
      </c>
      <c r="N387" t="e">
        <f t="shared" ref="N387:N401" si="66">IF($B387="",NA(),$B387)</f>
        <v>#N/A</v>
      </c>
      <c r="O387" s="89" t="e">
        <f t="shared" ref="O387:O401" ca="1" si="67">IF($D387="",NA(),$D387)</f>
        <v>#N/A</v>
      </c>
      <c r="P387" s="22" t="e">
        <f t="shared" ref="P387:P401" ca="1" si="68">IF($E387="",NA(),$E387)</f>
        <v>#N/A</v>
      </c>
      <c r="Q387" s="89" t="e">
        <f t="shared" ref="Q387:Q401" ca="1" si="69">IF($F387="",NA(),$F387)</f>
        <v>#N/A</v>
      </c>
      <c r="R387" s="22" t="e">
        <f t="shared" ref="R387:R401" ca="1" si="70">IF($G387="",NA(),$G387)</f>
        <v>#N/A</v>
      </c>
      <c r="S387" s="89" t="e">
        <f t="shared" ref="S387:S401" ca="1" si="71">IF($H387="",NA(),$H387)</f>
        <v>#N/A</v>
      </c>
      <c r="T387" s="22" t="e">
        <f t="shared" ref="T387:T401" ca="1" si="72">IF($I387="",NA(),$I387)</f>
        <v>#N/A</v>
      </c>
      <c r="U387" s="89" t="e">
        <f t="shared" ref="U387:U401" ca="1" si="73">IF($J387="",NA(),$J387)</f>
        <v>#N/A</v>
      </c>
      <c r="V387" s="22" t="e">
        <f t="shared" ref="V387:V401" ca="1" si="74">IF($K387="",NA(),$K387)</f>
        <v>#N/A</v>
      </c>
      <c r="AM387" t="e">
        <f t="shared" ref="AM387:AM401" si="75">IF($B387="",NA(),$A387)</f>
        <v>#N/A</v>
      </c>
      <c r="AN387" t="e">
        <f t="shared" ref="AN387:AN401" ca="1" si="76">$U387</f>
        <v>#N/A</v>
      </c>
    </row>
    <row r="388" spans="1:40" x14ac:dyDescent="0.3">
      <c r="A388" s="87">
        <v>387</v>
      </c>
      <c r="B388" t="str">
        <f>IFERROR(INDEX('Mock Database'!$D$3:$D$152,MATCH($A388,'Mock Database'!$C$3:$C$152,0)),"")</f>
        <v/>
      </c>
      <c r="C388" s="88" t="str">
        <f>IFERROR(INDEX('Mock Database'!$I$3:$I$152,MATCH($A388,'Mock Database'!$C$3:$C$152,0)),"")</f>
        <v/>
      </c>
      <c r="D388" s="89" t="str">
        <f ca="1">IF(ISNA(MATCH($A388,'Mock Database'!$C$3:$C$152,0)),"",IF(ISBLANK(OFFSET('Mock Database'!$M$2,MATCH($A388,'Mock Database'!$C$3:$C$152,0),0)),"",INDEX('Mock Database'!$M$3:$M$152,MATCH($A388,'Mock Database'!$C$3:$C$152,0))))</f>
        <v/>
      </c>
      <c r="E388" s="22" t="str">
        <f ca="1">IF(ISNA(MATCH($A388,'Mock Database'!$C$3:$C$152,0)),"",IF(ISBLANK(OFFSET('Mock Database'!$N$2,MATCH($A388,'Mock Database'!$C$3:$C$152,0),0)),"",INDEX('Mock Database'!$N$3:$N$152,MATCH($A388,'Mock Database'!$C$3:$C$152,0))))</f>
        <v/>
      </c>
      <c r="F388" s="89" t="str">
        <f ca="1">IF(ISNA(MATCH($A388,'Mock Database'!$C$3:$C$152,0)),"",IF(ISBLANK(OFFSET('Mock Database'!$S$2,MATCH($A388,'Mock Database'!$C$3:$C$152,0),0)),"",INDEX('Mock Database'!$S$3:$S$152,MATCH($A388,'Mock Database'!$C$3:$C$152,0))))</f>
        <v/>
      </c>
      <c r="G388" s="22" t="str">
        <f ca="1">IF(ISNA(MATCH($A388,'Mock Database'!$C$3:$C$152,0)),"",IF(ISBLANK(OFFSET('Mock Database'!$T$2,MATCH($A388,'Mock Database'!$C$3:$C$152,0),0)),"",INDEX('Mock Database'!$T$3:$T$152,MATCH($A388,'Mock Database'!$C$3:$C$152,0))))</f>
        <v/>
      </c>
      <c r="H388" s="89" t="str">
        <f ca="1">IF(ISNA(MATCH($A388,'Mock Database'!$C$3:$C$152,0)),"",IF(ISBLANK(OFFSET('Mock Database'!$Y$2,MATCH($A388,'Mock Database'!$C$3:$C$152,0),0)),"",INDEX('Mock Database'!$Y$3:$Y$152,MATCH($A388,'Mock Database'!$C$3:$C$152,0))))</f>
        <v/>
      </c>
      <c r="I388" s="22" t="str">
        <f ca="1">IF(ISNA(MATCH($A388,'Mock Database'!$C$3:$C$152,0)),"",IF(ISBLANK(OFFSET('Mock Database'!$Z$2,MATCH($A388,'Mock Database'!$C$3:$C$152,0),0)),"",INDEX('Mock Database'!$Z$3:$Z$152,MATCH($A388,'Mock Database'!$C$3:$C$152,0))))</f>
        <v/>
      </c>
      <c r="J388" s="89" t="str">
        <f ca="1">IF(ISNA(MATCH($A388,'Mock Database'!$C$3:$C$152,0)),"",IF(ISBLANK(OFFSET('Mock Database'!$AE$2,MATCH($A388,'Mock Database'!$C$3:$C$152,0),0)),"",INDEX('Mock Database'!$AE$3:$AE$152,MATCH($A388,'Mock Database'!$C$3:$C$152,0))))</f>
        <v/>
      </c>
      <c r="K388" s="22" t="str">
        <f ca="1">IF(ISNA(MATCH($A388,'Mock Database'!$C$3:$C$152,0)),"",IF(ISBLANK(OFFSET('Mock Database'!$AF$2,MATCH($A388,'Mock Database'!$C$3:$C$152,0),0)),"",INDEX('Mock Database'!$AF$3:$AF$152,MATCH($A388,'Mock Database'!$C$3:$C$152,0))))</f>
        <v/>
      </c>
      <c r="N388" t="e">
        <f t="shared" si="66"/>
        <v>#N/A</v>
      </c>
      <c r="O388" s="89" t="e">
        <f t="shared" ca="1" si="67"/>
        <v>#N/A</v>
      </c>
      <c r="P388" s="22" t="e">
        <f t="shared" ca="1" si="68"/>
        <v>#N/A</v>
      </c>
      <c r="Q388" s="89" t="e">
        <f t="shared" ca="1" si="69"/>
        <v>#N/A</v>
      </c>
      <c r="R388" s="22" t="e">
        <f t="shared" ca="1" si="70"/>
        <v>#N/A</v>
      </c>
      <c r="S388" s="89" t="e">
        <f t="shared" ca="1" si="71"/>
        <v>#N/A</v>
      </c>
      <c r="T388" s="22" t="e">
        <f t="shared" ca="1" si="72"/>
        <v>#N/A</v>
      </c>
      <c r="U388" s="89" t="e">
        <f t="shared" ca="1" si="73"/>
        <v>#N/A</v>
      </c>
      <c r="V388" s="22" t="e">
        <f t="shared" ca="1" si="74"/>
        <v>#N/A</v>
      </c>
      <c r="AM388" t="e">
        <f t="shared" si="75"/>
        <v>#N/A</v>
      </c>
      <c r="AN388" t="e">
        <f t="shared" ca="1" si="76"/>
        <v>#N/A</v>
      </c>
    </row>
    <row r="389" spans="1:40" x14ac:dyDescent="0.3">
      <c r="A389" s="87">
        <v>388</v>
      </c>
      <c r="B389" t="str">
        <f>IFERROR(INDEX('Mock Database'!$D$3:$D$152,MATCH($A389,'Mock Database'!$C$3:$C$152,0)),"")</f>
        <v/>
      </c>
      <c r="C389" s="88" t="str">
        <f>IFERROR(INDEX('Mock Database'!$I$3:$I$152,MATCH($A389,'Mock Database'!$C$3:$C$152,0)),"")</f>
        <v/>
      </c>
      <c r="D389" s="89" t="str">
        <f ca="1">IF(ISNA(MATCH($A389,'Mock Database'!$C$3:$C$152,0)),"",IF(ISBLANK(OFFSET('Mock Database'!$M$2,MATCH($A389,'Mock Database'!$C$3:$C$152,0),0)),"",INDEX('Mock Database'!$M$3:$M$152,MATCH($A389,'Mock Database'!$C$3:$C$152,0))))</f>
        <v/>
      </c>
      <c r="E389" s="22" t="str">
        <f ca="1">IF(ISNA(MATCH($A389,'Mock Database'!$C$3:$C$152,0)),"",IF(ISBLANK(OFFSET('Mock Database'!$N$2,MATCH($A389,'Mock Database'!$C$3:$C$152,0),0)),"",INDEX('Mock Database'!$N$3:$N$152,MATCH($A389,'Mock Database'!$C$3:$C$152,0))))</f>
        <v/>
      </c>
      <c r="F389" s="89" t="str">
        <f ca="1">IF(ISNA(MATCH($A389,'Mock Database'!$C$3:$C$152,0)),"",IF(ISBLANK(OFFSET('Mock Database'!$S$2,MATCH($A389,'Mock Database'!$C$3:$C$152,0),0)),"",INDEX('Mock Database'!$S$3:$S$152,MATCH($A389,'Mock Database'!$C$3:$C$152,0))))</f>
        <v/>
      </c>
      <c r="G389" s="22" t="str">
        <f ca="1">IF(ISNA(MATCH($A389,'Mock Database'!$C$3:$C$152,0)),"",IF(ISBLANK(OFFSET('Mock Database'!$T$2,MATCH($A389,'Mock Database'!$C$3:$C$152,0),0)),"",INDEX('Mock Database'!$T$3:$T$152,MATCH($A389,'Mock Database'!$C$3:$C$152,0))))</f>
        <v/>
      </c>
      <c r="H389" s="89" t="str">
        <f ca="1">IF(ISNA(MATCH($A389,'Mock Database'!$C$3:$C$152,0)),"",IF(ISBLANK(OFFSET('Mock Database'!$Y$2,MATCH($A389,'Mock Database'!$C$3:$C$152,0),0)),"",INDEX('Mock Database'!$Y$3:$Y$152,MATCH($A389,'Mock Database'!$C$3:$C$152,0))))</f>
        <v/>
      </c>
      <c r="I389" s="22" t="str">
        <f ca="1">IF(ISNA(MATCH($A389,'Mock Database'!$C$3:$C$152,0)),"",IF(ISBLANK(OFFSET('Mock Database'!$Z$2,MATCH($A389,'Mock Database'!$C$3:$C$152,0),0)),"",INDEX('Mock Database'!$Z$3:$Z$152,MATCH($A389,'Mock Database'!$C$3:$C$152,0))))</f>
        <v/>
      </c>
      <c r="J389" s="89" t="str">
        <f ca="1">IF(ISNA(MATCH($A389,'Mock Database'!$C$3:$C$152,0)),"",IF(ISBLANK(OFFSET('Mock Database'!$AE$2,MATCH($A389,'Mock Database'!$C$3:$C$152,0),0)),"",INDEX('Mock Database'!$AE$3:$AE$152,MATCH($A389,'Mock Database'!$C$3:$C$152,0))))</f>
        <v/>
      </c>
      <c r="K389" s="22" t="str">
        <f ca="1">IF(ISNA(MATCH($A389,'Mock Database'!$C$3:$C$152,0)),"",IF(ISBLANK(OFFSET('Mock Database'!$AF$2,MATCH($A389,'Mock Database'!$C$3:$C$152,0),0)),"",INDEX('Mock Database'!$AF$3:$AF$152,MATCH($A389,'Mock Database'!$C$3:$C$152,0))))</f>
        <v/>
      </c>
      <c r="N389" t="e">
        <f t="shared" si="66"/>
        <v>#N/A</v>
      </c>
      <c r="O389" s="89" t="e">
        <f t="shared" ca="1" si="67"/>
        <v>#N/A</v>
      </c>
      <c r="P389" s="22" t="e">
        <f t="shared" ca="1" si="68"/>
        <v>#N/A</v>
      </c>
      <c r="Q389" s="89" t="e">
        <f t="shared" ca="1" si="69"/>
        <v>#N/A</v>
      </c>
      <c r="R389" s="22" t="e">
        <f t="shared" ca="1" si="70"/>
        <v>#N/A</v>
      </c>
      <c r="S389" s="89" t="e">
        <f t="shared" ca="1" si="71"/>
        <v>#N/A</v>
      </c>
      <c r="T389" s="22" t="e">
        <f t="shared" ca="1" si="72"/>
        <v>#N/A</v>
      </c>
      <c r="U389" s="89" t="e">
        <f t="shared" ca="1" si="73"/>
        <v>#N/A</v>
      </c>
      <c r="V389" s="22" t="e">
        <f t="shared" ca="1" si="74"/>
        <v>#N/A</v>
      </c>
      <c r="AM389" t="e">
        <f t="shared" si="75"/>
        <v>#N/A</v>
      </c>
      <c r="AN389" t="e">
        <f t="shared" ca="1" si="76"/>
        <v>#N/A</v>
      </c>
    </row>
    <row r="390" spans="1:40" x14ac:dyDescent="0.3">
      <c r="A390" s="87">
        <v>389</v>
      </c>
      <c r="B390" t="str">
        <f>IFERROR(INDEX('Mock Database'!$D$3:$D$152,MATCH($A390,'Mock Database'!$C$3:$C$152,0)),"")</f>
        <v/>
      </c>
      <c r="C390" s="88" t="str">
        <f>IFERROR(INDEX('Mock Database'!$I$3:$I$152,MATCH($A390,'Mock Database'!$C$3:$C$152,0)),"")</f>
        <v/>
      </c>
      <c r="D390" s="89" t="str">
        <f ca="1">IF(ISNA(MATCH($A390,'Mock Database'!$C$3:$C$152,0)),"",IF(ISBLANK(OFFSET('Mock Database'!$M$2,MATCH($A390,'Mock Database'!$C$3:$C$152,0),0)),"",INDEX('Mock Database'!$M$3:$M$152,MATCH($A390,'Mock Database'!$C$3:$C$152,0))))</f>
        <v/>
      </c>
      <c r="E390" s="22" t="str">
        <f ca="1">IF(ISNA(MATCH($A390,'Mock Database'!$C$3:$C$152,0)),"",IF(ISBLANK(OFFSET('Mock Database'!$N$2,MATCH($A390,'Mock Database'!$C$3:$C$152,0),0)),"",INDEX('Mock Database'!$N$3:$N$152,MATCH($A390,'Mock Database'!$C$3:$C$152,0))))</f>
        <v/>
      </c>
      <c r="F390" s="89" t="str">
        <f ca="1">IF(ISNA(MATCH($A390,'Mock Database'!$C$3:$C$152,0)),"",IF(ISBLANK(OFFSET('Mock Database'!$S$2,MATCH($A390,'Mock Database'!$C$3:$C$152,0),0)),"",INDEX('Mock Database'!$S$3:$S$152,MATCH($A390,'Mock Database'!$C$3:$C$152,0))))</f>
        <v/>
      </c>
      <c r="G390" s="22" t="str">
        <f ca="1">IF(ISNA(MATCH($A390,'Mock Database'!$C$3:$C$152,0)),"",IF(ISBLANK(OFFSET('Mock Database'!$T$2,MATCH($A390,'Mock Database'!$C$3:$C$152,0),0)),"",INDEX('Mock Database'!$T$3:$T$152,MATCH($A390,'Mock Database'!$C$3:$C$152,0))))</f>
        <v/>
      </c>
      <c r="H390" s="89" t="str">
        <f ca="1">IF(ISNA(MATCH($A390,'Mock Database'!$C$3:$C$152,0)),"",IF(ISBLANK(OFFSET('Mock Database'!$Y$2,MATCH($A390,'Mock Database'!$C$3:$C$152,0),0)),"",INDEX('Mock Database'!$Y$3:$Y$152,MATCH($A390,'Mock Database'!$C$3:$C$152,0))))</f>
        <v/>
      </c>
      <c r="I390" s="22" t="str">
        <f ca="1">IF(ISNA(MATCH($A390,'Mock Database'!$C$3:$C$152,0)),"",IF(ISBLANK(OFFSET('Mock Database'!$Z$2,MATCH($A390,'Mock Database'!$C$3:$C$152,0),0)),"",INDEX('Mock Database'!$Z$3:$Z$152,MATCH($A390,'Mock Database'!$C$3:$C$152,0))))</f>
        <v/>
      </c>
      <c r="J390" s="89" t="str">
        <f ca="1">IF(ISNA(MATCH($A390,'Mock Database'!$C$3:$C$152,0)),"",IF(ISBLANK(OFFSET('Mock Database'!$AE$2,MATCH($A390,'Mock Database'!$C$3:$C$152,0),0)),"",INDEX('Mock Database'!$AE$3:$AE$152,MATCH($A390,'Mock Database'!$C$3:$C$152,0))))</f>
        <v/>
      </c>
      <c r="K390" s="22" t="str">
        <f ca="1">IF(ISNA(MATCH($A390,'Mock Database'!$C$3:$C$152,0)),"",IF(ISBLANK(OFFSET('Mock Database'!$AF$2,MATCH($A390,'Mock Database'!$C$3:$C$152,0),0)),"",INDEX('Mock Database'!$AF$3:$AF$152,MATCH($A390,'Mock Database'!$C$3:$C$152,0))))</f>
        <v/>
      </c>
      <c r="N390" t="e">
        <f t="shared" si="66"/>
        <v>#N/A</v>
      </c>
      <c r="O390" s="89" t="e">
        <f t="shared" ca="1" si="67"/>
        <v>#N/A</v>
      </c>
      <c r="P390" s="22" t="e">
        <f t="shared" ca="1" si="68"/>
        <v>#N/A</v>
      </c>
      <c r="Q390" s="89" t="e">
        <f t="shared" ca="1" si="69"/>
        <v>#N/A</v>
      </c>
      <c r="R390" s="22" t="e">
        <f t="shared" ca="1" si="70"/>
        <v>#N/A</v>
      </c>
      <c r="S390" s="89" t="e">
        <f t="shared" ca="1" si="71"/>
        <v>#N/A</v>
      </c>
      <c r="T390" s="22" t="e">
        <f t="shared" ca="1" si="72"/>
        <v>#N/A</v>
      </c>
      <c r="U390" s="89" t="e">
        <f t="shared" ca="1" si="73"/>
        <v>#N/A</v>
      </c>
      <c r="V390" s="22" t="e">
        <f t="shared" ca="1" si="74"/>
        <v>#N/A</v>
      </c>
      <c r="AM390" t="e">
        <f t="shared" si="75"/>
        <v>#N/A</v>
      </c>
      <c r="AN390" t="e">
        <f t="shared" ca="1" si="76"/>
        <v>#N/A</v>
      </c>
    </row>
    <row r="391" spans="1:40" x14ac:dyDescent="0.3">
      <c r="A391" s="87">
        <v>390</v>
      </c>
      <c r="B391" t="str">
        <f>IFERROR(INDEX('Mock Database'!$D$3:$D$152,MATCH($A391,'Mock Database'!$C$3:$C$152,0)),"")</f>
        <v/>
      </c>
      <c r="C391" s="88" t="str">
        <f>IFERROR(INDEX('Mock Database'!$I$3:$I$152,MATCH($A391,'Mock Database'!$C$3:$C$152,0)),"")</f>
        <v/>
      </c>
      <c r="D391" s="89" t="str">
        <f ca="1">IF(ISNA(MATCH($A391,'Mock Database'!$C$3:$C$152,0)),"",IF(ISBLANK(OFFSET('Mock Database'!$M$2,MATCH($A391,'Mock Database'!$C$3:$C$152,0),0)),"",INDEX('Mock Database'!$M$3:$M$152,MATCH($A391,'Mock Database'!$C$3:$C$152,0))))</f>
        <v/>
      </c>
      <c r="E391" s="22" t="str">
        <f ca="1">IF(ISNA(MATCH($A391,'Mock Database'!$C$3:$C$152,0)),"",IF(ISBLANK(OFFSET('Mock Database'!$N$2,MATCH($A391,'Mock Database'!$C$3:$C$152,0),0)),"",INDEX('Mock Database'!$N$3:$N$152,MATCH($A391,'Mock Database'!$C$3:$C$152,0))))</f>
        <v/>
      </c>
      <c r="F391" s="89" t="str">
        <f ca="1">IF(ISNA(MATCH($A391,'Mock Database'!$C$3:$C$152,0)),"",IF(ISBLANK(OFFSET('Mock Database'!$S$2,MATCH($A391,'Mock Database'!$C$3:$C$152,0),0)),"",INDEX('Mock Database'!$S$3:$S$152,MATCH($A391,'Mock Database'!$C$3:$C$152,0))))</f>
        <v/>
      </c>
      <c r="G391" s="22" t="str">
        <f ca="1">IF(ISNA(MATCH($A391,'Mock Database'!$C$3:$C$152,0)),"",IF(ISBLANK(OFFSET('Mock Database'!$T$2,MATCH($A391,'Mock Database'!$C$3:$C$152,0),0)),"",INDEX('Mock Database'!$T$3:$T$152,MATCH($A391,'Mock Database'!$C$3:$C$152,0))))</f>
        <v/>
      </c>
      <c r="H391" s="89" t="str">
        <f ca="1">IF(ISNA(MATCH($A391,'Mock Database'!$C$3:$C$152,0)),"",IF(ISBLANK(OFFSET('Mock Database'!$Y$2,MATCH($A391,'Mock Database'!$C$3:$C$152,0),0)),"",INDEX('Mock Database'!$Y$3:$Y$152,MATCH($A391,'Mock Database'!$C$3:$C$152,0))))</f>
        <v/>
      </c>
      <c r="I391" s="22" t="str">
        <f ca="1">IF(ISNA(MATCH($A391,'Mock Database'!$C$3:$C$152,0)),"",IF(ISBLANK(OFFSET('Mock Database'!$Z$2,MATCH($A391,'Mock Database'!$C$3:$C$152,0),0)),"",INDEX('Mock Database'!$Z$3:$Z$152,MATCH($A391,'Mock Database'!$C$3:$C$152,0))))</f>
        <v/>
      </c>
      <c r="J391" s="89" t="str">
        <f ca="1">IF(ISNA(MATCH($A391,'Mock Database'!$C$3:$C$152,0)),"",IF(ISBLANK(OFFSET('Mock Database'!$AE$2,MATCH($A391,'Mock Database'!$C$3:$C$152,0),0)),"",INDEX('Mock Database'!$AE$3:$AE$152,MATCH($A391,'Mock Database'!$C$3:$C$152,0))))</f>
        <v/>
      </c>
      <c r="K391" s="22" t="str">
        <f ca="1">IF(ISNA(MATCH($A391,'Mock Database'!$C$3:$C$152,0)),"",IF(ISBLANK(OFFSET('Mock Database'!$AF$2,MATCH($A391,'Mock Database'!$C$3:$C$152,0),0)),"",INDEX('Mock Database'!$AF$3:$AF$152,MATCH($A391,'Mock Database'!$C$3:$C$152,0))))</f>
        <v/>
      </c>
      <c r="N391" t="e">
        <f t="shared" si="66"/>
        <v>#N/A</v>
      </c>
      <c r="O391" s="89" t="e">
        <f t="shared" ca="1" si="67"/>
        <v>#N/A</v>
      </c>
      <c r="P391" s="22" t="e">
        <f t="shared" ca="1" si="68"/>
        <v>#N/A</v>
      </c>
      <c r="Q391" s="89" t="e">
        <f t="shared" ca="1" si="69"/>
        <v>#N/A</v>
      </c>
      <c r="R391" s="22" t="e">
        <f t="shared" ca="1" si="70"/>
        <v>#N/A</v>
      </c>
      <c r="S391" s="89" t="e">
        <f t="shared" ca="1" si="71"/>
        <v>#N/A</v>
      </c>
      <c r="T391" s="22" t="e">
        <f t="shared" ca="1" si="72"/>
        <v>#N/A</v>
      </c>
      <c r="U391" s="89" t="e">
        <f t="shared" ca="1" si="73"/>
        <v>#N/A</v>
      </c>
      <c r="V391" s="22" t="e">
        <f t="shared" ca="1" si="74"/>
        <v>#N/A</v>
      </c>
      <c r="AM391" t="e">
        <f t="shared" si="75"/>
        <v>#N/A</v>
      </c>
      <c r="AN391" t="e">
        <f t="shared" ca="1" si="76"/>
        <v>#N/A</v>
      </c>
    </row>
    <row r="392" spans="1:40" x14ac:dyDescent="0.3">
      <c r="A392" s="87">
        <v>391</v>
      </c>
      <c r="B392" t="str">
        <f>IFERROR(INDEX('Mock Database'!$D$3:$D$152,MATCH($A392,'Mock Database'!$C$3:$C$152,0)),"")</f>
        <v/>
      </c>
      <c r="C392" s="88" t="str">
        <f>IFERROR(INDEX('Mock Database'!$I$3:$I$152,MATCH($A392,'Mock Database'!$C$3:$C$152,0)),"")</f>
        <v/>
      </c>
      <c r="D392" s="89" t="str">
        <f ca="1">IF(ISNA(MATCH($A392,'Mock Database'!$C$3:$C$152,0)),"",IF(ISBLANK(OFFSET('Mock Database'!$M$2,MATCH($A392,'Mock Database'!$C$3:$C$152,0),0)),"",INDEX('Mock Database'!$M$3:$M$152,MATCH($A392,'Mock Database'!$C$3:$C$152,0))))</f>
        <v/>
      </c>
      <c r="E392" s="22" t="str">
        <f ca="1">IF(ISNA(MATCH($A392,'Mock Database'!$C$3:$C$152,0)),"",IF(ISBLANK(OFFSET('Mock Database'!$N$2,MATCH($A392,'Mock Database'!$C$3:$C$152,0),0)),"",INDEX('Mock Database'!$N$3:$N$152,MATCH($A392,'Mock Database'!$C$3:$C$152,0))))</f>
        <v/>
      </c>
      <c r="F392" s="89" t="str">
        <f ca="1">IF(ISNA(MATCH($A392,'Mock Database'!$C$3:$C$152,0)),"",IF(ISBLANK(OFFSET('Mock Database'!$S$2,MATCH($A392,'Mock Database'!$C$3:$C$152,0),0)),"",INDEX('Mock Database'!$S$3:$S$152,MATCH($A392,'Mock Database'!$C$3:$C$152,0))))</f>
        <v/>
      </c>
      <c r="G392" s="22" t="str">
        <f ca="1">IF(ISNA(MATCH($A392,'Mock Database'!$C$3:$C$152,0)),"",IF(ISBLANK(OFFSET('Mock Database'!$T$2,MATCH($A392,'Mock Database'!$C$3:$C$152,0),0)),"",INDEX('Mock Database'!$T$3:$T$152,MATCH($A392,'Mock Database'!$C$3:$C$152,0))))</f>
        <v/>
      </c>
      <c r="H392" s="89" t="str">
        <f ca="1">IF(ISNA(MATCH($A392,'Mock Database'!$C$3:$C$152,0)),"",IF(ISBLANK(OFFSET('Mock Database'!$Y$2,MATCH($A392,'Mock Database'!$C$3:$C$152,0),0)),"",INDEX('Mock Database'!$Y$3:$Y$152,MATCH($A392,'Mock Database'!$C$3:$C$152,0))))</f>
        <v/>
      </c>
      <c r="I392" s="22" t="str">
        <f ca="1">IF(ISNA(MATCH($A392,'Mock Database'!$C$3:$C$152,0)),"",IF(ISBLANK(OFFSET('Mock Database'!$Z$2,MATCH($A392,'Mock Database'!$C$3:$C$152,0),0)),"",INDEX('Mock Database'!$Z$3:$Z$152,MATCH($A392,'Mock Database'!$C$3:$C$152,0))))</f>
        <v/>
      </c>
      <c r="J392" s="89" t="str">
        <f ca="1">IF(ISNA(MATCH($A392,'Mock Database'!$C$3:$C$152,0)),"",IF(ISBLANK(OFFSET('Mock Database'!$AE$2,MATCH($A392,'Mock Database'!$C$3:$C$152,0),0)),"",INDEX('Mock Database'!$AE$3:$AE$152,MATCH($A392,'Mock Database'!$C$3:$C$152,0))))</f>
        <v/>
      </c>
      <c r="K392" s="22" t="str">
        <f ca="1">IF(ISNA(MATCH($A392,'Mock Database'!$C$3:$C$152,0)),"",IF(ISBLANK(OFFSET('Mock Database'!$AF$2,MATCH($A392,'Mock Database'!$C$3:$C$152,0),0)),"",INDEX('Mock Database'!$AF$3:$AF$152,MATCH($A392,'Mock Database'!$C$3:$C$152,0))))</f>
        <v/>
      </c>
      <c r="N392" t="e">
        <f t="shared" si="66"/>
        <v>#N/A</v>
      </c>
      <c r="O392" s="89" t="e">
        <f t="shared" ca="1" si="67"/>
        <v>#N/A</v>
      </c>
      <c r="P392" s="22" t="e">
        <f t="shared" ca="1" si="68"/>
        <v>#N/A</v>
      </c>
      <c r="Q392" s="89" t="e">
        <f t="shared" ca="1" si="69"/>
        <v>#N/A</v>
      </c>
      <c r="R392" s="22" t="e">
        <f t="shared" ca="1" si="70"/>
        <v>#N/A</v>
      </c>
      <c r="S392" s="89" t="e">
        <f t="shared" ca="1" si="71"/>
        <v>#N/A</v>
      </c>
      <c r="T392" s="22" t="e">
        <f t="shared" ca="1" si="72"/>
        <v>#N/A</v>
      </c>
      <c r="U392" s="89" t="e">
        <f t="shared" ca="1" si="73"/>
        <v>#N/A</v>
      </c>
      <c r="V392" s="22" t="e">
        <f t="shared" ca="1" si="74"/>
        <v>#N/A</v>
      </c>
      <c r="AM392" t="e">
        <f t="shared" si="75"/>
        <v>#N/A</v>
      </c>
      <c r="AN392" t="e">
        <f t="shared" ca="1" si="76"/>
        <v>#N/A</v>
      </c>
    </row>
    <row r="393" spans="1:40" x14ac:dyDescent="0.3">
      <c r="A393" s="87">
        <v>392</v>
      </c>
      <c r="B393" t="str">
        <f>IFERROR(INDEX('Mock Database'!$D$3:$D$152,MATCH($A393,'Mock Database'!$C$3:$C$152,0)),"")</f>
        <v/>
      </c>
      <c r="C393" s="88" t="str">
        <f>IFERROR(INDEX('Mock Database'!$I$3:$I$152,MATCH($A393,'Mock Database'!$C$3:$C$152,0)),"")</f>
        <v/>
      </c>
      <c r="D393" s="89" t="str">
        <f ca="1">IF(ISNA(MATCH($A393,'Mock Database'!$C$3:$C$152,0)),"",IF(ISBLANK(OFFSET('Mock Database'!$M$2,MATCH($A393,'Mock Database'!$C$3:$C$152,0),0)),"",INDEX('Mock Database'!$M$3:$M$152,MATCH($A393,'Mock Database'!$C$3:$C$152,0))))</f>
        <v/>
      </c>
      <c r="E393" s="22" t="str">
        <f ca="1">IF(ISNA(MATCH($A393,'Mock Database'!$C$3:$C$152,0)),"",IF(ISBLANK(OFFSET('Mock Database'!$N$2,MATCH($A393,'Mock Database'!$C$3:$C$152,0),0)),"",INDEX('Mock Database'!$N$3:$N$152,MATCH($A393,'Mock Database'!$C$3:$C$152,0))))</f>
        <v/>
      </c>
      <c r="F393" s="89" t="str">
        <f ca="1">IF(ISNA(MATCH($A393,'Mock Database'!$C$3:$C$152,0)),"",IF(ISBLANK(OFFSET('Mock Database'!$S$2,MATCH($A393,'Mock Database'!$C$3:$C$152,0),0)),"",INDEX('Mock Database'!$S$3:$S$152,MATCH($A393,'Mock Database'!$C$3:$C$152,0))))</f>
        <v/>
      </c>
      <c r="G393" s="22" t="str">
        <f ca="1">IF(ISNA(MATCH($A393,'Mock Database'!$C$3:$C$152,0)),"",IF(ISBLANK(OFFSET('Mock Database'!$T$2,MATCH($A393,'Mock Database'!$C$3:$C$152,0),0)),"",INDEX('Mock Database'!$T$3:$T$152,MATCH($A393,'Mock Database'!$C$3:$C$152,0))))</f>
        <v/>
      </c>
      <c r="H393" s="89" t="str">
        <f ca="1">IF(ISNA(MATCH($A393,'Mock Database'!$C$3:$C$152,0)),"",IF(ISBLANK(OFFSET('Mock Database'!$Y$2,MATCH($A393,'Mock Database'!$C$3:$C$152,0),0)),"",INDEX('Mock Database'!$Y$3:$Y$152,MATCH($A393,'Mock Database'!$C$3:$C$152,0))))</f>
        <v/>
      </c>
      <c r="I393" s="22" t="str">
        <f ca="1">IF(ISNA(MATCH($A393,'Mock Database'!$C$3:$C$152,0)),"",IF(ISBLANK(OFFSET('Mock Database'!$Z$2,MATCH($A393,'Mock Database'!$C$3:$C$152,0),0)),"",INDEX('Mock Database'!$Z$3:$Z$152,MATCH($A393,'Mock Database'!$C$3:$C$152,0))))</f>
        <v/>
      </c>
      <c r="J393" s="89" t="str">
        <f ca="1">IF(ISNA(MATCH($A393,'Mock Database'!$C$3:$C$152,0)),"",IF(ISBLANK(OFFSET('Mock Database'!$AE$2,MATCH($A393,'Mock Database'!$C$3:$C$152,0),0)),"",INDEX('Mock Database'!$AE$3:$AE$152,MATCH($A393,'Mock Database'!$C$3:$C$152,0))))</f>
        <v/>
      </c>
      <c r="K393" s="22" t="str">
        <f ca="1">IF(ISNA(MATCH($A393,'Mock Database'!$C$3:$C$152,0)),"",IF(ISBLANK(OFFSET('Mock Database'!$AF$2,MATCH($A393,'Mock Database'!$C$3:$C$152,0),0)),"",INDEX('Mock Database'!$AF$3:$AF$152,MATCH($A393,'Mock Database'!$C$3:$C$152,0))))</f>
        <v/>
      </c>
      <c r="N393" t="e">
        <f t="shared" si="66"/>
        <v>#N/A</v>
      </c>
      <c r="O393" s="89" t="e">
        <f t="shared" ca="1" si="67"/>
        <v>#N/A</v>
      </c>
      <c r="P393" s="22" t="e">
        <f t="shared" ca="1" si="68"/>
        <v>#N/A</v>
      </c>
      <c r="Q393" s="89" t="e">
        <f t="shared" ca="1" si="69"/>
        <v>#N/A</v>
      </c>
      <c r="R393" s="22" t="e">
        <f t="shared" ca="1" si="70"/>
        <v>#N/A</v>
      </c>
      <c r="S393" s="89" t="e">
        <f t="shared" ca="1" si="71"/>
        <v>#N/A</v>
      </c>
      <c r="T393" s="22" t="e">
        <f t="shared" ca="1" si="72"/>
        <v>#N/A</v>
      </c>
      <c r="U393" s="89" t="e">
        <f t="shared" ca="1" si="73"/>
        <v>#N/A</v>
      </c>
      <c r="V393" s="22" t="e">
        <f t="shared" ca="1" si="74"/>
        <v>#N/A</v>
      </c>
      <c r="AM393" t="e">
        <f t="shared" si="75"/>
        <v>#N/A</v>
      </c>
      <c r="AN393" t="e">
        <f t="shared" ca="1" si="76"/>
        <v>#N/A</v>
      </c>
    </row>
    <row r="394" spans="1:40" x14ac:dyDescent="0.3">
      <c r="A394" s="87">
        <v>393</v>
      </c>
      <c r="B394" t="str">
        <f>IFERROR(INDEX('Mock Database'!$D$3:$D$152,MATCH($A394,'Mock Database'!$C$3:$C$152,0)),"")</f>
        <v/>
      </c>
      <c r="C394" s="88" t="str">
        <f>IFERROR(INDEX('Mock Database'!$I$3:$I$152,MATCH($A394,'Mock Database'!$C$3:$C$152,0)),"")</f>
        <v/>
      </c>
      <c r="D394" s="89" t="str">
        <f ca="1">IF(ISNA(MATCH($A394,'Mock Database'!$C$3:$C$152,0)),"",IF(ISBLANK(OFFSET('Mock Database'!$M$2,MATCH($A394,'Mock Database'!$C$3:$C$152,0),0)),"",INDEX('Mock Database'!$M$3:$M$152,MATCH($A394,'Mock Database'!$C$3:$C$152,0))))</f>
        <v/>
      </c>
      <c r="E394" s="22" t="str">
        <f ca="1">IF(ISNA(MATCH($A394,'Mock Database'!$C$3:$C$152,0)),"",IF(ISBLANK(OFFSET('Mock Database'!$N$2,MATCH($A394,'Mock Database'!$C$3:$C$152,0),0)),"",INDEX('Mock Database'!$N$3:$N$152,MATCH($A394,'Mock Database'!$C$3:$C$152,0))))</f>
        <v/>
      </c>
      <c r="F394" s="89" t="str">
        <f ca="1">IF(ISNA(MATCH($A394,'Mock Database'!$C$3:$C$152,0)),"",IF(ISBLANK(OFFSET('Mock Database'!$S$2,MATCH($A394,'Mock Database'!$C$3:$C$152,0),0)),"",INDEX('Mock Database'!$S$3:$S$152,MATCH($A394,'Mock Database'!$C$3:$C$152,0))))</f>
        <v/>
      </c>
      <c r="G394" s="22" t="str">
        <f ca="1">IF(ISNA(MATCH($A394,'Mock Database'!$C$3:$C$152,0)),"",IF(ISBLANK(OFFSET('Mock Database'!$T$2,MATCH($A394,'Mock Database'!$C$3:$C$152,0),0)),"",INDEX('Mock Database'!$T$3:$T$152,MATCH($A394,'Mock Database'!$C$3:$C$152,0))))</f>
        <v/>
      </c>
      <c r="H394" s="89" t="str">
        <f ca="1">IF(ISNA(MATCH($A394,'Mock Database'!$C$3:$C$152,0)),"",IF(ISBLANK(OFFSET('Mock Database'!$Y$2,MATCH($A394,'Mock Database'!$C$3:$C$152,0),0)),"",INDEX('Mock Database'!$Y$3:$Y$152,MATCH($A394,'Mock Database'!$C$3:$C$152,0))))</f>
        <v/>
      </c>
      <c r="I394" s="22" t="str">
        <f ca="1">IF(ISNA(MATCH($A394,'Mock Database'!$C$3:$C$152,0)),"",IF(ISBLANK(OFFSET('Mock Database'!$Z$2,MATCH($A394,'Mock Database'!$C$3:$C$152,0),0)),"",INDEX('Mock Database'!$Z$3:$Z$152,MATCH($A394,'Mock Database'!$C$3:$C$152,0))))</f>
        <v/>
      </c>
      <c r="J394" s="89" t="str">
        <f ca="1">IF(ISNA(MATCH($A394,'Mock Database'!$C$3:$C$152,0)),"",IF(ISBLANK(OFFSET('Mock Database'!$AE$2,MATCH($A394,'Mock Database'!$C$3:$C$152,0),0)),"",INDEX('Mock Database'!$AE$3:$AE$152,MATCH($A394,'Mock Database'!$C$3:$C$152,0))))</f>
        <v/>
      </c>
      <c r="K394" s="22" t="str">
        <f ca="1">IF(ISNA(MATCH($A394,'Mock Database'!$C$3:$C$152,0)),"",IF(ISBLANK(OFFSET('Mock Database'!$AF$2,MATCH($A394,'Mock Database'!$C$3:$C$152,0),0)),"",INDEX('Mock Database'!$AF$3:$AF$152,MATCH($A394,'Mock Database'!$C$3:$C$152,0))))</f>
        <v/>
      </c>
      <c r="N394" t="e">
        <f t="shared" si="66"/>
        <v>#N/A</v>
      </c>
      <c r="O394" s="89" t="e">
        <f t="shared" ca="1" si="67"/>
        <v>#N/A</v>
      </c>
      <c r="P394" s="22" t="e">
        <f t="shared" ca="1" si="68"/>
        <v>#N/A</v>
      </c>
      <c r="Q394" s="89" t="e">
        <f t="shared" ca="1" si="69"/>
        <v>#N/A</v>
      </c>
      <c r="R394" s="22" t="e">
        <f t="shared" ca="1" si="70"/>
        <v>#N/A</v>
      </c>
      <c r="S394" s="89" t="e">
        <f t="shared" ca="1" si="71"/>
        <v>#N/A</v>
      </c>
      <c r="T394" s="22" t="e">
        <f t="shared" ca="1" si="72"/>
        <v>#N/A</v>
      </c>
      <c r="U394" s="89" t="e">
        <f t="shared" ca="1" si="73"/>
        <v>#N/A</v>
      </c>
      <c r="V394" s="22" t="e">
        <f t="shared" ca="1" si="74"/>
        <v>#N/A</v>
      </c>
      <c r="AM394" t="e">
        <f t="shared" si="75"/>
        <v>#N/A</v>
      </c>
      <c r="AN394" t="e">
        <f t="shared" ca="1" si="76"/>
        <v>#N/A</v>
      </c>
    </row>
    <row r="395" spans="1:40" x14ac:dyDescent="0.3">
      <c r="A395" s="87">
        <v>394</v>
      </c>
      <c r="B395" t="str">
        <f>IFERROR(INDEX('Mock Database'!$D$3:$D$152,MATCH($A395,'Mock Database'!$C$3:$C$152,0)),"")</f>
        <v/>
      </c>
      <c r="C395" s="88" t="str">
        <f>IFERROR(INDEX('Mock Database'!$I$3:$I$152,MATCH($A395,'Mock Database'!$C$3:$C$152,0)),"")</f>
        <v/>
      </c>
      <c r="D395" s="89" t="str">
        <f ca="1">IF(ISNA(MATCH($A395,'Mock Database'!$C$3:$C$152,0)),"",IF(ISBLANK(OFFSET('Mock Database'!$M$2,MATCH($A395,'Mock Database'!$C$3:$C$152,0),0)),"",INDEX('Mock Database'!$M$3:$M$152,MATCH($A395,'Mock Database'!$C$3:$C$152,0))))</f>
        <v/>
      </c>
      <c r="E395" s="22" t="str">
        <f ca="1">IF(ISNA(MATCH($A395,'Mock Database'!$C$3:$C$152,0)),"",IF(ISBLANK(OFFSET('Mock Database'!$N$2,MATCH($A395,'Mock Database'!$C$3:$C$152,0),0)),"",INDEX('Mock Database'!$N$3:$N$152,MATCH($A395,'Mock Database'!$C$3:$C$152,0))))</f>
        <v/>
      </c>
      <c r="F395" s="89" t="str">
        <f ca="1">IF(ISNA(MATCH($A395,'Mock Database'!$C$3:$C$152,0)),"",IF(ISBLANK(OFFSET('Mock Database'!$S$2,MATCH($A395,'Mock Database'!$C$3:$C$152,0),0)),"",INDEX('Mock Database'!$S$3:$S$152,MATCH($A395,'Mock Database'!$C$3:$C$152,0))))</f>
        <v/>
      </c>
      <c r="G395" s="22" t="str">
        <f ca="1">IF(ISNA(MATCH($A395,'Mock Database'!$C$3:$C$152,0)),"",IF(ISBLANK(OFFSET('Mock Database'!$T$2,MATCH($A395,'Mock Database'!$C$3:$C$152,0),0)),"",INDEX('Mock Database'!$T$3:$T$152,MATCH($A395,'Mock Database'!$C$3:$C$152,0))))</f>
        <v/>
      </c>
      <c r="H395" s="89" t="str">
        <f ca="1">IF(ISNA(MATCH($A395,'Mock Database'!$C$3:$C$152,0)),"",IF(ISBLANK(OFFSET('Mock Database'!$Y$2,MATCH($A395,'Mock Database'!$C$3:$C$152,0),0)),"",INDEX('Mock Database'!$Y$3:$Y$152,MATCH($A395,'Mock Database'!$C$3:$C$152,0))))</f>
        <v/>
      </c>
      <c r="I395" s="22" t="str">
        <f ca="1">IF(ISNA(MATCH($A395,'Mock Database'!$C$3:$C$152,0)),"",IF(ISBLANK(OFFSET('Mock Database'!$Z$2,MATCH($A395,'Mock Database'!$C$3:$C$152,0),0)),"",INDEX('Mock Database'!$Z$3:$Z$152,MATCH($A395,'Mock Database'!$C$3:$C$152,0))))</f>
        <v/>
      </c>
      <c r="J395" s="89" t="str">
        <f ca="1">IF(ISNA(MATCH($A395,'Mock Database'!$C$3:$C$152,0)),"",IF(ISBLANK(OFFSET('Mock Database'!$AE$2,MATCH($A395,'Mock Database'!$C$3:$C$152,0),0)),"",INDEX('Mock Database'!$AE$3:$AE$152,MATCH($A395,'Mock Database'!$C$3:$C$152,0))))</f>
        <v/>
      </c>
      <c r="K395" s="22" t="str">
        <f ca="1">IF(ISNA(MATCH($A395,'Mock Database'!$C$3:$C$152,0)),"",IF(ISBLANK(OFFSET('Mock Database'!$AF$2,MATCH($A395,'Mock Database'!$C$3:$C$152,0),0)),"",INDEX('Mock Database'!$AF$3:$AF$152,MATCH($A395,'Mock Database'!$C$3:$C$152,0))))</f>
        <v/>
      </c>
      <c r="N395" t="e">
        <f t="shared" si="66"/>
        <v>#N/A</v>
      </c>
      <c r="O395" s="89" t="e">
        <f t="shared" ca="1" si="67"/>
        <v>#N/A</v>
      </c>
      <c r="P395" s="22" t="e">
        <f t="shared" ca="1" si="68"/>
        <v>#N/A</v>
      </c>
      <c r="Q395" s="89" t="e">
        <f t="shared" ca="1" si="69"/>
        <v>#N/A</v>
      </c>
      <c r="R395" s="22" t="e">
        <f t="shared" ca="1" si="70"/>
        <v>#N/A</v>
      </c>
      <c r="S395" s="89" t="e">
        <f t="shared" ca="1" si="71"/>
        <v>#N/A</v>
      </c>
      <c r="T395" s="22" t="e">
        <f t="shared" ca="1" si="72"/>
        <v>#N/A</v>
      </c>
      <c r="U395" s="89" t="e">
        <f t="shared" ca="1" si="73"/>
        <v>#N/A</v>
      </c>
      <c r="V395" s="22" t="e">
        <f t="shared" ca="1" si="74"/>
        <v>#N/A</v>
      </c>
      <c r="AM395" t="e">
        <f t="shared" si="75"/>
        <v>#N/A</v>
      </c>
      <c r="AN395" t="e">
        <f t="shared" ca="1" si="76"/>
        <v>#N/A</v>
      </c>
    </row>
    <row r="396" spans="1:40" x14ac:dyDescent="0.3">
      <c r="A396" s="87">
        <v>395</v>
      </c>
      <c r="B396" t="str">
        <f>IFERROR(INDEX('Mock Database'!$D$3:$D$152,MATCH($A396,'Mock Database'!$C$3:$C$152,0)),"")</f>
        <v/>
      </c>
      <c r="C396" s="88" t="str">
        <f>IFERROR(INDEX('Mock Database'!$I$3:$I$152,MATCH($A396,'Mock Database'!$C$3:$C$152,0)),"")</f>
        <v/>
      </c>
      <c r="D396" s="89" t="str">
        <f ca="1">IF(ISNA(MATCH($A396,'Mock Database'!$C$3:$C$152,0)),"",IF(ISBLANK(OFFSET('Mock Database'!$M$2,MATCH($A396,'Mock Database'!$C$3:$C$152,0),0)),"",INDEX('Mock Database'!$M$3:$M$152,MATCH($A396,'Mock Database'!$C$3:$C$152,0))))</f>
        <v/>
      </c>
      <c r="E396" s="22" t="str">
        <f ca="1">IF(ISNA(MATCH($A396,'Mock Database'!$C$3:$C$152,0)),"",IF(ISBLANK(OFFSET('Mock Database'!$N$2,MATCH($A396,'Mock Database'!$C$3:$C$152,0),0)),"",INDEX('Mock Database'!$N$3:$N$152,MATCH($A396,'Mock Database'!$C$3:$C$152,0))))</f>
        <v/>
      </c>
      <c r="F396" s="89" t="str">
        <f ca="1">IF(ISNA(MATCH($A396,'Mock Database'!$C$3:$C$152,0)),"",IF(ISBLANK(OFFSET('Mock Database'!$S$2,MATCH($A396,'Mock Database'!$C$3:$C$152,0),0)),"",INDEX('Mock Database'!$S$3:$S$152,MATCH($A396,'Mock Database'!$C$3:$C$152,0))))</f>
        <v/>
      </c>
      <c r="G396" s="22" t="str">
        <f ca="1">IF(ISNA(MATCH($A396,'Mock Database'!$C$3:$C$152,0)),"",IF(ISBLANK(OFFSET('Mock Database'!$T$2,MATCH($A396,'Mock Database'!$C$3:$C$152,0),0)),"",INDEX('Mock Database'!$T$3:$T$152,MATCH($A396,'Mock Database'!$C$3:$C$152,0))))</f>
        <v/>
      </c>
      <c r="H396" s="89" t="str">
        <f ca="1">IF(ISNA(MATCH($A396,'Mock Database'!$C$3:$C$152,0)),"",IF(ISBLANK(OFFSET('Mock Database'!$Y$2,MATCH($A396,'Mock Database'!$C$3:$C$152,0),0)),"",INDEX('Mock Database'!$Y$3:$Y$152,MATCH($A396,'Mock Database'!$C$3:$C$152,0))))</f>
        <v/>
      </c>
      <c r="I396" s="22" t="str">
        <f ca="1">IF(ISNA(MATCH($A396,'Mock Database'!$C$3:$C$152,0)),"",IF(ISBLANK(OFFSET('Mock Database'!$Z$2,MATCH($A396,'Mock Database'!$C$3:$C$152,0),0)),"",INDEX('Mock Database'!$Z$3:$Z$152,MATCH($A396,'Mock Database'!$C$3:$C$152,0))))</f>
        <v/>
      </c>
      <c r="J396" s="89" t="str">
        <f ca="1">IF(ISNA(MATCH($A396,'Mock Database'!$C$3:$C$152,0)),"",IF(ISBLANK(OFFSET('Mock Database'!$AE$2,MATCH($A396,'Mock Database'!$C$3:$C$152,0),0)),"",INDEX('Mock Database'!$AE$3:$AE$152,MATCH($A396,'Mock Database'!$C$3:$C$152,0))))</f>
        <v/>
      </c>
      <c r="K396" s="22" t="str">
        <f ca="1">IF(ISNA(MATCH($A396,'Mock Database'!$C$3:$C$152,0)),"",IF(ISBLANK(OFFSET('Mock Database'!$AF$2,MATCH($A396,'Mock Database'!$C$3:$C$152,0),0)),"",INDEX('Mock Database'!$AF$3:$AF$152,MATCH($A396,'Mock Database'!$C$3:$C$152,0))))</f>
        <v/>
      </c>
      <c r="N396" t="e">
        <f t="shared" si="66"/>
        <v>#N/A</v>
      </c>
      <c r="O396" s="89" t="e">
        <f t="shared" ca="1" si="67"/>
        <v>#N/A</v>
      </c>
      <c r="P396" s="22" t="e">
        <f t="shared" ca="1" si="68"/>
        <v>#N/A</v>
      </c>
      <c r="Q396" s="89" t="e">
        <f t="shared" ca="1" si="69"/>
        <v>#N/A</v>
      </c>
      <c r="R396" s="22" t="e">
        <f t="shared" ca="1" si="70"/>
        <v>#N/A</v>
      </c>
      <c r="S396" s="89" t="e">
        <f t="shared" ca="1" si="71"/>
        <v>#N/A</v>
      </c>
      <c r="T396" s="22" t="e">
        <f t="shared" ca="1" si="72"/>
        <v>#N/A</v>
      </c>
      <c r="U396" s="89" t="e">
        <f t="shared" ca="1" si="73"/>
        <v>#N/A</v>
      </c>
      <c r="V396" s="22" t="e">
        <f t="shared" ca="1" si="74"/>
        <v>#N/A</v>
      </c>
      <c r="AM396" t="e">
        <f t="shared" si="75"/>
        <v>#N/A</v>
      </c>
      <c r="AN396" t="e">
        <f t="shared" ca="1" si="76"/>
        <v>#N/A</v>
      </c>
    </row>
    <row r="397" spans="1:40" x14ac:dyDescent="0.3">
      <c r="A397" s="87">
        <v>396</v>
      </c>
      <c r="B397" t="str">
        <f>IFERROR(INDEX('Mock Database'!$D$3:$D$152,MATCH($A397,'Mock Database'!$C$3:$C$152,0)),"")</f>
        <v/>
      </c>
      <c r="C397" s="88" t="str">
        <f>IFERROR(INDEX('Mock Database'!$I$3:$I$152,MATCH($A397,'Mock Database'!$C$3:$C$152,0)),"")</f>
        <v/>
      </c>
      <c r="D397" s="89" t="str">
        <f ca="1">IF(ISNA(MATCH($A397,'Mock Database'!$C$3:$C$152,0)),"",IF(ISBLANK(OFFSET('Mock Database'!$M$2,MATCH($A397,'Mock Database'!$C$3:$C$152,0),0)),"",INDEX('Mock Database'!$M$3:$M$152,MATCH($A397,'Mock Database'!$C$3:$C$152,0))))</f>
        <v/>
      </c>
      <c r="E397" s="22" t="str">
        <f ca="1">IF(ISNA(MATCH($A397,'Mock Database'!$C$3:$C$152,0)),"",IF(ISBLANK(OFFSET('Mock Database'!$N$2,MATCH($A397,'Mock Database'!$C$3:$C$152,0),0)),"",INDEX('Mock Database'!$N$3:$N$152,MATCH($A397,'Mock Database'!$C$3:$C$152,0))))</f>
        <v/>
      </c>
      <c r="F397" s="89" t="str">
        <f ca="1">IF(ISNA(MATCH($A397,'Mock Database'!$C$3:$C$152,0)),"",IF(ISBLANK(OFFSET('Mock Database'!$S$2,MATCH($A397,'Mock Database'!$C$3:$C$152,0),0)),"",INDEX('Mock Database'!$S$3:$S$152,MATCH($A397,'Mock Database'!$C$3:$C$152,0))))</f>
        <v/>
      </c>
      <c r="G397" s="22" t="str">
        <f ca="1">IF(ISNA(MATCH($A397,'Mock Database'!$C$3:$C$152,0)),"",IF(ISBLANK(OFFSET('Mock Database'!$T$2,MATCH($A397,'Mock Database'!$C$3:$C$152,0),0)),"",INDEX('Mock Database'!$T$3:$T$152,MATCH($A397,'Mock Database'!$C$3:$C$152,0))))</f>
        <v/>
      </c>
      <c r="H397" s="89" t="str">
        <f ca="1">IF(ISNA(MATCH($A397,'Mock Database'!$C$3:$C$152,0)),"",IF(ISBLANK(OFFSET('Mock Database'!$Y$2,MATCH($A397,'Mock Database'!$C$3:$C$152,0),0)),"",INDEX('Mock Database'!$Y$3:$Y$152,MATCH($A397,'Mock Database'!$C$3:$C$152,0))))</f>
        <v/>
      </c>
      <c r="I397" s="22" t="str">
        <f ca="1">IF(ISNA(MATCH($A397,'Mock Database'!$C$3:$C$152,0)),"",IF(ISBLANK(OFFSET('Mock Database'!$Z$2,MATCH($A397,'Mock Database'!$C$3:$C$152,0),0)),"",INDEX('Mock Database'!$Z$3:$Z$152,MATCH($A397,'Mock Database'!$C$3:$C$152,0))))</f>
        <v/>
      </c>
      <c r="J397" s="89" t="str">
        <f ca="1">IF(ISNA(MATCH($A397,'Mock Database'!$C$3:$C$152,0)),"",IF(ISBLANK(OFFSET('Mock Database'!$AE$2,MATCH($A397,'Mock Database'!$C$3:$C$152,0),0)),"",INDEX('Mock Database'!$AE$3:$AE$152,MATCH($A397,'Mock Database'!$C$3:$C$152,0))))</f>
        <v/>
      </c>
      <c r="K397" s="22" t="str">
        <f ca="1">IF(ISNA(MATCH($A397,'Mock Database'!$C$3:$C$152,0)),"",IF(ISBLANK(OFFSET('Mock Database'!$AF$2,MATCH($A397,'Mock Database'!$C$3:$C$152,0),0)),"",INDEX('Mock Database'!$AF$3:$AF$152,MATCH($A397,'Mock Database'!$C$3:$C$152,0))))</f>
        <v/>
      </c>
      <c r="N397" t="e">
        <f t="shared" si="66"/>
        <v>#N/A</v>
      </c>
      <c r="O397" s="89" t="e">
        <f t="shared" ca="1" si="67"/>
        <v>#N/A</v>
      </c>
      <c r="P397" s="22" t="e">
        <f t="shared" ca="1" si="68"/>
        <v>#N/A</v>
      </c>
      <c r="Q397" s="89" t="e">
        <f t="shared" ca="1" si="69"/>
        <v>#N/A</v>
      </c>
      <c r="R397" s="22" t="e">
        <f t="shared" ca="1" si="70"/>
        <v>#N/A</v>
      </c>
      <c r="S397" s="89" t="e">
        <f t="shared" ca="1" si="71"/>
        <v>#N/A</v>
      </c>
      <c r="T397" s="22" t="e">
        <f t="shared" ca="1" si="72"/>
        <v>#N/A</v>
      </c>
      <c r="U397" s="89" t="e">
        <f t="shared" ca="1" si="73"/>
        <v>#N/A</v>
      </c>
      <c r="V397" s="22" t="e">
        <f t="shared" ca="1" si="74"/>
        <v>#N/A</v>
      </c>
      <c r="AM397" t="e">
        <f t="shared" si="75"/>
        <v>#N/A</v>
      </c>
      <c r="AN397" t="e">
        <f t="shared" ca="1" si="76"/>
        <v>#N/A</v>
      </c>
    </row>
    <row r="398" spans="1:40" x14ac:dyDescent="0.3">
      <c r="A398" s="87">
        <v>397</v>
      </c>
      <c r="B398" t="str">
        <f>IFERROR(INDEX('Mock Database'!$D$3:$D$152,MATCH($A398,'Mock Database'!$C$3:$C$152,0)),"")</f>
        <v/>
      </c>
      <c r="C398" s="88" t="str">
        <f>IFERROR(INDEX('Mock Database'!$I$3:$I$152,MATCH($A398,'Mock Database'!$C$3:$C$152,0)),"")</f>
        <v/>
      </c>
      <c r="D398" s="89" t="str">
        <f ca="1">IF(ISNA(MATCH($A398,'Mock Database'!$C$3:$C$152,0)),"",IF(ISBLANK(OFFSET('Mock Database'!$M$2,MATCH($A398,'Mock Database'!$C$3:$C$152,0),0)),"",INDEX('Mock Database'!$M$3:$M$152,MATCH($A398,'Mock Database'!$C$3:$C$152,0))))</f>
        <v/>
      </c>
      <c r="E398" s="22" t="str">
        <f ca="1">IF(ISNA(MATCH($A398,'Mock Database'!$C$3:$C$152,0)),"",IF(ISBLANK(OFFSET('Mock Database'!$N$2,MATCH($A398,'Mock Database'!$C$3:$C$152,0),0)),"",INDEX('Mock Database'!$N$3:$N$152,MATCH($A398,'Mock Database'!$C$3:$C$152,0))))</f>
        <v/>
      </c>
      <c r="F398" s="89" t="str">
        <f ca="1">IF(ISNA(MATCH($A398,'Mock Database'!$C$3:$C$152,0)),"",IF(ISBLANK(OFFSET('Mock Database'!$S$2,MATCH($A398,'Mock Database'!$C$3:$C$152,0),0)),"",INDEX('Mock Database'!$S$3:$S$152,MATCH($A398,'Mock Database'!$C$3:$C$152,0))))</f>
        <v/>
      </c>
      <c r="G398" s="22" t="str">
        <f ca="1">IF(ISNA(MATCH($A398,'Mock Database'!$C$3:$C$152,0)),"",IF(ISBLANK(OFFSET('Mock Database'!$T$2,MATCH($A398,'Mock Database'!$C$3:$C$152,0),0)),"",INDEX('Mock Database'!$T$3:$T$152,MATCH($A398,'Mock Database'!$C$3:$C$152,0))))</f>
        <v/>
      </c>
      <c r="H398" s="89" t="str">
        <f ca="1">IF(ISNA(MATCH($A398,'Mock Database'!$C$3:$C$152,0)),"",IF(ISBLANK(OFFSET('Mock Database'!$Y$2,MATCH($A398,'Mock Database'!$C$3:$C$152,0),0)),"",INDEX('Mock Database'!$Y$3:$Y$152,MATCH($A398,'Mock Database'!$C$3:$C$152,0))))</f>
        <v/>
      </c>
      <c r="I398" s="22" t="str">
        <f ca="1">IF(ISNA(MATCH($A398,'Mock Database'!$C$3:$C$152,0)),"",IF(ISBLANK(OFFSET('Mock Database'!$Z$2,MATCH($A398,'Mock Database'!$C$3:$C$152,0),0)),"",INDEX('Mock Database'!$Z$3:$Z$152,MATCH($A398,'Mock Database'!$C$3:$C$152,0))))</f>
        <v/>
      </c>
      <c r="J398" s="89" t="str">
        <f ca="1">IF(ISNA(MATCH($A398,'Mock Database'!$C$3:$C$152,0)),"",IF(ISBLANK(OFFSET('Mock Database'!$AE$2,MATCH($A398,'Mock Database'!$C$3:$C$152,0),0)),"",INDEX('Mock Database'!$AE$3:$AE$152,MATCH($A398,'Mock Database'!$C$3:$C$152,0))))</f>
        <v/>
      </c>
      <c r="K398" s="22" t="str">
        <f ca="1">IF(ISNA(MATCH($A398,'Mock Database'!$C$3:$C$152,0)),"",IF(ISBLANK(OFFSET('Mock Database'!$AF$2,MATCH($A398,'Mock Database'!$C$3:$C$152,0),0)),"",INDEX('Mock Database'!$AF$3:$AF$152,MATCH($A398,'Mock Database'!$C$3:$C$152,0))))</f>
        <v/>
      </c>
      <c r="N398" t="e">
        <f t="shared" si="66"/>
        <v>#N/A</v>
      </c>
      <c r="O398" s="89" t="e">
        <f t="shared" ca="1" si="67"/>
        <v>#N/A</v>
      </c>
      <c r="P398" s="22" t="e">
        <f t="shared" ca="1" si="68"/>
        <v>#N/A</v>
      </c>
      <c r="Q398" s="89" t="e">
        <f t="shared" ca="1" si="69"/>
        <v>#N/A</v>
      </c>
      <c r="R398" s="22" t="e">
        <f t="shared" ca="1" si="70"/>
        <v>#N/A</v>
      </c>
      <c r="S398" s="89" t="e">
        <f t="shared" ca="1" si="71"/>
        <v>#N/A</v>
      </c>
      <c r="T398" s="22" t="e">
        <f t="shared" ca="1" si="72"/>
        <v>#N/A</v>
      </c>
      <c r="U398" s="89" t="e">
        <f t="shared" ca="1" si="73"/>
        <v>#N/A</v>
      </c>
      <c r="V398" s="22" t="e">
        <f t="shared" ca="1" si="74"/>
        <v>#N/A</v>
      </c>
      <c r="AM398" t="e">
        <f t="shared" si="75"/>
        <v>#N/A</v>
      </c>
      <c r="AN398" t="e">
        <f t="shared" ca="1" si="76"/>
        <v>#N/A</v>
      </c>
    </row>
    <row r="399" spans="1:40" x14ac:dyDescent="0.3">
      <c r="A399" s="87">
        <v>398</v>
      </c>
      <c r="B399" t="str">
        <f>IFERROR(INDEX('Mock Database'!$D$3:$D$152,MATCH($A399,'Mock Database'!$C$3:$C$152,0)),"")</f>
        <v/>
      </c>
      <c r="C399" s="88" t="str">
        <f>IFERROR(INDEX('Mock Database'!$I$3:$I$152,MATCH($A399,'Mock Database'!$C$3:$C$152,0)),"")</f>
        <v/>
      </c>
      <c r="D399" s="89" t="str">
        <f ca="1">IF(ISNA(MATCH($A399,'Mock Database'!$C$3:$C$152,0)),"",IF(ISBLANK(OFFSET('Mock Database'!$M$2,MATCH($A399,'Mock Database'!$C$3:$C$152,0),0)),"",INDEX('Mock Database'!$M$3:$M$152,MATCH($A399,'Mock Database'!$C$3:$C$152,0))))</f>
        <v/>
      </c>
      <c r="E399" s="22" t="str">
        <f ca="1">IF(ISNA(MATCH($A399,'Mock Database'!$C$3:$C$152,0)),"",IF(ISBLANK(OFFSET('Mock Database'!$N$2,MATCH($A399,'Mock Database'!$C$3:$C$152,0),0)),"",INDEX('Mock Database'!$N$3:$N$152,MATCH($A399,'Mock Database'!$C$3:$C$152,0))))</f>
        <v/>
      </c>
      <c r="F399" s="89" t="str">
        <f ca="1">IF(ISNA(MATCH($A399,'Mock Database'!$C$3:$C$152,0)),"",IF(ISBLANK(OFFSET('Mock Database'!$S$2,MATCH($A399,'Mock Database'!$C$3:$C$152,0),0)),"",INDEX('Mock Database'!$S$3:$S$152,MATCH($A399,'Mock Database'!$C$3:$C$152,0))))</f>
        <v/>
      </c>
      <c r="G399" s="22" t="str">
        <f ca="1">IF(ISNA(MATCH($A399,'Mock Database'!$C$3:$C$152,0)),"",IF(ISBLANK(OFFSET('Mock Database'!$T$2,MATCH($A399,'Mock Database'!$C$3:$C$152,0),0)),"",INDEX('Mock Database'!$T$3:$T$152,MATCH($A399,'Mock Database'!$C$3:$C$152,0))))</f>
        <v/>
      </c>
      <c r="H399" s="89" t="str">
        <f ca="1">IF(ISNA(MATCH($A399,'Mock Database'!$C$3:$C$152,0)),"",IF(ISBLANK(OFFSET('Mock Database'!$Y$2,MATCH($A399,'Mock Database'!$C$3:$C$152,0),0)),"",INDEX('Mock Database'!$Y$3:$Y$152,MATCH($A399,'Mock Database'!$C$3:$C$152,0))))</f>
        <v/>
      </c>
      <c r="I399" s="22" t="str">
        <f ca="1">IF(ISNA(MATCH($A399,'Mock Database'!$C$3:$C$152,0)),"",IF(ISBLANK(OFFSET('Mock Database'!$Z$2,MATCH($A399,'Mock Database'!$C$3:$C$152,0),0)),"",INDEX('Mock Database'!$Z$3:$Z$152,MATCH($A399,'Mock Database'!$C$3:$C$152,0))))</f>
        <v/>
      </c>
      <c r="J399" s="89" t="str">
        <f ca="1">IF(ISNA(MATCH($A399,'Mock Database'!$C$3:$C$152,0)),"",IF(ISBLANK(OFFSET('Mock Database'!$AE$2,MATCH($A399,'Mock Database'!$C$3:$C$152,0),0)),"",INDEX('Mock Database'!$AE$3:$AE$152,MATCH($A399,'Mock Database'!$C$3:$C$152,0))))</f>
        <v/>
      </c>
      <c r="K399" s="22" t="str">
        <f ca="1">IF(ISNA(MATCH($A399,'Mock Database'!$C$3:$C$152,0)),"",IF(ISBLANK(OFFSET('Mock Database'!$AF$2,MATCH($A399,'Mock Database'!$C$3:$C$152,0),0)),"",INDEX('Mock Database'!$AF$3:$AF$152,MATCH($A399,'Mock Database'!$C$3:$C$152,0))))</f>
        <v/>
      </c>
      <c r="N399" t="e">
        <f t="shared" si="66"/>
        <v>#N/A</v>
      </c>
      <c r="O399" s="89" t="e">
        <f t="shared" ca="1" si="67"/>
        <v>#N/A</v>
      </c>
      <c r="P399" s="22" t="e">
        <f t="shared" ca="1" si="68"/>
        <v>#N/A</v>
      </c>
      <c r="Q399" s="89" t="e">
        <f t="shared" ca="1" si="69"/>
        <v>#N/A</v>
      </c>
      <c r="R399" s="22" t="e">
        <f t="shared" ca="1" si="70"/>
        <v>#N/A</v>
      </c>
      <c r="S399" s="89" t="e">
        <f t="shared" ca="1" si="71"/>
        <v>#N/A</v>
      </c>
      <c r="T399" s="22" t="e">
        <f t="shared" ca="1" si="72"/>
        <v>#N/A</v>
      </c>
      <c r="U399" s="89" t="e">
        <f t="shared" ca="1" si="73"/>
        <v>#N/A</v>
      </c>
      <c r="V399" s="22" t="e">
        <f t="shared" ca="1" si="74"/>
        <v>#N/A</v>
      </c>
      <c r="AM399" t="e">
        <f t="shared" si="75"/>
        <v>#N/A</v>
      </c>
      <c r="AN399" t="e">
        <f t="shared" ca="1" si="76"/>
        <v>#N/A</v>
      </c>
    </row>
    <row r="400" spans="1:40" x14ac:dyDescent="0.3">
      <c r="A400" s="87">
        <v>399</v>
      </c>
      <c r="B400" t="str">
        <f>IFERROR(INDEX('Mock Database'!$D$3:$D$152,MATCH($A400,'Mock Database'!$C$3:$C$152,0)),"")</f>
        <v/>
      </c>
      <c r="C400" s="88" t="str">
        <f>IFERROR(INDEX('Mock Database'!$I$3:$I$152,MATCH($A400,'Mock Database'!$C$3:$C$152,0)),"")</f>
        <v/>
      </c>
      <c r="D400" s="89" t="str">
        <f ca="1">IF(ISNA(MATCH($A400,'Mock Database'!$C$3:$C$152,0)),"",IF(ISBLANK(OFFSET('Mock Database'!$M$2,MATCH($A400,'Mock Database'!$C$3:$C$152,0),0)),"",INDEX('Mock Database'!$M$3:$M$152,MATCH($A400,'Mock Database'!$C$3:$C$152,0))))</f>
        <v/>
      </c>
      <c r="E400" s="22" t="str">
        <f ca="1">IF(ISNA(MATCH($A400,'Mock Database'!$C$3:$C$152,0)),"",IF(ISBLANK(OFFSET('Mock Database'!$N$2,MATCH($A400,'Mock Database'!$C$3:$C$152,0),0)),"",INDEX('Mock Database'!$N$3:$N$152,MATCH($A400,'Mock Database'!$C$3:$C$152,0))))</f>
        <v/>
      </c>
      <c r="F400" s="89" t="str">
        <f ca="1">IF(ISNA(MATCH($A400,'Mock Database'!$C$3:$C$152,0)),"",IF(ISBLANK(OFFSET('Mock Database'!$S$2,MATCH($A400,'Mock Database'!$C$3:$C$152,0),0)),"",INDEX('Mock Database'!$S$3:$S$152,MATCH($A400,'Mock Database'!$C$3:$C$152,0))))</f>
        <v/>
      </c>
      <c r="G400" s="22" t="str">
        <f ca="1">IF(ISNA(MATCH($A400,'Mock Database'!$C$3:$C$152,0)),"",IF(ISBLANK(OFFSET('Mock Database'!$T$2,MATCH($A400,'Mock Database'!$C$3:$C$152,0),0)),"",INDEX('Mock Database'!$T$3:$T$152,MATCH($A400,'Mock Database'!$C$3:$C$152,0))))</f>
        <v/>
      </c>
      <c r="H400" s="89" t="str">
        <f ca="1">IF(ISNA(MATCH($A400,'Mock Database'!$C$3:$C$152,0)),"",IF(ISBLANK(OFFSET('Mock Database'!$Y$2,MATCH($A400,'Mock Database'!$C$3:$C$152,0),0)),"",INDEX('Mock Database'!$Y$3:$Y$152,MATCH($A400,'Mock Database'!$C$3:$C$152,0))))</f>
        <v/>
      </c>
      <c r="I400" s="22" t="str">
        <f ca="1">IF(ISNA(MATCH($A400,'Mock Database'!$C$3:$C$152,0)),"",IF(ISBLANK(OFFSET('Mock Database'!$Z$2,MATCH($A400,'Mock Database'!$C$3:$C$152,0),0)),"",INDEX('Mock Database'!$Z$3:$Z$152,MATCH($A400,'Mock Database'!$C$3:$C$152,0))))</f>
        <v/>
      </c>
      <c r="J400" s="89" t="str">
        <f ca="1">IF(ISNA(MATCH($A400,'Mock Database'!$C$3:$C$152,0)),"",IF(ISBLANK(OFFSET('Mock Database'!$AE$2,MATCH($A400,'Mock Database'!$C$3:$C$152,0),0)),"",INDEX('Mock Database'!$AE$3:$AE$152,MATCH($A400,'Mock Database'!$C$3:$C$152,0))))</f>
        <v/>
      </c>
      <c r="K400" s="22" t="str">
        <f ca="1">IF(ISNA(MATCH($A400,'Mock Database'!$C$3:$C$152,0)),"",IF(ISBLANK(OFFSET('Mock Database'!$AF$2,MATCH($A400,'Mock Database'!$C$3:$C$152,0),0)),"",INDEX('Mock Database'!$AF$3:$AF$152,MATCH($A400,'Mock Database'!$C$3:$C$152,0))))</f>
        <v/>
      </c>
      <c r="N400" t="e">
        <f t="shared" si="66"/>
        <v>#N/A</v>
      </c>
      <c r="O400" s="89" t="e">
        <f t="shared" ca="1" si="67"/>
        <v>#N/A</v>
      </c>
      <c r="P400" s="22" t="e">
        <f t="shared" ca="1" si="68"/>
        <v>#N/A</v>
      </c>
      <c r="Q400" s="89" t="e">
        <f t="shared" ca="1" si="69"/>
        <v>#N/A</v>
      </c>
      <c r="R400" s="22" t="e">
        <f t="shared" ca="1" si="70"/>
        <v>#N/A</v>
      </c>
      <c r="S400" s="89" t="e">
        <f t="shared" ca="1" si="71"/>
        <v>#N/A</v>
      </c>
      <c r="T400" s="22" t="e">
        <f t="shared" ca="1" si="72"/>
        <v>#N/A</v>
      </c>
      <c r="U400" s="89" t="e">
        <f t="shared" ca="1" si="73"/>
        <v>#N/A</v>
      </c>
      <c r="V400" s="22" t="e">
        <f t="shared" ca="1" si="74"/>
        <v>#N/A</v>
      </c>
      <c r="AM400" t="e">
        <f t="shared" si="75"/>
        <v>#N/A</v>
      </c>
      <c r="AN400" t="e">
        <f t="shared" ca="1" si="76"/>
        <v>#N/A</v>
      </c>
    </row>
    <row r="401" spans="1:40" x14ac:dyDescent="0.3">
      <c r="A401" s="87">
        <v>400</v>
      </c>
      <c r="B401" t="str">
        <f>IFERROR(INDEX('Mock Database'!$D$3:$D$152,MATCH($A401,'Mock Database'!$C$3:$C$152,0)),"")</f>
        <v/>
      </c>
      <c r="C401" s="88" t="str">
        <f>IFERROR(INDEX('Mock Database'!$I$3:$I$152,MATCH($A401,'Mock Database'!$C$3:$C$152,0)),"")</f>
        <v/>
      </c>
      <c r="D401" s="89" t="str">
        <f ca="1">IF(ISNA(MATCH($A401,'Mock Database'!$C$3:$C$152,0)),"",IF(ISBLANK(OFFSET('Mock Database'!$M$2,MATCH($A401,'Mock Database'!$C$3:$C$152,0),0)),"",INDEX('Mock Database'!$M$3:$M$152,MATCH($A401,'Mock Database'!$C$3:$C$152,0))))</f>
        <v/>
      </c>
      <c r="E401" s="22" t="str">
        <f ca="1">IF(ISNA(MATCH($A401,'Mock Database'!$C$3:$C$152,0)),"",IF(ISBLANK(OFFSET('Mock Database'!$N$2,MATCH($A401,'Mock Database'!$C$3:$C$152,0),0)),"",INDEX('Mock Database'!$N$3:$N$152,MATCH($A401,'Mock Database'!$C$3:$C$152,0))))</f>
        <v/>
      </c>
      <c r="F401" s="89" t="str">
        <f ca="1">IF(ISNA(MATCH($A401,'Mock Database'!$C$3:$C$152,0)),"",IF(ISBLANK(OFFSET('Mock Database'!$S$2,MATCH($A401,'Mock Database'!$C$3:$C$152,0),0)),"",INDEX('Mock Database'!$S$3:$S$152,MATCH($A401,'Mock Database'!$C$3:$C$152,0))))</f>
        <v/>
      </c>
      <c r="G401" s="22" t="str">
        <f ca="1">IF(ISNA(MATCH($A401,'Mock Database'!$C$3:$C$152,0)),"",IF(ISBLANK(OFFSET('Mock Database'!$T$2,MATCH($A401,'Mock Database'!$C$3:$C$152,0),0)),"",INDEX('Mock Database'!$T$3:$T$152,MATCH($A401,'Mock Database'!$C$3:$C$152,0))))</f>
        <v/>
      </c>
      <c r="H401" s="89" t="str">
        <f ca="1">IF(ISNA(MATCH($A401,'Mock Database'!$C$3:$C$152,0)),"",IF(ISBLANK(OFFSET('Mock Database'!$Y$2,MATCH($A401,'Mock Database'!$C$3:$C$152,0),0)),"",INDEX('Mock Database'!$Y$3:$Y$152,MATCH($A401,'Mock Database'!$C$3:$C$152,0))))</f>
        <v/>
      </c>
      <c r="I401" s="22" t="str">
        <f ca="1">IF(ISNA(MATCH($A401,'Mock Database'!$C$3:$C$152,0)),"",IF(ISBLANK(OFFSET('Mock Database'!$Z$2,MATCH($A401,'Mock Database'!$C$3:$C$152,0),0)),"",INDEX('Mock Database'!$Z$3:$Z$152,MATCH($A401,'Mock Database'!$C$3:$C$152,0))))</f>
        <v/>
      </c>
      <c r="J401" s="89" t="str">
        <f ca="1">IF(ISNA(MATCH($A401,'Mock Database'!$C$3:$C$152,0)),"",IF(ISBLANK(OFFSET('Mock Database'!$AE$2,MATCH($A401,'Mock Database'!$C$3:$C$152,0),0)),"",INDEX('Mock Database'!$AE$3:$AE$152,MATCH($A401,'Mock Database'!$C$3:$C$152,0))))</f>
        <v/>
      </c>
      <c r="K401" s="22" t="str">
        <f ca="1">IF(ISNA(MATCH($A401,'Mock Database'!$C$3:$C$152,0)),"",IF(ISBLANK(OFFSET('Mock Database'!$AF$2,MATCH($A401,'Mock Database'!$C$3:$C$152,0),0)),"",INDEX('Mock Database'!$AF$3:$AF$152,MATCH($A401,'Mock Database'!$C$3:$C$152,0))))</f>
        <v/>
      </c>
      <c r="N401" t="e">
        <f t="shared" si="66"/>
        <v>#N/A</v>
      </c>
      <c r="O401" s="89" t="e">
        <f t="shared" ca="1" si="67"/>
        <v>#N/A</v>
      </c>
      <c r="P401" s="22" t="e">
        <f t="shared" ca="1" si="68"/>
        <v>#N/A</v>
      </c>
      <c r="Q401" s="89" t="e">
        <f t="shared" ca="1" si="69"/>
        <v>#N/A</v>
      </c>
      <c r="R401" s="22" t="e">
        <f t="shared" ca="1" si="70"/>
        <v>#N/A</v>
      </c>
      <c r="S401" s="89" t="e">
        <f t="shared" ca="1" si="71"/>
        <v>#N/A</v>
      </c>
      <c r="T401" s="22" t="e">
        <f t="shared" ca="1" si="72"/>
        <v>#N/A</v>
      </c>
      <c r="U401" s="89" t="e">
        <f t="shared" ca="1" si="73"/>
        <v>#N/A</v>
      </c>
      <c r="V401" s="22" t="e">
        <f t="shared" ca="1" si="74"/>
        <v>#N/A</v>
      </c>
      <c r="AM401" t="e">
        <f t="shared" si="75"/>
        <v>#N/A</v>
      </c>
      <c r="AN401" t="e">
        <f t="shared" ca="1" si="76"/>
        <v>#N/A</v>
      </c>
    </row>
  </sheetData>
  <sheetProtection sheet="1" scenarios="1" sort="0" autoFilter="0"/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Lists</vt:lpstr>
      <vt:lpstr>Mock Database</vt:lpstr>
      <vt:lpstr>Calculations</vt:lpstr>
      <vt:lpstr>Section Analysis</vt:lpstr>
      <vt:lpstr>Provider Analysis</vt:lpstr>
      <vt:lpstr>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Devansh Gohil</cp:lastModifiedBy>
  <cp:revision>11</cp:revision>
  <dcterms:created xsi:type="dcterms:W3CDTF">2026-08-01T03:15:27Z</dcterms:created>
  <dcterms:modified xsi:type="dcterms:W3CDTF">2026-08-09T23:12:43Z</dcterms:modified>
  <dc:language>en-US</dc:language>
</cp:coreProperties>
</file>